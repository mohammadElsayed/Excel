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filterPrivacy="1" codeName="ThisWorkbook" defaultThemeVersion="124226"/>
  <xr:revisionPtr revIDLastSave="0" documentId="13_ncr:1_{C1D990EE-163E-4E1B-A109-DA1586B50B20}" xr6:coauthVersionLast="47" xr6:coauthVersionMax="47" xr10:uidLastSave="{00000000-0000-0000-0000-000000000000}"/>
  <bookViews>
    <workbookView xWindow="-120" yWindow="-120" windowWidth="29040" windowHeight="15720" activeTab="3" xr2:uid="{00000000-000D-0000-FFFF-FFFF00000000}"/>
  </bookViews>
  <sheets>
    <sheet name="Codes" sheetId="4" r:id="rId1"/>
    <sheet name="Unique Dates" sheetId="56" r:id="rId2"/>
    <sheet name="finger" sheetId="31" r:id="rId3"/>
    <sheet name="Work" sheetId="34" r:id="rId4"/>
  </sheets>
  <functionGroups builtInGroupCount="19"/>
  <definedNames>
    <definedName name="_xlnm._FilterDatabase" localSheetId="0" hidden="1">Codes!$A$1:$D$16</definedName>
    <definedName name="Slicer_Name">#N/A</definedName>
  </definedNames>
  <calcPr calcId="191029" calcMode="manual"/>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0" i="34" l="1" a="1"/>
  <c r="C130" i="34" s="1"/>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606" i="34"/>
  <c r="D607" i="34"/>
  <c r="D608" i="34"/>
  <c r="D609" i="34"/>
  <c r="D610" i="34"/>
  <c r="D611" i="34"/>
  <c r="D612" i="34"/>
  <c r="D613" i="34"/>
  <c r="D614" i="34"/>
  <c r="D615" i="34"/>
  <c r="D616" i="34"/>
  <c r="D617" i="34"/>
  <c r="D618" i="34"/>
  <c r="D619" i="34"/>
  <c r="D620" i="34"/>
  <c r="D621" i="34"/>
  <c r="D622" i="34"/>
  <c r="D623" i="34"/>
  <c r="D624" i="34"/>
  <c r="D625" i="34"/>
  <c r="D626" i="34"/>
  <c r="D627" i="34"/>
  <c r="D628" i="34"/>
  <c r="D629" i="34"/>
  <c r="D630" i="34"/>
  <c r="D631" i="34"/>
  <c r="D632" i="34"/>
  <c r="D633" i="34"/>
  <c r="D634" i="34"/>
  <c r="D635" i="34"/>
  <c r="D636" i="34"/>
  <c r="D637" i="34"/>
  <c r="D638" i="34"/>
  <c r="D639" i="34"/>
  <c r="D640" i="34"/>
  <c r="D641" i="34"/>
  <c r="D642" i="34"/>
  <c r="D643" i="34"/>
  <c r="D644" i="34"/>
  <c r="D645" i="34"/>
  <c r="D646" i="34"/>
  <c r="D647" i="34"/>
  <c r="D648" i="34"/>
  <c r="D649" i="34"/>
  <c r="D650" i="34"/>
  <c r="D651" i="34"/>
  <c r="D652" i="34"/>
  <c r="D653" i="34"/>
  <c r="D654" i="34"/>
  <c r="D655" i="34"/>
  <c r="D656" i="34"/>
  <c r="D657" i="34"/>
  <c r="D658" i="34"/>
  <c r="D659" i="34"/>
  <c r="D660" i="34"/>
  <c r="D661" i="34"/>
  <c r="D662" i="34"/>
  <c r="D663" i="34"/>
  <c r="D664" i="34"/>
  <c r="D665" i="34"/>
  <c r="D666" i="34"/>
  <c r="D667" i="34"/>
  <c r="D668" i="34"/>
  <c r="D669" i="34"/>
  <c r="D670" i="34"/>
  <c r="D671" i="34"/>
  <c r="D672" i="34"/>
  <c r="D673" i="34"/>
  <c r="D674" i="34"/>
  <c r="D675" i="34"/>
  <c r="D676" i="34"/>
  <c r="D677" i="34"/>
  <c r="D678" i="34"/>
  <c r="D679" i="34"/>
  <c r="D680" i="34"/>
  <c r="D681" i="34"/>
  <c r="D682" i="34"/>
  <c r="D683" i="34"/>
  <c r="D684" i="34"/>
  <c r="D685" i="34"/>
  <c r="D686" i="34"/>
  <c r="D687" i="34"/>
  <c r="D688" i="34"/>
  <c r="D689" i="34"/>
  <c r="D690" i="34"/>
  <c r="D691" i="34"/>
  <c r="D692" i="34"/>
  <c r="D693" i="34"/>
  <c r="D694" i="34"/>
  <c r="D695" i="34"/>
  <c r="D696" i="34"/>
  <c r="D697" i="34"/>
  <c r="D698" i="34"/>
  <c r="D699" i="34"/>
  <c r="D700" i="34"/>
  <c r="D701" i="34"/>
  <c r="D702" i="34"/>
  <c r="D703" i="34"/>
  <c r="D704" i="34"/>
  <c r="D705" i="34"/>
  <c r="D706" i="34"/>
  <c r="D707" i="34"/>
  <c r="D708" i="34"/>
  <c r="D709" i="34"/>
  <c r="D710" i="34"/>
  <c r="D711" i="34"/>
  <c r="D712" i="34"/>
  <c r="D713" i="34"/>
  <c r="D714" i="34"/>
  <c r="D715" i="34"/>
  <c r="D716" i="34"/>
  <c r="D717" i="34"/>
  <c r="D718" i="34"/>
  <c r="D719" i="34"/>
  <c r="D720" i="34"/>
  <c r="D721" i="34"/>
  <c r="D722" i="34"/>
  <c r="D723" i="34"/>
  <c r="D724" i="34"/>
  <c r="D725" i="34"/>
  <c r="D726" i="34"/>
  <c r="D727" i="34"/>
  <c r="D728" i="34"/>
  <c r="D729" i="34"/>
  <c r="D730" i="34"/>
  <c r="D731" i="34"/>
  <c r="D732" i="34"/>
  <c r="D733" i="34"/>
  <c r="D734" i="34"/>
  <c r="D735" i="34"/>
  <c r="D736" i="34"/>
  <c r="D737" i="34"/>
  <c r="D738" i="34"/>
  <c r="D739" i="34"/>
  <c r="D740" i="34"/>
  <c r="D741" i="34"/>
  <c r="D742" i="34"/>
  <c r="D743" i="34"/>
  <c r="D744" i="34"/>
  <c r="D745" i="34"/>
  <c r="D746" i="34"/>
  <c r="D747" i="34"/>
  <c r="D748" i="34"/>
  <c r="D749" i="34"/>
  <c r="D750" i="34"/>
  <c r="D751" i="34"/>
  <c r="D752" i="34"/>
  <c r="D753" i="34"/>
  <c r="D754" i="34"/>
  <c r="D755" i="34"/>
  <c r="D756" i="34"/>
  <c r="D757" i="34"/>
  <c r="D758" i="34"/>
  <c r="D759" i="34"/>
  <c r="D760" i="34"/>
  <c r="D761" i="34"/>
  <c r="D762" i="34"/>
  <c r="D763" i="34"/>
  <c r="D764" i="34"/>
  <c r="D765" i="34"/>
  <c r="D766" i="34"/>
  <c r="D767" i="34"/>
  <c r="D768" i="34"/>
  <c r="D769" i="34"/>
  <c r="D770" i="34"/>
  <c r="D771" i="34"/>
  <c r="D772" i="34"/>
  <c r="D773" i="34"/>
  <c r="D774" i="34"/>
  <c r="D775" i="34"/>
  <c r="D776" i="34"/>
  <c r="D777" i="34"/>
  <c r="D778" i="34"/>
  <c r="D779" i="34"/>
  <c r="D780" i="34"/>
  <c r="D781" i="34"/>
  <c r="D782" i="34"/>
  <c r="D783" i="34"/>
  <c r="D784" i="34"/>
  <c r="D785" i="34"/>
  <c r="D786" i="34"/>
  <c r="D787" i="34"/>
  <c r="D788" i="34"/>
  <c r="D789" i="34"/>
  <c r="D790" i="34"/>
  <c r="D791" i="34"/>
  <c r="D792" i="34"/>
  <c r="D793" i="34"/>
  <c r="D794" i="34"/>
  <c r="D795" i="34"/>
  <c r="D796" i="34"/>
  <c r="D797" i="34"/>
  <c r="D798" i="34"/>
  <c r="D799" i="34"/>
  <c r="D800" i="34"/>
  <c r="D801" i="34"/>
  <c r="D802" i="34"/>
  <c r="D803" i="34"/>
  <c r="D804" i="34"/>
  <c r="D805" i="34"/>
  <c r="D806" i="34"/>
  <c r="D807" i="34"/>
  <c r="D808" i="34"/>
  <c r="D809" i="34"/>
  <c r="D810" i="34"/>
  <c r="D811" i="34"/>
  <c r="D812" i="34"/>
  <c r="D813" i="34"/>
  <c r="D814" i="34"/>
  <c r="D815" i="34"/>
  <c r="D816" i="34"/>
  <c r="D817" i="34"/>
  <c r="D818" i="34"/>
  <c r="D819" i="34"/>
  <c r="D820" i="34"/>
  <c r="D821" i="34"/>
  <c r="D822" i="34"/>
  <c r="D823" i="34"/>
  <c r="D824" i="34"/>
  <c r="D825" i="34"/>
  <c r="D826" i="34"/>
  <c r="D827" i="34"/>
  <c r="D828" i="34"/>
  <c r="D829" i="34"/>
  <c r="D830" i="34"/>
  <c r="D831" i="34"/>
  <c r="D832" i="34"/>
  <c r="D833" i="34"/>
  <c r="D834" i="34"/>
  <c r="D835" i="34"/>
  <c r="D836" i="34"/>
  <c r="D837" i="34"/>
  <c r="D838" i="34"/>
  <c r="D839" i="34"/>
  <c r="D840" i="34"/>
  <c r="D841" i="34"/>
  <c r="D842" i="34"/>
  <c r="D843" i="34"/>
  <c r="D844" i="34"/>
  <c r="D845" i="34"/>
  <c r="D846" i="34"/>
  <c r="D847" i="34"/>
  <c r="D848" i="34"/>
  <c r="D849" i="34"/>
  <c r="D850" i="34"/>
  <c r="D851" i="34"/>
  <c r="D852" i="34"/>
  <c r="D853" i="34"/>
  <c r="D854" i="34"/>
  <c r="D855" i="34"/>
  <c r="D856" i="34"/>
  <c r="D857" i="34"/>
  <c r="D858" i="34"/>
  <c r="D859" i="34"/>
  <c r="D860" i="34"/>
  <c r="D861" i="34"/>
  <c r="D862" i="34"/>
  <c r="D863" i="34"/>
  <c r="D864" i="34"/>
  <c r="D865" i="34"/>
  <c r="D866" i="34"/>
  <c r="D867" i="34"/>
  <c r="D868" i="34"/>
  <c r="D869" i="34"/>
  <c r="D870" i="34"/>
  <c r="D871" i="34"/>
  <c r="D872" i="34"/>
  <c r="D873" i="34"/>
  <c r="D874" i="34"/>
  <c r="D875" i="34"/>
  <c r="D876" i="34"/>
  <c r="D877" i="34"/>
  <c r="D878" i="34"/>
  <c r="D879" i="34"/>
  <c r="D880" i="34"/>
  <c r="D881" i="34"/>
  <c r="D882" i="34"/>
  <c r="D883" i="34"/>
  <c r="D884" i="34"/>
  <c r="D885" i="34"/>
  <c r="D886" i="34"/>
  <c r="D887" i="34"/>
  <c r="D888" i="34"/>
  <c r="D889" i="34"/>
  <c r="D890" i="34"/>
  <c r="D891" i="34"/>
  <c r="D892" i="34"/>
  <c r="D893" i="34"/>
  <c r="D894" i="34"/>
  <c r="D895" i="34"/>
  <c r="D896" i="34"/>
  <c r="D897" i="34"/>
  <c r="D898" i="34"/>
  <c r="D899" i="34"/>
  <c r="D900" i="34"/>
  <c r="D901" i="34"/>
  <c r="D902" i="34"/>
  <c r="D903" i="34"/>
  <c r="D904" i="34"/>
  <c r="D905" i="34"/>
  <c r="D906" i="34"/>
  <c r="D907" i="34"/>
  <c r="D908" i="34"/>
  <c r="D909" i="34"/>
  <c r="D910" i="34"/>
  <c r="D911" i="34"/>
  <c r="D912" i="34"/>
  <c r="D913" i="34"/>
  <c r="D914" i="34"/>
  <c r="D915" i="34"/>
  <c r="D916" i="34"/>
  <c r="D917" i="34"/>
  <c r="D918" i="34"/>
  <c r="D919" i="34"/>
  <c r="D920" i="34"/>
  <c r="D921" i="34"/>
  <c r="D922" i="34"/>
  <c r="D923" i="34"/>
  <c r="D924" i="34"/>
  <c r="D925" i="34"/>
  <c r="D926" i="34"/>
  <c r="D927" i="34"/>
  <c r="D928" i="34"/>
  <c r="D929" i="34"/>
  <c r="D930" i="34"/>
  <c r="D931" i="34"/>
  <c r="D932" i="34"/>
  <c r="D933" i="34"/>
  <c r="D934" i="34"/>
  <c r="D935" i="34"/>
  <c r="D936" i="34"/>
  <c r="D937" i="34"/>
  <c r="D938" i="34"/>
  <c r="D939" i="34"/>
  <c r="D940" i="34"/>
  <c r="D941" i="34"/>
  <c r="D942" i="34"/>
  <c r="D943" i="34"/>
  <c r="D944" i="34"/>
  <c r="D945" i="34"/>
  <c r="D946" i="34"/>
  <c r="D947" i="34"/>
  <c r="D948" i="34"/>
  <c r="D949" i="34"/>
  <c r="D950" i="34"/>
  <c r="D951" i="34"/>
  <c r="D952" i="34"/>
  <c r="D953" i="34"/>
  <c r="D954" i="34"/>
  <c r="D955" i="34"/>
  <c r="D956" i="34"/>
  <c r="D957" i="34"/>
  <c r="D958" i="34"/>
  <c r="D959" i="34"/>
  <c r="D960" i="34"/>
  <c r="D961" i="34"/>
  <c r="D962" i="34"/>
  <c r="D963" i="34"/>
  <c r="D964" i="34"/>
  <c r="D96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302" i="34"/>
  <c r="B303" i="34"/>
  <c r="B304" i="34"/>
  <c r="B305" i="34"/>
  <c r="B306" i="34"/>
  <c r="B307" i="34"/>
  <c r="B308" i="34"/>
  <c r="B309" i="34"/>
  <c r="B310" i="34"/>
  <c r="B311" i="34"/>
  <c r="B312" i="34"/>
  <c r="B313" i="34"/>
  <c r="B314" i="34"/>
  <c r="B315" i="34"/>
  <c r="B316" i="34"/>
  <c r="B317" i="34"/>
  <c r="B318" i="34"/>
  <c r="B319" i="34"/>
  <c r="B320" i="34"/>
  <c r="B321" i="34"/>
  <c r="B322" i="34"/>
  <c r="B323" i="34"/>
  <c r="B324" i="34"/>
  <c r="B325" i="34"/>
  <c r="B326" i="34"/>
  <c r="B327" i="34"/>
  <c r="B328" i="34"/>
  <c r="B329" i="34"/>
  <c r="B330" i="34"/>
  <c r="B331" i="34"/>
  <c r="B332" i="34"/>
  <c r="B333" i="34"/>
  <c r="B334" i="34"/>
  <c r="B335" i="34"/>
  <c r="B336" i="34"/>
  <c r="B337" i="34"/>
  <c r="B338" i="34"/>
  <c r="B339" i="34"/>
  <c r="B340" i="34"/>
  <c r="B341" i="34"/>
  <c r="B342" i="34"/>
  <c r="B343" i="34"/>
  <c r="B344" i="34"/>
  <c r="B345" i="34"/>
  <c r="B346" i="34"/>
  <c r="B347" i="34"/>
  <c r="B348" i="34"/>
  <c r="B349" i="34"/>
  <c r="B350" i="34"/>
  <c r="B351" i="34"/>
  <c r="B352" i="34"/>
  <c r="B353" i="34"/>
  <c r="B354" i="34"/>
  <c r="B355" i="34"/>
  <c r="B356" i="34"/>
  <c r="B357" i="34"/>
  <c r="B358" i="34"/>
  <c r="B359" i="34"/>
  <c r="B360" i="34"/>
  <c r="B361" i="34"/>
  <c r="B362" i="34"/>
  <c r="B363" i="34"/>
  <c r="B364" i="34"/>
  <c r="B365" i="34"/>
  <c r="B366" i="34"/>
  <c r="B367" i="34"/>
  <c r="B368" i="34"/>
  <c r="B369" i="34"/>
  <c r="B370" i="34"/>
  <c r="B371" i="34"/>
  <c r="B372" i="34"/>
  <c r="B373" i="34"/>
  <c r="B374" i="34"/>
  <c r="B375" i="34"/>
  <c r="B376" i="34"/>
  <c r="B377" i="34"/>
  <c r="B378" i="34"/>
  <c r="B379" i="34"/>
  <c r="B380" i="34"/>
  <c r="B381" i="34"/>
  <c r="B382" i="34"/>
  <c r="B383" i="34"/>
  <c r="B384" i="34"/>
  <c r="B385" i="34"/>
  <c r="B386" i="34"/>
  <c r="B387" i="34"/>
  <c r="B388" i="34"/>
  <c r="B389" i="34"/>
  <c r="B390" i="34"/>
  <c r="B391" i="34"/>
  <c r="B392" i="34"/>
  <c r="B393" i="34"/>
  <c r="B394" i="34"/>
  <c r="B395" i="34"/>
  <c r="B396" i="34"/>
  <c r="B397" i="34"/>
  <c r="B398" i="34"/>
  <c r="B399" i="34"/>
  <c r="B400" i="34"/>
  <c r="B401" i="34"/>
  <c r="B402" i="34"/>
  <c r="B403" i="34"/>
  <c r="B404" i="34"/>
  <c r="B405" i="34"/>
  <c r="B406" i="34"/>
  <c r="B407" i="34"/>
  <c r="B408" i="34"/>
  <c r="B409" i="34"/>
  <c r="B410" i="34"/>
  <c r="B411" i="34"/>
  <c r="B412" i="34"/>
  <c r="B413" i="34"/>
  <c r="B414" i="34"/>
  <c r="B415" i="34"/>
  <c r="B416" i="34"/>
  <c r="B417" i="34"/>
  <c r="B418" i="34"/>
  <c r="B419" i="34"/>
  <c r="B420" i="34"/>
  <c r="B421" i="34"/>
  <c r="B422" i="34"/>
  <c r="B423" i="34"/>
  <c r="B424" i="34"/>
  <c r="B425" i="34"/>
  <c r="B426" i="34"/>
  <c r="B427" i="34"/>
  <c r="B428" i="34"/>
  <c r="B429" i="34"/>
  <c r="B430" i="34"/>
  <c r="B431" i="34"/>
  <c r="B432" i="34"/>
  <c r="B433" i="34"/>
  <c r="B434" i="34"/>
  <c r="B435" i="34"/>
  <c r="B436" i="34"/>
  <c r="B437" i="34"/>
  <c r="B438" i="34"/>
  <c r="B439" i="34"/>
  <c r="B440" i="34"/>
  <c r="B441" i="34"/>
  <c r="B442" i="34"/>
  <c r="B443" i="34"/>
  <c r="B444" i="34"/>
  <c r="B445" i="34"/>
  <c r="B446" i="34"/>
  <c r="B447" i="34"/>
  <c r="B448" i="34"/>
  <c r="B449" i="34"/>
  <c r="B450" i="34"/>
  <c r="B451" i="34"/>
  <c r="B452" i="34"/>
  <c r="B453" i="34"/>
  <c r="B454" i="34"/>
  <c r="B455" i="34"/>
  <c r="B456" i="34"/>
  <c r="B457" i="34"/>
  <c r="B458" i="34"/>
  <c r="B459" i="34"/>
  <c r="B460" i="34"/>
  <c r="B461" i="34"/>
  <c r="B462" i="34"/>
  <c r="B463" i="34"/>
  <c r="B464" i="34"/>
  <c r="B465" i="34"/>
  <c r="B466" i="34"/>
  <c r="B467" i="34"/>
  <c r="B468" i="34"/>
  <c r="B469" i="34"/>
  <c r="B470" i="34"/>
  <c r="B471" i="34"/>
  <c r="B472" i="34"/>
  <c r="B473" i="34"/>
  <c r="B474" i="34"/>
  <c r="B475" i="34"/>
  <c r="B476" i="34"/>
  <c r="B477" i="34"/>
  <c r="B478" i="34"/>
  <c r="B479" i="34"/>
  <c r="B480" i="34"/>
  <c r="B481" i="34"/>
  <c r="B482" i="34"/>
  <c r="B483" i="34"/>
  <c r="B484" i="34"/>
  <c r="B485" i="34"/>
  <c r="B486" i="34"/>
  <c r="B487" i="34"/>
  <c r="B488" i="34"/>
  <c r="B489" i="34"/>
  <c r="B490" i="34"/>
  <c r="B491" i="34"/>
  <c r="B492" i="34"/>
  <c r="B493" i="34"/>
  <c r="B494" i="34"/>
  <c r="B495" i="34"/>
  <c r="B496" i="34"/>
  <c r="B497" i="34"/>
  <c r="B498" i="34"/>
  <c r="B499" i="34"/>
  <c r="B500" i="34"/>
  <c r="B501" i="34"/>
  <c r="B502" i="34"/>
  <c r="B503" i="34"/>
  <c r="B504" i="34"/>
  <c r="B505" i="34"/>
  <c r="B506" i="34"/>
  <c r="B507" i="34"/>
  <c r="B508" i="34"/>
  <c r="B509" i="34"/>
  <c r="B510" i="34"/>
  <c r="B511" i="34"/>
  <c r="B512" i="34"/>
  <c r="B513" i="34"/>
  <c r="B514" i="34"/>
  <c r="B515" i="34"/>
  <c r="B516" i="34"/>
  <c r="B517" i="34"/>
  <c r="B518" i="34"/>
  <c r="B519" i="34"/>
  <c r="B520" i="34"/>
  <c r="B521" i="34"/>
  <c r="B522" i="34"/>
  <c r="B523" i="34"/>
  <c r="B524" i="34"/>
  <c r="B525" i="34"/>
  <c r="B526" i="34"/>
  <c r="B527" i="34"/>
  <c r="B528" i="34"/>
  <c r="B529" i="34"/>
  <c r="B530" i="34"/>
  <c r="B531" i="34"/>
  <c r="B532" i="34"/>
  <c r="B533" i="34"/>
  <c r="B534" i="34"/>
  <c r="B535" i="34"/>
  <c r="B536" i="34"/>
  <c r="B537" i="34"/>
  <c r="B538" i="34"/>
  <c r="B539" i="34"/>
  <c r="B540" i="34"/>
  <c r="B541" i="34"/>
  <c r="B542" i="34"/>
  <c r="B543" i="34"/>
  <c r="B544" i="34"/>
  <c r="B545" i="34"/>
  <c r="B546" i="34"/>
  <c r="B547" i="34"/>
  <c r="B548" i="34"/>
  <c r="B549" i="34"/>
  <c r="B550" i="34"/>
  <c r="B551" i="34"/>
  <c r="B552" i="34"/>
  <c r="B553" i="34"/>
  <c r="B554" i="34"/>
  <c r="B555" i="34"/>
  <c r="B556" i="34"/>
  <c r="B557" i="34"/>
  <c r="B558" i="34"/>
  <c r="B559" i="34"/>
  <c r="B560" i="34"/>
  <c r="B561" i="34"/>
  <c r="B562" i="34"/>
  <c r="B563" i="34"/>
  <c r="B564" i="34"/>
  <c r="B565" i="34"/>
  <c r="B566" i="34"/>
  <c r="B567" i="34"/>
  <c r="B568" i="34"/>
  <c r="B569" i="34"/>
  <c r="B570" i="34"/>
  <c r="B571" i="34"/>
  <c r="B572" i="34"/>
  <c r="B573" i="34"/>
  <c r="B574" i="34"/>
  <c r="B575" i="34"/>
  <c r="B576" i="34"/>
  <c r="B577" i="34"/>
  <c r="B578" i="34"/>
  <c r="B579" i="34"/>
  <c r="B580" i="34"/>
  <c r="B581" i="34"/>
  <c r="B582" i="34"/>
  <c r="B583" i="34"/>
  <c r="B584" i="34"/>
  <c r="B585" i="34"/>
  <c r="B586" i="34"/>
  <c r="B587" i="34"/>
  <c r="B588" i="34"/>
  <c r="B589" i="34"/>
  <c r="B590" i="34"/>
  <c r="B591" i="34"/>
  <c r="B592" i="34"/>
  <c r="B593" i="34"/>
  <c r="B594" i="34"/>
  <c r="B595" i="34"/>
  <c r="B596" i="34"/>
  <c r="B597" i="34"/>
  <c r="B598" i="34"/>
  <c r="B599" i="34"/>
  <c r="B600" i="34"/>
  <c r="B601" i="34"/>
  <c r="B602" i="34"/>
  <c r="B603" i="34"/>
  <c r="B604" i="34"/>
  <c r="B605" i="34"/>
  <c r="B606" i="34"/>
  <c r="B607" i="34"/>
  <c r="B608" i="34"/>
  <c r="B609" i="34"/>
  <c r="B610" i="34"/>
  <c r="B611" i="34"/>
  <c r="B612" i="34"/>
  <c r="B613" i="34"/>
  <c r="B614" i="34"/>
  <c r="B615" i="34"/>
  <c r="B616" i="34"/>
  <c r="B617" i="34"/>
  <c r="B618" i="34"/>
  <c r="B619" i="34"/>
  <c r="B620" i="34"/>
  <c r="B621" i="34"/>
  <c r="B622" i="34"/>
  <c r="B623" i="34"/>
  <c r="B624" i="34"/>
  <c r="B625" i="34"/>
  <c r="B626" i="34"/>
  <c r="B627" i="34"/>
  <c r="B628" i="34"/>
  <c r="B629" i="34"/>
  <c r="B630" i="34"/>
  <c r="B631" i="34"/>
  <c r="B632" i="34"/>
  <c r="B633" i="34"/>
  <c r="B634" i="34"/>
  <c r="B635" i="34"/>
  <c r="B636" i="34"/>
  <c r="B637" i="34"/>
  <c r="B638" i="34"/>
  <c r="B639" i="34"/>
  <c r="B640" i="34"/>
  <c r="B641" i="34"/>
  <c r="B642" i="34"/>
  <c r="B643" i="34"/>
  <c r="B644" i="34"/>
  <c r="B645" i="34"/>
  <c r="B646" i="34"/>
  <c r="B647" i="34"/>
  <c r="B648" i="34"/>
  <c r="B649" i="34"/>
  <c r="B650" i="34"/>
  <c r="B651" i="34"/>
  <c r="B652" i="34"/>
  <c r="B653" i="34"/>
  <c r="B654" i="34"/>
  <c r="B655" i="34"/>
  <c r="B656" i="34"/>
  <c r="B657" i="34"/>
  <c r="B658" i="34"/>
  <c r="B659" i="34"/>
  <c r="B660" i="34"/>
  <c r="B661" i="34"/>
  <c r="B662" i="34"/>
  <c r="B663" i="34"/>
  <c r="B664" i="34"/>
  <c r="B665" i="34"/>
  <c r="B666" i="34"/>
  <c r="B667" i="34"/>
  <c r="B668" i="34"/>
  <c r="B669" i="34"/>
  <c r="B670" i="34"/>
  <c r="B671" i="34"/>
  <c r="B672" i="34"/>
  <c r="B673" i="34"/>
  <c r="B674" i="34"/>
  <c r="B675" i="34"/>
  <c r="B676" i="34"/>
  <c r="B677" i="34"/>
  <c r="B678" i="34"/>
  <c r="B679" i="34"/>
  <c r="B680" i="34"/>
  <c r="B681" i="34"/>
  <c r="B682" i="34"/>
  <c r="B683" i="34"/>
  <c r="B684" i="34"/>
  <c r="B685" i="34"/>
  <c r="B686" i="34"/>
  <c r="B687" i="34"/>
  <c r="B688" i="34"/>
  <c r="B689" i="34"/>
  <c r="B690" i="34"/>
  <c r="B691" i="34"/>
  <c r="B692" i="34"/>
  <c r="B693" i="34"/>
  <c r="B694" i="34"/>
  <c r="B695" i="34"/>
  <c r="B696" i="34"/>
  <c r="B697" i="34"/>
  <c r="B698" i="34"/>
  <c r="B699" i="34"/>
  <c r="B700" i="34"/>
  <c r="B701" i="34"/>
  <c r="B702" i="34"/>
  <c r="B703" i="34"/>
  <c r="B704" i="34"/>
  <c r="B705" i="34"/>
  <c r="B706" i="34"/>
  <c r="B707" i="34"/>
  <c r="B708" i="34"/>
  <c r="B709" i="34"/>
  <c r="B710" i="34"/>
  <c r="B711" i="34"/>
  <c r="B712" i="34"/>
  <c r="B713" i="34"/>
  <c r="B714" i="34"/>
  <c r="B715" i="34"/>
  <c r="B716" i="34"/>
  <c r="B717" i="34"/>
  <c r="B718" i="34"/>
  <c r="B719" i="34"/>
  <c r="B720" i="34"/>
  <c r="B721" i="34"/>
  <c r="B722" i="34"/>
  <c r="B723" i="34"/>
  <c r="B724" i="34"/>
  <c r="B725" i="34"/>
  <c r="B726" i="34"/>
  <c r="B727" i="34"/>
  <c r="B728" i="34"/>
  <c r="B729" i="34"/>
  <c r="B730" i="34"/>
  <c r="B731" i="34"/>
  <c r="B732" i="34"/>
  <c r="B733" i="34"/>
  <c r="B734" i="34"/>
  <c r="B735" i="34"/>
  <c r="B736" i="34"/>
  <c r="B737" i="34"/>
  <c r="B738" i="34"/>
  <c r="B739" i="34"/>
  <c r="B740" i="34"/>
  <c r="B741" i="34"/>
  <c r="B742" i="34"/>
  <c r="B743" i="34"/>
  <c r="B744" i="34"/>
  <c r="B745" i="34"/>
  <c r="B746" i="34"/>
  <c r="B747" i="34"/>
  <c r="B748" i="34"/>
  <c r="B749" i="34"/>
  <c r="B750" i="34"/>
  <c r="B751" i="34"/>
  <c r="B752" i="34"/>
  <c r="B753" i="34"/>
  <c r="B754" i="34"/>
  <c r="B755" i="34"/>
  <c r="B756" i="34"/>
  <c r="B757" i="34"/>
  <c r="B758" i="34"/>
  <c r="B759" i="34"/>
  <c r="B760" i="34"/>
  <c r="B761" i="34"/>
  <c r="B762" i="34"/>
  <c r="B763" i="34"/>
  <c r="B764" i="34"/>
  <c r="B765" i="34"/>
  <c r="B766" i="34"/>
  <c r="B767" i="34"/>
  <c r="B768" i="34"/>
  <c r="B769" i="34"/>
  <c r="B770" i="34"/>
  <c r="B771" i="34"/>
  <c r="B772" i="34"/>
  <c r="B773" i="34"/>
  <c r="B774" i="34"/>
  <c r="B775" i="34"/>
  <c r="B776" i="34"/>
  <c r="B777" i="34"/>
  <c r="B778" i="34"/>
  <c r="B779" i="34"/>
  <c r="B780" i="34"/>
  <c r="B781" i="34"/>
  <c r="B782" i="34"/>
  <c r="B783" i="34"/>
  <c r="B784" i="34"/>
  <c r="B785" i="34"/>
  <c r="B786" i="34"/>
  <c r="B787" i="34"/>
  <c r="B788" i="34"/>
  <c r="B789" i="34"/>
  <c r="B790" i="34"/>
  <c r="B791" i="34"/>
  <c r="B792" i="34"/>
  <c r="B793" i="34"/>
  <c r="B794" i="34"/>
  <c r="B795" i="34"/>
  <c r="B796" i="34"/>
  <c r="B797" i="34"/>
  <c r="B798" i="34"/>
  <c r="B799" i="34"/>
  <c r="B800" i="34"/>
  <c r="B801" i="34"/>
  <c r="B802" i="34"/>
  <c r="B803" i="34"/>
  <c r="B804" i="34"/>
  <c r="B805" i="34"/>
  <c r="B806" i="34"/>
  <c r="B807" i="34"/>
  <c r="B808" i="34"/>
  <c r="B809" i="34"/>
  <c r="B810" i="34"/>
  <c r="B811" i="34"/>
  <c r="B812" i="34"/>
  <c r="B813" i="34"/>
  <c r="B814" i="34"/>
  <c r="B815" i="34"/>
  <c r="B816" i="34"/>
  <c r="B817" i="34"/>
  <c r="B818" i="34"/>
  <c r="B819" i="34"/>
  <c r="B820" i="34"/>
  <c r="B821" i="34"/>
  <c r="B822" i="34"/>
  <c r="B823" i="34"/>
  <c r="B824" i="34"/>
  <c r="B825" i="34"/>
  <c r="B826" i="34"/>
  <c r="B827" i="34"/>
  <c r="B828" i="34"/>
  <c r="B829" i="34"/>
  <c r="B830" i="34"/>
  <c r="B831" i="34"/>
  <c r="B832" i="34"/>
  <c r="B833" i="34"/>
  <c r="B834" i="34"/>
  <c r="B835" i="34"/>
  <c r="B836" i="34"/>
  <c r="B837" i="34"/>
  <c r="B838" i="34"/>
  <c r="B839" i="34"/>
  <c r="B840" i="34"/>
  <c r="B841" i="34"/>
  <c r="B842" i="34"/>
  <c r="B843" i="34"/>
  <c r="B844" i="34"/>
  <c r="B845" i="34"/>
  <c r="B846" i="34"/>
  <c r="B847" i="34"/>
  <c r="B848" i="34"/>
  <c r="B849" i="34"/>
  <c r="B850" i="34"/>
  <c r="B851" i="34"/>
  <c r="B852" i="34"/>
  <c r="B853" i="34"/>
  <c r="B854" i="34"/>
  <c r="B855" i="34"/>
  <c r="B856" i="34"/>
  <c r="B857" i="34"/>
  <c r="B858" i="34"/>
  <c r="B859" i="34"/>
  <c r="B860" i="34"/>
  <c r="B861" i="34"/>
  <c r="B862" i="34"/>
  <c r="B863" i="34"/>
  <c r="B864" i="34"/>
  <c r="B865" i="34"/>
  <c r="B866" i="34"/>
  <c r="B867" i="34"/>
  <c r="B868" i="34"/>
  <c r="B869" i="34"/>
  <c r="B870" i="34"/>
  <c r="B871" i="34"/>
  <c r="B872" i="34"/>
  <c r="B873" i="34"/>
  <c r="B874" i="34"/>
  <c r="B875" i="34"/>
  <c r="B876" i="34"/>
  <c r="B877" i="34"/>
  <c r="B878" i="34"/>
  <c r="B879" i="34"/>
  <c r="B880" i="34"/>
  <c r="B881" i="34"/>
  <c r="B882" i="34"/>
  <c r="B883" i="34"/>
  <c r="B884" i="34"/>
  <c r="B885" i="34"/>
  <c r="B886" i="34"/>
  <c r="B887" i="34"/>
  <c r="B888" i="34"/>
  <c r="B889" i="34"/>
  <c r="B890" i="34"/>
  <c r="B891" i="34"/>
  <c r="B892" i="34"/>
  <c r="B893" i="34"/>
  <c r="B894" i="34"/>
  <c r="B895" i="34"/>
  <c r="B896" i="34"/>
  <c r="B897" i="34"/>
  <c r="B898" i="34"/>
  <c r="B899" i="34"/>
  <c r="B900" i="34"/>
  <c r="B901" i="34"/>
  <c r="B902" i="34"/>
  <c r="B903" i="34"/>
  <c r="B904" i="34"/>
  <c r="B905" i="34"/>
  <c r="B906" i="34"/>
  <c r="B907" i="34"/>
  <c r="B908" i="34"/>
  <c r="B909" i="34"/>
  <c r="B910" i="34"/>
  <c r="B911" i="34"/>
  <c r="B912" i="34"/>
  <c r="B913" i="34"/>
  <c r="B914" i="34"/>
  <c r="B915" i="34"/>
  <c r="B916" i="34"/>
  <c r="B917" i="34"/>
  <c r="B918" i="34"/>
  <c r="B919" i="34"/>
  <c r="B920" i="34"/>
  <c r="B921" i="34"/>
  <c r="B922" i="34"/>
  <c r="B923" i="34"/>
  <c r="B924" i="34"/>
  <c r="B925" i="34"/>
  <c r="B926" i="34"/>
  <c r="B927" i="34"/>
  <c r="B928" i="34"/>
  <c r="B929" i="34"/>
  <c r="B930" i="34"/>
  <c r="B931" i="34"/>
  <c r="B932" i="34"/>
  <c r="B933" i="34"/>
  <c r="B934" i="34"/>
  <c r="B935" i="34"/>
  <c r="B936" i="34"/>
  <c r="B937" i="34"/>
  <c r="B938" i="34"/>
  <c r="B939" i="34"/>
  <c r="B940" i="34"/>
  <c r="B941" i="34"/>
  <c r="B942" i="34"/>
  <c r="B943" i="34"/>
  <c r="B944" i="34"/>
  <c r="B945" i="34"/>
  <c r="B946" i="34"/>
  <c r="B947" i="34"/>
  <c r="B948" i="34"/>
  <c r="B949" i="34"/>
  <c r="B950" i="34"/>
  <c r="B951" i="34"/>
  <c r="B952" i="34"/>
  <c r="B953" i="34"/>
  <c r="B954" i="34"/>
  <c r="B955" i="34"/>
  <c r="B956" i="34"/>
  <c r="B957" i="34"/>
  <c r="B958" i="34"/>
  <c r="B959" i="34"/>
  <c r="B960" i="34"/>
  <c r="B961" i="34"/>
  <c r="B962" i="34"/>
  <c r="B963" i="34"/>
  <c r="B964" i="34"/>
  <c r="B965" i="34"/>
  <c r="D5" i="34"/>
  <c r="B5" i="34"/>
  <c r="E7" i="34" l="1"/>
  <c r="E13" i="34"/>
  <c r="E16" i="34"/>
  <c r="A21" i="34"/>
  <c r="E23" i="34"/>
  <c r="E24" i="34"/>
  <c r="A25" i="34"/>
  <c r="E32" i="34"/>
  <c r="A40" i="34"/>
  <c r="E48" i="34"/>
  <c r="E56" i="34"/>
  <c r="E64" i="34"/>
  <c r="A80" i="34"/>
  <c r="E85" i="34"/>
  <c r="E87" i="34"/>
  <c r="A89" i="34"/>
  <c r="E97" i="34"/>
  <c r="E106" i="34"/>
  <c r="E117" i="34"/>
  <c r="E119" i="34"/>
  <c r="E121" i="34"/>
  <c r="A127" i="34"/>
  <c r="E128" i="34"/>
  <c r="E129" i="34"/>
  <c r="A137" i="34"/>
  <c r="E141" i="34"/>
  <c r="E149" i="34"/>
  <c r="E151" i="34"/>
  <c r="E159" i="34"/>
  <c r="A161" i="34"/>
  <c r="E169" i="34"/>
  <c r="A173" i="34"/>
  <c r="E181" i="34"/>
  <c r="A183" i="34"/>
  <c r="E185" i="34"/>
  <c r="E213" i="34"/>
  <c r="E216" i="34"/>
  <c r="E248" i="34"/>
  <c r="E269" i="34"/>
  <c r="E271" i="34"/>
  <c r="E277" i="34"/>
  <c r="E279" i="34"/>
  <c r="A281" i="34"/>
  <c r="E287" i="34"/>
  <c r="E289" i="34"/>
  <c r="E295" i="34"/>
  <c r="E301" i="34"/>
  <c r="E303" i="34"/>
  <c r="E311" i="34"/>
  <c r="E319" i="34"/>
  <c r="E335" i="34"/>
  <c r="E336" i="34"/>
  <c r="E341" i="34"/>
  <c r="E343" i="34"/>
  <c r="E347" i="34"/>
  <c r="E351" i="34"/>
  <c r="E355" i="34"/>
  <c r="E359" i="34"/>
  <c r="E361" i="34"/>
  <c r="E363" i="34"/>
  <c r="E364" i="34"/>
  <c r="E367" i="34"/>
  <c r="E368" i="34"/>
  <c r="E369" i="34"/>
  <c r="E370" i="34"/>
  <c r="E371" i="34"/>
  <c r="E372" i="34"/>
  <c r="E374" i="34"/>
  <c r="E375" i="34"/>
  <c r="E377" i="34"/>
  <c r="E379" i="34"/>
  <c r="E380" i="34"/>
  <c r="E381" i="34"/>
  <c r="E383" i="34"/>
  <c r="E384" i="34"/>
  <c r="E386" i="34"/>
  <c r="E387" i="34"/>
  <c r="E388" i="34"/>
  <c r="C389" i="34" a="1"/>
  <c r="C389" i="34" s="1"/>
  <c r="E391" i="34"/>
  <c r="E395" i="34"/>
  <c r="E396" i="34"/>
  <c r="E397" i="34"/>
  <c r="E399" i="34"/>
  <c r="C405" i="34" a="1"/>
  <c r="C405" i="34" s="1"/>
  <c r="E407" i="34"/>
  <c r="E408" i="34"/>
  <c r="E410" i="34"/>
  <c r="E411" i="34"/>
  <c r="E415" i="34"/>
  <c r="E417" i="34"/>
  <c r="A418" i="34"/>
  <c r="E419" i="34"/>
  <c r="E423" i="34"/>
  <c r="E428" i="34"/>
  <c r="C431" i="34" a="1"/>
  <c r="C431" i="34" s="1"/>
  <c r="E432" i="34"/>
  <c r="E435" i="34"/>
  <c r="E436" i="34"/>
  <c r="E438" i="34"/>
  <c r="E439" i="34"/>
  <c r="E440" i="34"/>
  <c r="E441" i="34"/>
  <c r="E443" i="34"/>
  <c r="E444" i="34"/>
  <c r="E445" i="34"/>
  <c r="E447" i="34"/>
  <c r="E448" i="34"/>
  <c r="E449" i="34"/>
  <c r="E450" i="34"/>
  <c r="E452" i="34"/>
  <c r="E455" i="34"/>
  <c r="E457" i="34"/>
  <c r="E459" i="34"/>
  <c r="A460" i="34"/>
  <c r="E463" i="34"/>
  <c r="E464" i="34"/>
  <c r="E468" i="34"/>
  <c r="E469" i="34"/>
  <c r="E471" i="34"/>
  <c r="E472" i="34"/>
  <c r="E476" i="34"/>
  <c r="E477" i="34"/>
  <c r="E481" i="34"/>
  <c r="E482" i="34"/>
  <c r="E483" i="34"/>
  <c r="E484" i="34"/>
  <c r="E486" i="34"/>
  <c r="E487" i="34"/>
  <c r="E489" i="34"/>
  <c r="A490" i="34"/>
  <c r="E492" i="34"/>
  <c r="E493" i="34"/>
  <c r="E495" i="34"/>
  <c r="E496" i="34"/>
  <c r="E499" i="34"/>
  <c r="A500" i="34"/>
  <c r="E503" i="34"/>
  <c r="E505" i="34"/>
  <c r="E511" i="34"/>
  <c r="E512" i="34"/>
  <c r="E514" i="34"/>
  <c r="E515" i="34"/>
  <c r="E519" i="34"/>
  <c r="E523" i="34"/>
  <c r="A524" i="34"/>
  <c r="E525" i="34"/>
  <c r="E527" i="34"/>
  <c r="E529" i="34"/>
  <c r="E530" i="34"/>
  <c r="E531" i="34"/>
  <c r="E532" i="34"/>
  <c r="E536" i="34"/>
  <c r="E539" i="34"/>
  <c r="E540" i="34"/>
  <c r="E541" i="34"/>
  <c r="E543" i="34"/>
  <c r="E547" i="34"/>
  <c r="E552" i="34"/>
  <c r="E554" i="34"/>
  <c r="E555" i="34"/>
  <c r="E556" i="34"/>
  <c r="E557" i="34"/>
  <c r="E558" i="34"/>
  <c r="E563" i="34"/>
  <c r="A564" i="34"/>
  <c r="E570" i="34"/>
  <c r="E571" i="34"/>
  <c r="E572" i="34"/>
  <c r="E573" i="34"/>
  <c r="E578" i="34"/>
  <c r="E579" i="34"/>
  <c r="A580" i="34"/>
  <c r="E583" i="34"/>
  <c r="E585" i="34"/>
  <c r="A588" i="34"/>
  <c r="E589" i="34"/>
  <c r="E594" i="34"/>
  <c r="E596" i="34"/>
  <c r="E597" i="34"/>
  <c r="E599" i="34"/>
  <c r="E601" i="34"/>
  <c r="E603" i="34"/>
  <c r="A604" i="34"/>
  <c r="E605" i="34"/>
  <c r="E611" i="34"/>
  <c r="A618" i="34"/>
  <c r="E619" i="34"/>
  <c r="A620" i="34"/>
  <c r="E621" i="34"/>
  <c r="C623" i="34" a="1"/>
  <c r="C623" i="34" s="1"/>
  <c r="E626" i="34"/>
  <c r="E627" i="34"/>
  <c r="E628" i="34"/>
  <c r="E631" i="34"/>
  <c r="E632" i="34"/>
  <c r="E633" i="34"/>
  <c r="E634" i="34"/>
  <c r="E635" i="34"/>
  <c r="E636" i="34"/>
  <c r="E640" i="34"/>
  <c r="E643" i="34"/>
  <c r="E650" i="34"/>
  <c r="E653" i="34"/>
  <c r="E655" i="34"/>
  <c r="E659" i="34"/>
  <c r="C663" i="34" a="1"/>
  <c r="C663" i="34" s="1"/>
  <c r="E665" i="34"/>
  <c r="E667" i="34"/>
  <c r="E668" i="34"/>
  <c r="E672" i="34"/>
  <c r="E675" i="34"/>
  <c r="E677" i="34"/>
  <c r="C680" i="34" a="1"/>
  <c r="C680" i="34" s="1"/>
  <c r="E682" i="34"/>
  <c r="E685" i="34"/>
  <c r="E689" i="34"/>
  <c r="E690" i="34"/>
  <c r="E691" i="34"/>
  <c r="E697" i="34"/>
  <c r="E700" i="34"/>
  <c r="E701" i="34"/>
  <c r="E707" i="34"/>
  <c r="E712" i="34"/>
  <c r="A715" i="34"/>
  <c r="E717" i="34"/>
  <c r="E724" i="34"/>
  <c r="E725" i="34"/>
  <c r="E729" i="34"/>
  <c r="A730" i="34"/>
  <c r="E731" i="34"/>
  <c r="E733" i="34"/>
  <c r="E743" i="34"/>
  <c r="E749" i="34"/>
  <c r="E755" i="34"/>
  <c r="E766" i="34"/>
  <c r="A772" i="34"/>
  <c r="E777" i="34"/>
  <c r="E778" i="34"/>
  <c r="A780" i="34"/>
  <c r="E781" i="34"/>
  <c r="E787" i="34"/>
  <c r="E789" i="34"/>
  <c r="E794" i="34"/>
  <c r="E796" i="34"/>
  <c r="E797" i="34"/>
  <c r="E799" i="34"/>
  <c r="E802" i="34"/>
  <c r="E803" i="34"/>
  <c r="E805" i="34"/>
  <c r="E808" i="34"/>
  <c r="E813" i="34"/>
  <c r="E816" i="34"/>
  <c r="E817" i="34"/>
  <c r="E818" i="34"/>
  <c r="E821" i="34"/>
  <c r="E826" i="34"/>
  <c r="E827" i="34"/>
  <c r="A828" i="34"/>
  <c r="E829" i="34"/>
  <c r="E831" i="34"/>
  <c r="E833" i="34"/>
  <c r="E834" i="34"/>
  <c r="E837" i="34"/>
  <c r="E839" i="34"/>
  <c r="E840" i="34"/>
  <c r="E844" i="34"/>
  <c r="E845" i="34"/>
  <c r="E848" i="34"/>
  <c r="E849" i="34"/>
  <c r="E850" i="34"/>
  <c r="E851" i="34"/>
  <c r="E853" i="34"/>
  <c r="E858" i="34"/>
  <c r="E859" i="34"/>
  <c r="E860" i="34"/>
  <c r="E861" i="34"/>
  <c r="E866" i="34"/>
  <c r="E869" i="34"/>
  <c r="E871" i="34"/>
  <c r="C872" i="34" a="1"/>
  <c r="C872" i="34" s="1"/>
  <c r="E873" i="34"/>
  <c r="E874" i="34"/>
  <c r="E877" i="34"/>
  <c r="E880" i="34"/>
  <c r="E882" i="34"/>
  <c r="E885" i="34"/>
  <c r="E890" i="34"/>
  <c r="E893" i="34"/>
  <c r="E898" i="34"/>
  <c r="E901" i="34"/>
  <c r="E906" i="34"/>
  <c r="E909" i="34"/>
  <c r="E914" i="34"/>
  <c r="E933" i="34"/>
  <c r="E938" i="34"/>
  <c r="E941" i="34"/>
  <c r="E946" i="34"/>
  <c r="E949" i="34"/>
  <c r="E954" i="34"/>
  <c r="E957" i="34"/>
  <c r="E962" i="34"/>
  <c r="E965" i="34"/>
  <c r="A69" i="34"/>
  <c r="A133" i="34"/>
  <c r="A144" i="34"/>
  <c r="A197" i="34"/>
  <c r="C349" i="34" a="1"/>
  <c r="C349" i="34" s="1"/>
  <c r="A381" i="34"/>
  <c r="C493" i="34" a="1"/>
  <c r="C493" i="34" s="1"/>
  <c r="C525" i="34" a="1"/>
  <c r="C525" i="34" s="1"/>
  <c r="C605" i="34" a="1"/>
  <c r="C605" i="34" s="1"/>
  <c r="C653" i="34" a="1"/>
  <c r="C653" i="34" s="1"/>
  <c r="C749" i="34" a="1"/>
  <c r="C749" i="34" s="1"/>
  <c r="C786" i="34" a="1"/>
  <c r="C786" i="34" s="1"/>
  <c r="C794" i="34" a="1"/>
  <c r="C794" i="34" s="1"/>
  <c r="C802" i="34" a="1"/>
  <c r="C802" i="34" s="1"/>
  <c r="C810" i="34" a="1"/>
  <c r="C810" i="34" s="1"/>
  <c r="C818" i="34" a="1"/>
  <c r="C818" i="34" s="1"/>
  <c r="C826" i="34" a="1"/>
  <c r="C826" i="34" s="1"/>
  <c r="C834" i="34" a="1"/>
  <c r="C834" i="34" s="1"/>
  <c r="C842" i="34" a="1"/>
  <c r="C842" i="34" s="1"/>
  <c r="C850" i="34" a="1"/>
  <c r="C850" i="34" s="1"/>
  <c r="C858" i="34" a="1"/>
  <c r="C858" i="34" s="1"/>
  <c r="C866" i="34" a="1"/>
  <c r="C866" i="34" s="1"/>
  <c r="C874" i="34" a="1"/>
  <c r="C874" i="34" s="1"/>
  <c r="C882" i="34" a="1"/>
  <c r="C882" i="34" s="1"/>
  <c r="C890" i="34" a="1"/>
  <c r="C890" i="34" s="1"/>
  <c r="C898" i="34" a="1"/>
  <c r="C898" i="34" s="1"/>
  <c r="C906" i="34" a="1"/>
  <c r="C906" i="34" s="1"/>
  <c r="C914" i="34" a="1"/>
  <c r="C914" i="34" s="1"/>
  <c r="C930" i="34" a="1"/>
  <c r="C930" i="34" s="1"/>
  <c r="C938" i="34" a="1"/>
  <c r="C938" i="34" s="1"/>
  <c r="C946" i="34" a="1"/>
  <c r="C946" i="34" s="1"/>
  <c r="C954" i="34" a="1"/>
  <c r="C954" i="34" s="1"/>
  <c r="C962" i="34" a="1"/>
  <c r="C962" i="34" s="1"/>
  <c r="L966" i="34"/>
  <c r="L3" i="34" s="1"/>
  <c r="C961" i="34" a="1"/>
  <c r="C961" i="34" s="1"/>
  <c r="C960" i="34" a="1"/>
  <c r="C960" i="34" s="1"/>
  <c r="C955" i="34" a="1"/>
  <c r="C955" i="34" s="1"/>
  <c r="C953" i="34" a="1"/>
  <c r="C953" i="34" s="1"/>
  <c r="C947" i="34" a="1"/>
  <c r="C947" i="34" s="1"/>
  <c r="C945" i="34" a="1"/>
  <c r="C945" i="34" s="1"/>
  <c r="C937" i="34" a="1"/>
  <c r="C937" i="34" s="1"/>
  <c r="C936" i="34" a="1"/>
  <c r="C936" i="34" s="1"/>
  <c r="C932" i="34" a="1"/>
  <c r="C932" i="34" s="1"/>
  <c r="C931" i="34" a="1"/>
  <c r="C931" i="34" s="1"/>
  <c r="C929" i="34" a="1"/>
  <c r="C929" i="34" s="1"/>
  <c r="C923" i="34" a="1"/>
  <c r="C923" i="34" s="1"/>
  <c r="C922" i="34" a="1"/>
  <c r="C922" i="34" s="1"/>
  <c r="C921" i="34" a="1"/>
  <c r="C921" i="34" s="1"/>
  <c r="C920" i="34" a="1"/>
  <c r="C920" i="34" s="1"/>
  <c r="C912" i="34" a="1"/>
  <c r="C912" i="34" s="1"/>
  <c r="C907" i="34" a="1"/>
  <c r="C907" i="34" s="1"/>
  <c r="C905" i="34" a="1"/>
  <c r="C905" i="34" s="1"/>
  <c r="C899" i="34" a="1"/>
  <c r="C899" i="34" s="1"/>
  <c r="C897" i="34" a="1"/>
  <c r="C897" i="34" s="1"/>
  <c r="C896" i="34" a="1"/>
  <c r="C896" i="34" s="1"/>
  <c r="C892" i="34" a="1"/>
  <c r="C892" i="34" s="1"/>
  <c r="C889" i="34" a="1"/>
  <c r="C889" i="34" s="1"/>
  <c r="C883" i="34" a="1"/>
  <c r="C883" i="34" s="1"/>
  <c r="C881" i="34" a="1"/>
  <c r="C881" i="34" s="1"/>
  <c r="C876" i="34" a="1"/>
  <c r="C876" i="34" s="1"/>
  <c r="C875" i="34" a="1"/>
  <c r="C875" i="34" s="1"/>
  <c r="C873" i="34" a="1"/>
  <c r="C873" i="34" s="1"/>
  <c r="C868" i="34" a="1"/>
  <c r="C868" i="34" s="1"/>
  <c r="C867" i="34" a="1"/>
  <c r="C867" i="34" s="1"/>
  <c r="E863" i="34"/>
  <c r="C859" i="34" a="1"/>
  <c r="C859" i="34" s="1"/>
  <c r="C857" i="34" a="1"/>
  <c r="C857" i="34" s="1"/>
  <c r="C852" i="34" a="1"/>
  <c r="C852" i="34" s="1"/>
  <c r="C851" i="34" a="1"/>
  <c r="C851" i="34" s="1"/>
  <c r="C849" i="34" a="1"/>
  <c r="C849" i="34" s="1"/>
  <c r="C844" i="34" a="1"/>
  <c r="C844" i="34" s="1"/>
  <c r="C843" i="34" a="1"/>
  <c r="C843" i="34" s="1"/>
  <c r="E842" i="34"/>
  <c r="C841" i="34" a="1"/>
  <c r="C841" i="34" s="1"/>
  <c r="C840" i="34" a="1"/>
  <c r="C840" i="34" s="1"/>
  <c r="C832" i="34" a="1"/>
  <c r="C832" i="34" s="1"/>
  <c r="C827" i="34" a="1"/>
  <c r="C827" i="34" s="1"/>
  <c r="C825" i="34" a="1"/>
  <c r="C825" i="34" s="1"/>
  <c r="C824" i="34" a="1"/>
  <c r="C824" i="34" s="1"/>
  <c r="C819" i="34" a="1"/>
  <c r="C819" i="34" s="1"/>
  <c r="C817" i="34" a="1"/>
  <c r="C817" i="34" s="1"/>
  <c r="C816" i="34" a="1"/>
  <c r="C816" i="34" s="1"/>
  <c r="C811" i="34" a="1"/>
  <c r="C811" i="34" s="1"/>
  <c r="E810" i="34"/>
  <c r="C809" i="34" a="1"/>
  <c r="C809" i="34" s="1"/>
  <c r="C808" i="34" a="1"/>
  <c r="C808" i="34" s="1"/>
  <c r="A808" i="34"/>
  <c r="C807" i="34" a="1"/>
  <c r="C807" i="34" s="1"/>
  <c r="C803" i="34" a="1"/>
  <c r="C803" i="34" s="1"/>
  <c r="C801" i="34" a="1"/>
  <c r="C801" i="34" s="1"/>
  <c r="C796" i="34" a="1"/>
  <c r="C796" i="34" s="1"/>
  <c r="C795" i="34" a="1"/>
  <c r="C795" i="34" s="1"/>
  <c r="C793" i="34" a="1"/>
  <c r="C793" i="34" s="1"/>
  <c r="C791" i="34" a="1"/>
  <c r="C791" i="34" s="1"/>
  <c r="C787" i="34" a="1"/>
  <c r="C787" i="34" s="1"/>
  <c r="E785" i="34"/>
  <c r="C785" i="34" a="1"/>
  <c r="C785" i="34" s="1"/>
  <c r="A785" i="34"/>
  <c r="C780" i="34" a="1"/>
  <c r="C780" i="34" s="1"/>
  <c r="C779" i="34" a="1"/>
  <c r="C779" i="34" s="1"/>
  <c r="C778" i="34" a="1"/>
  <c r="C778" i="34" s="1"/>
  <c r="A778" i="34"/>
  <c r="C777" i="34" a="1"/>
  <c r="C777" i="34" s="1"/>
  <c r="C776" i="34" a="1"/>
  <c r="C776" i="34" s="1"/>
  <c r="C772" i="34" a="1"/>
  <c r="C772" i="34" s="1"/>
  <c r="C771" i="34" a="1"/>
  <c r="C771" i="34" s="1"/>
  <c r="C770" i="34" a="1"/>
  <c r="C770" i="34" s="1"/>
  <c r="C769" i="34" a="1"/>
  <c r="C769" i="34" s="1"/>
  <c r="C766" i="34" a="1"/>
  <c r="C766" i="34" s="1"/>
  <c r="C763" i="34" a="1"/>
  <c r="C763" i="34" s="1"/>
  <c r="E762" i="34"/>
  <c r="C762" i="34" a="1"/>
  <c r="C762" i="34" s="1"/>
  <c r="A762" i="34"/>
  <c r="C756" i="34" a="1"/>
  <c r="C756" i="34" s="1"/>
  <c r="C755" i="34" a="1"/>
  <c r="C755" i="34" s="1"/>
  <c r="C754" i="34" a="1"/>
  <c r="C754" i="34" s="1"/>
  <c r="C753" i="34" a="1"/>
  <c r="C753" i="34" s="1"/>
  <c r="C752" i="34" a="1"/>
  <c r="C752" i="34" s="1"/>
  <c r="C747" i="34" a="1"/>
  <c r="C747" i="34" s="1"/>
  <c r="C746" i="34" a="1"/>
  <c r="C746" i="34" s="1"/>
  <c r="C745" i="34" a="1"/>
  <c r="C745" i="34" s="1"/>
  <c r="C744" i="34" a="1"/>
  <c r="C744" i="34" s="1"/>
  <c r="C739" i="34" a="1"/>
  <c r="C739" i="34" s="1"/>
  <c r="C738" i="34" a="1"/>
  <c r="C738" i="34" s="1"/>
  <c r="C737" i="34" a="1"/>
  <c r="C737" i="34" s="1"/>
  <c r="C736" i="34" a="1"/>
  <c r="C736" i="34" s="1"/>
  <c r="C735" i="34" a="1"/>
  <c r="C735" i="34" s="1"/>
  <c r="C732" i="34" a="1"/>
  <c r="C732" i="34" s="1"/>
  <c r="C731" i="34" a="1"/>
  <c r="C731" i="34" s="1"/>
  <c r="E730" i="34"/>
  <c r="C730" i="34" a="1"/>
  <c r="C730" i="34" s="1"/>
  <c r="C729" i="34" a="1"/>
  <c r="C729" i="34" s="1"/>
  <c r="C728" i="34" a="1"/>
  <c r="C728" i="34" s="1"/>
  <c r="C724" i="34" a="1"/>
  <c r="C724" i="34" s="1"/>
  <c r="C723" i="34" a="1"/>
  <c r="C723" i="34" s="1"/>
  <c r="C722" i="34" a="1"/>
  <c r="C722" i="34" s="1"/>
  <c r="C721" i="34" a="1"/>
  <c r="C721" i="34" s="1"/>
  <c r="C720" i="34" a="1"/>
  <c r="C720" i="34" s="1"/>
  <c r="C715" i="34" a="1"/>
  <c r="C715" i="34" s="1"/>
  <c r="E714" i="34"/>
  <c r="C714" i="34" a="1"/>
  <c r="C714" i="34" s="1"/>
  <c r="A714" i="34"/>
  <c r="C713" i="34" a="1"/>
  <c r="C713" i="34" s="1"/>
  <c r="C712" i="34" a="1"/>
  <c r="C712" i="34" s="1"/>
  <c r="C707" i="34" a="1"/>
  <c r="C707" i="34" s="1"/>
  <c r="C706" i="34" a="1"/>
  <c r="C706" i="34" s="1"/>
  <c r="C705" i="34" a="1"/>
  <c r="C705" i="34" s="1"/>
  <c r="C700" i="34" a="1"/>
  <c r="C700" i="34" s="1"/>
  <c r="C699" i="34" a="1"/>
  <c r="C699" i="34" s="1"/>
  <c r="E698" i="34"/>
  <c r="C698" i="34" a="1"/>
  <c r="C698" i="34" s="1"/>
  <c r="A698" i="34"/>
  <c r="C692" i="34" a="1"/>
  <c r="C692" i="34" s="1"/>
  <c r="C691" i="34" a="1"/>
  <c r="C691" i="34" s="1"/>
  <c r="C690" i="34" a="1"/>
  <c r="C690" i="34" s="1"/>
  <c r="C689" i="34" a="1"/>
  <c r="C689" i="34" s="1"/>
  <c r="A689" i="34"/>
  <c r="C688" i="34" a="1"/>
  <c r="C688" i="34" s="1"/>
  <c r="C684" i="34" a="1"/>
  <c r="C684" i="34" s="1"/>
  <c r="C683" i="34" a="1"/>
  <c r="C683" i="34" s="1"/>
  <c r="C682" i="34" a="1"/>
  <c r="C682" i="34" s="1"/>
  <c r="C681" i="34" a="1"/>
  <c r="C681" i="34" s="1"/>
  <c r="C676" i="34" a="1"/>
  <c r="C676" i="34" s="1"/>
  <c r="C675" i="34" a="1"/>
  <c r="C675" i="34" s="1"/>
  <c r="C674" i="34" a="1"/>
  <c r="C674" i="34" s="1"/>
  <c r="C673" i="34" a="1"/>
  <c r="C673" i="34" s="1"/>
  <c r="C669" i="34" a="1"/>
  <c r="C669" i="34" s="1"/>
  <c r="C668" i="34" a="1"/>
  <c r="C668" i="34" s="1"/>
  <c r="C667" i="34" a="1"/>
  <c r="C667" i="34" s="1"/>
  <c r="E666" i="34"/>
  <c r="C666" i="34" a="1"/>
  <c r="C666" i="34" s="1"/>
  <c r="A666" i="34"/>
  <c r="C665" i="34" a="1"/>
  <c r="C665" i="34" s="1"/>
  <c r="C664" i="34" a="1"/>
  <c r="C664" i="34" s="1"/>
  <c r="C662" i="34" a="1"/>
  <c r="C662" i="34" s="1"/>
  <c r="C659" i="34" a="1"/>
  <c r="C659" i="34" s="1"/>
  <c r="C658" i="34" a="1"/>
  <c r="C658" i="34" s="1"/>
  <c r="E657" i="34"/>
  <c r="C657" i="34" a="1"/>
  <c r="C657" i="34" s="1"/>
  <c r="A657" i="34"/>
  <c r="C656" i="34" a="1"/>
  <c r="C656" i="34" s="1"/>
  <c r="C655" i="34" a="1"/>
  <c r="C655" i="34" s="1"/>
  <c r="C652" i="34" a="1"/>
  <c r="C652" i="34" s="1"/>
  <c r="C651" i="34" a="1"/>
  <c r="C651" i="34" s="1"/>
  <c r="C650" i="34" a="1"/>
  <c r="C650" i="34" s="1"/>
  <c r="C649" i="34" a="1"/>
  <c r="C649" i="34" s="1"/>
  <c r="C647" i="34" a="1"/>
  <c r="C647" i="34" s="1"/>
  <c r="C644" i="34" a="1"/>
  <c r="C644" i="34" s="1"/>
  <c r="C643" i="34" a="1"/>
  <c r="C643" i="34" s="1"/>
  <c r="C642" i="34" a="1"/>
  <c r="C642" i="34" s="1"/>
  <c r="C641" i="34" a="1"/>
  <c r="C641" i="34" s="1"/>
  <c r="C640" i="34" a="1"/>
  <c r="C640" i="34" s="1"/>
  <c r="C636" i="34" a="1"/>
  <c r="C636" i="34" s="1"/>
  <c r="C635" i="34" a="1"/>
  <c r="C635" i="34" s="1"/>
  <c r="C634" i="34" a="1"/>
  <c r="C634" i="34" s="1"/>
  <c r="C633" i="34" a="1"/>
  <c r="C633" i="34" s="1"/>
  <c r="C628" i="34" a="1"/>
  <c r="C628" i="34" s="1"/>
  <c r="C627" i="34" a="1"/>
  <c r="C627" i="34" s="1"/>
  <c r="C626" i="34" a="1"/>
  <c r="C626" i="34" s="1"/>
  <c r="C625" i="34" a="1"/>
  <c r="C625" i="34" s="1"/>
  <c r="C624" i="34" a="1"/>
  <c r="C624" i="34" s="1"/>
  <c r="C622" i="34" a="1"/>
  <c r="C622" i="34" s="1"/>
  <c r="C620" i="34" a="1"/>
  <c r="C620" i="34" s="1"/>
  <c r="C619" i="34" a="1"/>
  <c r="C619" i="34" s="1"/>
  <c r="E618" i="34"/>
  <c r="C618" i="34" a="1"/>
  <c r="C618" i="34" s="1"/>
  <c r="C617" i="34" a="1"/>
  <c r="C617" i="34" s="1"/>
  <c r="E616" i="34"/>
  <c r="C616" i="34" a="1"/>
  <c r="C616" i="34" s="1"/>
  <c r="A616" i="34"/>
  <c r="C611" i="34" a="1"/>
  <c r="C611" i="34" s="1"/>
  <c r="E610" i="34"/>
  <c r="C610" i="34" a="1"/>
  <c r="C610" i="34" s="1"/>
  <c r="A610" i="34"/>
  <c r="C609" i="34" a="1"/>
  <c r="C609" i="34" s="1"/>
  <c r="E608" i="34"/>
  <c r="C608" i="34" a="1"/>
  <c r="C608" i="34" s="1"/>
  <c r="C603" i="34" a="1"/>
  <c r="C603" i="34" s="1"/>
  <c r="E602" i="34"/>
  <c r="C602" i="34" a="1"/>
  <c r="C602" i="34" s="1"/>
  <c r="A602" i="34"/>
  <c r="C601" i="34" a="1"/>
  <c r="C601" i="34" s="1"/>
  <c r="C600" i="34" a="1"/>
  <c r="C600" i="34" s="1"/>
  <c r="C596" i="34" a="1"/>
  <c r="C596" i="34" s="1"/>
  <c r="C595" i="34" a="1"/>
  <c r="C595" i="34" s="1"/>
  <c r="C594" i="34" a="1"/>
  <c r="C594" i="34" s="1"/>
  <c r="C593" i="34" a="1"/>
  <c r="C593" i="34" s="1"/>
  <c r="C592" i="34" a="1"/>
  <c r="C592" i="34" s="1"/>
  <c r="C587" i="34" a="1"/>
  <c r="C587" i="34" s="1"/>
  <c r="E586" i="34"/>
  <c r="C586" i="34" a="1"/>
  <c r="C586" i="34" s="1"/>
  <c r="A586" i="34"/>
  <c r="C585" i="34" a="1"/>
  <c r="C585" i="34" s="1"/>
  <c r="E584" i="34"/>
  <c r="A584" i="34"/>
  <c r="C580" i="34" a="1"/>
  <c r="C580" i="34" s="1"/>
  <c r="C579" i="34" a="1"/>
  <c r="C579" i="34" s="1"/>
  <c r="C578" i="34" a="1"/>
  <c r="C578" i="34" s="1"/>
  <c r="A578" i="34"/>
  <c r="C577" i="34" a="1"/>
  <c r="C577" i="34" s="1"/>
  <c r="C576" i="34" a="1"/>
  <c r="C576" i="34" s="1"/>
  <c r="C572" i="34" a="1"/>
  <c r="C572" i="34" s="1"/>
  <c r="C571" i="34" a="1"/>
  <c r="C571" i="34" s="1"/>
  <c r="C570" i="34" a="1"/>
  <c r="C570" i="34" s="1"/>
  <c r="C569" i="34" a="1"/>
  <c r="C569" i="34" s="1"/>
  <c r="C568" i="34" a="1"/>
  <c r="C568" i="34" s="1"/>
  <c r="C567" i="34" a="1"/>
  <c r="C567" i="34" s="1"/>
  <c r="C564" i="34" a="1"/>
  <c r="C564" i="34" s="1"/>
  <c r="C563" i="34" a="1"/>
  <c r="C563" i="34" s="1"/>
  <c r="E562" i="34"/>
  <c r="C562" i="34" a="1"/>
  <c r="C562" i="34" s="1"/>
  <c r="A562" i="34"/>
  <c r="E561" i="34"/>
  <c r="C561" i="34" a="1"/>
  <c r="C561" i="34" s="1"/>
  <c r="A561" i="34"/>
  <c r="C560" i="34" a="1"/>
  <c r="C560" i="34" s="1"/>
  <c r="C556" i="34" a="1"/>
  <c r="C556" i="34" s="1"/>
  <c r="C555" i="34" a="1"/>
  <c r="C555" i="34" s="1"/>
  <c r="C554" i="34" a="1"/>
  <c r="C554" i="34" s="1"/>
  <c r="A554" i="34"/>
  <c r="E553" i="34"/>
  <c r="C553" i="34" a="1"/>
  <c r="C553" i="34" s="1"/>
  <c r="A553" i="34"/>
  <c r="C552" i="34" a="1"/>
  <c r="C552" i="34" s="1"/>
  <c r="C547" i="34" a="1"/>
  <c r="C547" i="34" s="1"/>
  <c r="C546" i="34" a="1"/>
  <c r="C546" i="34" s="1"/>
  <c r="E545" i="34"/>
  <c r="C545" i="34" a="1"/>
  <c r="C545" i="34" s="1"/>
  <c r="A545" i="34"/>
  <c r="C544" i="34" a="1"/>
  <c r="C544" i="34" s="1"/>
  <c r="C540" i="34" a="1"/>
  <c r="C540" i="34" s="1"/>
  <c r="C539" i="34" a="1"/>
  <c r="C539" i="34" s="1"/>
  <c r="C538" i="34" a="1"/>
  <c r="C538" i="34" s="1"/>
  <c r="E537" i="34"/>
  <c r="C537" i="34" a="1"/>
  <c r="C537" i="34" s="1"/>
  <c r="A537" i="34"/>
  <c r="C536" i="34" a="1"/>
  <c r="C536" i="34" s="1"/>
  <c r="A536" i="34"/>
  <c r="C535" i="34" a="1"/>
  <c r="C535" i="34" s="1"/>
  <c r="C532" i="34" a="1"/>
  <c r="C532" i="34" s="1"/>
  <c r="C531" i="34" a="1"/>
  <c r="C531" i="34" s="1"/>
  <c r="C530" i="34" a="1"/>
  <c r="C530" i="34" s="1"/>
  <c r="C529" i="34" a="1"/>
  <c r="C529" i="34" s="1"/>
  <c r="E528" i="34"/>
  <c r="C528" i="34" a="1"/>
  <c r="C528" i="34" s="1"/>
  <c r="A528" i="34"/>
  <c r="C524" i="34" a="1"/>
  <c r="C524" i="34" s="1"/>
  <c r="C523" i="34" a="1"/>
  <c r="C523" i="34" s="1"/>
  <c r="C522" i="34" a="1"/>
  <c r="C522" i="34" s="1"/>
  <c r="E521" i="34"/>
  <c r="C521" i="34" a="1"/>
  <c r="C521" i="34" s="1"/>
  <c r="A521" i="34"/>
  <c r="C518" i="34" a="1"/>
  <c r="C518" i="34" s="1"/>
  <c r="C515" i="34" a="1"/>
  <c r="C515" i="34" s="1"/>
  <c r="C514" i="34" a="1"/>
  <c r="C514" i="34" s="1"/>
  <c r="E513" i="34"/>
  <c r="C513" i="34" a="1"/>
  <c r="C513" i="34" s="1"/>
  <c r="A513" i="34"/>
  <c r="C512" i="34" a="1"/>
  <c r="C512" i="34" s="1"/>
  <c r="E509" i="34"/>
  <c r="C507" i="34" a="1"/>
  <c r="C507" i="34" s="1"/>
  <c r="C506" i="34" a="1"/>
  <c r="C506" i="34" s="1"/>
  <c r="C505" i="34" a="1"/>
  <c r="C505" i="34" s="1"/>
  <c r="C500" i="34" a="1"/>
  <c r="C500" i="34" s="1"/>
  <c r="C499" i="34" a="1"/>
  <c r="C499" i="34" s="1"/>
  <c r="C498" i="34" a="1"/>
  <c r="C498" i="34" s="1"/>
  <c r="E497" i="34"/>
  <c r="C497" i="34" a="1"/>
  <c r="C497" i="34" s="1"/>
  <c r="A497" i="34"/>
  <c r="C496" i="34" a="1"/>
  <c r="C496" i="34" s="1"/>
  <c r="C492" i="34" a="1"/>
  <c r="C492" i="34" s="1"/>
  <c r="C491" i="34" a="1"/>
  <c r="C491" i="34" s="1"/>
  <c r="E490" i="34"/>
  <c r="C490" i="34" a="1"/>
  <c r="C490" i="34" s="1"/>
  <c r="C489" i="34" a="1"/>
  <c r="C489" i="34" s="1"/>
  <c r="E488" i="34"/>
  <c r="C488" i="34" a="1"/>
  <c r="C488" i="34" s="1"/>
  <c r="A488" i="34"/>
  <c r="C487" i="34" a="1"/>
  <c r="C487" i="34" s="1"/>
  <c r="C486" i="34" a="1"/>
  <c r="C486" i="34" s="1"/>
  <c r="C484" i="34" a="1"/>
  <c r="C484" i="34" s="1"/>
  <c r="C483" i="34" a="1"/>
  <c r="C483" i="34" s="1"/>
  <c r="C482" i="34" a="1"/>
  <c r="C482" i="34" s="1"/>
  <c r="C481" i="34" a="1"/>
  <c r="C481" i="34" s="1"/>
  <c r="A481" i="34"/>
  <c r="E480" i="34"/>
  <c r="C480" i="34" a="1"/>
  <c r="C480" i="34" s="1"/>
  <c r="A480" i="34"/>
  <c r="C476" i="34" a="1"/>
  <c r="C476" i="34" s="1"/>
  <c r="C475" i="34" a="1"/>
  <c r="C475" i="34" s="1"/>
  <c r="C474" i="34" a="1"/>
  <c r="C474" i="34" s="1"/>
  <c r="E473" i="34"/>
  <c r="C473" i="34" a="1"/>
  <c r="C473" i="34" s="1"/>
  <c r="A473" i="34"/>
  <c r="C472" i="34" a="1"/>
  <c r="C472" i="34" s="1"/>
  <c r="C471" i="34" a="1"/>
  <c r="C471" i="34" s="1"/>
  <c r="A468" i="34"/>
  <c r="C467" i="34" a="1"/>
  <c r="C467" i="34" s="1"/>
  <c r="E466" i="34"/>
  <c r="C466" i="34" a="1"/>
  <c r="C466" i="34" s="1"/>
  <c r="A466" i="34"/>
  <c r="E465" i="34"/>
  <c r="C465" i="34" a="1"/>
  <c r="C465" i="34" s="1"/>
  <c r="A465" i="34"/>
  <c r="C464" i="34" a="1"/>
  <c r="C464" i="34" s="1"/>
  <c r="C463" i="34" a="1"/>
  <c r="C463" i="34" s="1"/>
  <c r="E460" i="34"/>
  <c r="C460" i="34" a="1"/>
  <c r="C460" i="34" s="1"/>
  <c r="C459" i="34" a="1"/>
  <c r="C459" i="34" s="1"/>
  <c r="C458" i="34" a="1"/>
  <c r="C458" i="34" s="1"/>
  <c r="C457" i="34" a="1"/>
  <c r="C457" i="34" s="1"/>
  <c r="C456" i="34" a="1"/>
  <c r="C456" i="34" s="1"/>
  <c r="C452" i="34" a="1"/>
  <c r="C452" i="34" s="1"/>
  <c r="C451" i="34" a="1"/>
  <c r="C451" i="34" s="1"/>
  <c r="C450" i="34" a="1"/>
  <c r="C450" i="34" s="1"/>
  <c r="A450" i="34"/>
  <c r="C449" i="34" a="1"/>
  <c r="C449" i="34" s="1"/>
  <c r="C448" i="34" a="1"/>
  <c r="C448" i="34" s="1"/>
  <c r="C447" i="34" a="1"/>
  <c r="C447" i="34" s="1"/>
  <c r="C444" i="34" a="1"/>
  <c r="C444" i="34" s="1"/>
  <c r="C443" i="34" a="1"/>
  <c r="C443" i="34" s="1"/>
  <c r="C442" i="34" a="1"/>
  <c r="C442" i="34" s="1"/>
  <c r="C441" i="34" a="1"/>
  <c r="C441" i="34" s="1"/>
  <c r="C440" i="34" a="1"/>
  <c r="C440" i="34" s="1"/>
  <c r="A440" i="34"/>
  <c r="A439" i="34"/>
  <c r="C438" i="34" a="1"/>
  <c r="C438" i="34" s="1"/>
  <c r="C436" i="34" a="1"/>
  <c r="C436" i="34" s="1"/>
  <c r="C435" i="34" a="1"/>
  <c r="C435" i="34" s="1"/>
  <c r="E434" i="34"/>
  <c r="C434" i="34" a="1"/>
  <c r="C434" i="34" s="1"/>
  <c r="A434" i="34"/>
  <c r="E433" i="34"/>
  <c r="C433" i="34" a="1"/>
  <c r="C433" i="34" s="1"/>
  <c r="A433" i="34"/>
  <c r="C432" i="34" a="1"/>
  <c r="C432" i="34" s="1"/>
  <c r="C428" i="34" a="1"/>
  <c r="C428" i="34" s="1"/>
  <c r="C427" i="34" a="1"/>
  <c r="C427" i="34" s="1"/>
  <c r="E426" i="34"/>
  <c r="C426" i="34" a="1"/>
  <c r="C426" i="34" s="1"/>
  <c r="A426" i="34"/>
  <c r="E425" i="34"/>
  <c r="C425" i="34" a="1"/>
  <c r="C425" i="34" s="1"/>
  <c r="A425" i="34"/>
  <c r="E424" i="34"/>
  <c r="C424" i="34" a="1"/>
  <c r="C424" i="34" s="1"/>
  <c r="A424" i="34"/>
  <c r="C420" i="34" a="1"/>
  <c r="C420" i="34" s="1"/>
  <c r="C419" i="34" a="1"/>
  <c r="C419" i="34" s="1"/>
  <c r="E418" i="34"/>
  <c r="C418" i="34" a="1"/>
  <c r="C418" i="34" s="1"/>
  <c r="C417" i="34" a="1"/>
  <c r="C417" i="34" s="1"/>
  <c r="E416" i="34"/>
  <c r="C416" i="34" a="1"/>
  <c r="C416" i="34" s="1"/>
  <c r="A416" i="34"/>
  <c r="C413" i="34" a="1"/>
  <c r="C413" i="34" s="1"/>
  <c r="C412" i="34" a="1"/>
  <c r="C412" i="34" s="1"/>
  <c r="C411" i="34" a="1"/>
  <c r="C411" i="34" s="1"/>
  <c r="C410" i="34" a="1"/>
  <c r="C410" i="34" s="1"/>
  <c r="A410" i="34"/>
  <c r="E409" i="34"/>
  <c r="C409" i="34" a="1"/>
  <c r="C409" i="34" s="1"/>
  <c r="A409" i="34"/>
  <c r="C408" i="34" a="1"/>
  <c r="C408" i="34" s="1"/>
  <c r="C404" i="34" a="1"/>
  <c r="C404" i="34" s="1"/>
  <c r="C403" i="34" a="1"/>
  <c r="C403" i="34" s="1"/>
  <c r="E402" i="34"/>
  <c r="C402" i="34" a="1"/>
  <c r="C402" i="34" s="1"/>
  <c r="A402" i="34"/>
  <c r="E401" i="34"/>
  <c r="C401" i="34" a="1"/>
  <c r="C401" i="34" s="1"/>
  <c r="A401" i="34"/>
  <c r="E400" i="34"/>
  <c r="C400" i="34" a="1"/>
  <c r="C400" i="34" s="1"/>
  <c r="A400" i="34"/>
  <c r="C397" i="34" a="1"/>
  <c r="C397" i="34" s="1"/>
  <c r="C396" i="34" a="1"/>
  <c r="C396" i="34" s="1"/>
  <c r="C395" i="34" a="1"/>
  <c r="C395" i="34" s="1"/>
  <c r="E394" i="34"/>
  <c r="C394" i="34" a="1"/>
  <c r="C394" i="34" s="1"/>
  <c r="A394" i="34"/>
  <c r="E393" i="34"/>
  <c r="C393" i="34" a="1"/>
  <c r="C393" i="34" s="1"/>
  <c r="A393" i="34"/>
  <c r="E392" i="34"/>
  <c r="C392" i="34" a="1"/>
  <c r="C392" i="34" s="1"/>
  <c r="A392" i="34"/>
  <c r="C388" i="34" a="1"/>
  <c r="C388" i="34" s="1"/>
  <c r="C387" i="34" a="1"/>
  <c r="C387" i="34" s="1"/>
  <c r="C386" i="34" a="1"/>
  <c r="C386" i="34" s="1"/>
  <c r="A386" i="34"/>
  <c r="E385" i="34"/>
  <c r="C385" i="34" a="1"/>
  <c r="C385" i="34" s="1"/>
  <c r="A385" i="34"/>
  <c r="C384" i="34" a="1"/>
  <c r="C384" i="34" s="1"/>
  <c r="A384" i="34"/>
  <c r="C383" i="34" a="1"/>
  <c r="C383" i="34" s="1"/>
  <c r="C380" i="34" a="1"/>
  <c r="C380" i="34" s="1"/>
  <c r="C379" i="34" a="1"/>
  <c r="C379" i="34" s="1"/>
  <c r="E378" i="34"/>
  <c r="C378" i="34" a="1"/>
  <c r="C378" i="34" s="1"/>
  <c r="A378" i="34"/>
  <c r="C377" i="34" a="1"/>
  <c r="C377" i="34" s="1"/>
  <c r="E376" i="34"/>
  <c r="C376" i="34" a="1"/>
  <c r="C376" i="34" s="1"/>
  <c r="A376" i="34"/>
  <c r="C374" i="34" a="1"/>
  <c r="C374" i="34" s="1"/>
  <c r="C373" i="34" a="1"/>
  <c r="C373" i="34" s="1"/>
  <c r="C372" i="34" a="1"/>
  <c r="C372" i="34" s="1"/>
  <c r="C371" i="34" a="1"/>
  <c r="C371" i="34" s="1"/>
  <c r="C370" i="34" a="1"/>
  <c r="C370" i="34" s="1"/>
  <c r="C369" i="34" a="1"/>
  <c r="C369" i="34" s="1"/>
  <c r="C368" i="34" a="1"/>
  <c r="C368" i="34" s="1"/>
  <c r="E365" i="34"/>
  <c r="C364" i="34" a="1"/>
  <c r="C364" i="34" s="1"/>
  <c r="C363" i="34" a="1"/>
  <c r="C363" i="34" s="1"/>
  <c r="E362" i="34"/>
  <c r="C362" i="34" a="1"/>
  <c r="C362" i="34" s="1"/>
  <c r="A362" i="34"/>
  <c r="C361" i="34" a="1"/>
  <c r="C361" i="34" s="1"/>
  <c r="C360" i="34" a="1"/>
  <c r="C360" i="34" s="1"/>
  <c r="A359" i="34"/>
  <c r="C356" i="34" a="1"/>
  <c r="C356" i="34" s="1"/>
  <c r="C355" i="34" a="1"/>
  <c r="C355" i="34" s="1"/>
  <c r="E354" i="34"/>
  <c r="C354" i="34" a="1"/>
  <c r="C354" i="34" s="1"/>
  <c r="A354" i="34"/>
  <c r="C353" i="34" a="1"/>
  <c r="C353" i="34" s="1"/>
  <c r="E352" i="34"/>
  <c r="C352" i="34" a="1"/>
  <c r="C352" i="34" s="1"/>
  <c r="A352" i="34"/>
  <c r="E349" i="34"/>
  <c r="C348" i="34" a="1"/>
  <c r="C348" i="34" s="1"/>
  <c r="C347" i="34" a="1"/>
  <c r="C347" i="34" s="1"/>
  <c r="C346" i="34" a="1"/>
  <c r="C346" i="34" s="1"/>
  <c r="E345" i="34"/>
  <c r="C345" i="34" a="1"/>
  <c r="C345" i="34" s="1"/>
  <c r="A345" i="34"/>
  <c r="C344" i="34" a="1"/>
  <c r="C344" i="34" s="1"/>
  <c r="C337" i="34" a="1"/>
  <c r="C337" i="34" s="1"/>
  <c r="C336" i="34" a="1"/>
  <c r="C336" i="34" s="1"/>
  <c r="E333" i="34"/>
  <c r="C332" i="34" a="1"/>
  <c r="C332" i="34" s="1"/>
  <c r="E329" i="34"/>
  <c r="A329" i="34"/>
  <c r="E328" i="34"/>
  <c r="C328" i="34" a="1"/>
  <c r="C328" i="34" s="1"/>
  <c r="A328" i="34"/>
  <c r="E327" i="34"/>
  <c r="A327" i="34"/>
  <c r="C324" i="34" a="1"/>
  <c r="C324" i="34" s="1"/>
  <c r="E321" i="34"/>
  <c r="C321" i="34" a="1"/>
  <c r="C321" i="34" s="1"/>
  <c r="A321" i="34"/>
  <c r="E320" i="34"/>
  <c r="C320" i="34" a="1"/>
  <c r="C320" i="34" s="1"/>
  <c r="A320" i="34"/>
  <c r="E317" i="34"/>
  <c r="C316" i="34" a="1"/>
  <c r="C316" i="34" s="1"/>
  <c r="C313" i="34" a="1"/>
  <c r="C313" i="34" s="1"/>
  <c r="E312" i="34"/>
  <c r="C312" i="34" a="1"/>
  <c r="C312" i="34" s="1"/>
  <c r="A312" i="34"/>
  <c r="C311" i="34" a="1"/>
  <c r="C311" i="34" s="1"/>
  <c r="C308" i="34" a="1"/>
  <c r="C308" i="34" s="1"/>
  <c r="E305" i="34"/>
  <c r="C305" i="34" a="1"/>
  <c r="C305" i="34" s="1"/>
  <c r="A305" i="34"/>
  <c r="E304" i="34"/>
  <c r="C304" i="34" a="1"/>
  <c r="C304" i="34" s="1"/>
  <c r="A304" i="34"/>
  <c r="E297" i="34"/>
  <c r="C297" i="34" a="1"/>
  <c r="C297" i="34" s="1"/>
  <c r="A297" i="34"/>
  <c r="E296" i="34"/>
  <c r="C296" i="34" a="1"/>
  <c r="C296" i="34" s="1"/>
  <c r="A296" i="34"/>
  <c r="C289" i="34" a="1"/>
  <c r="C289" i="34" s="1"/>
  <c r="A289" i="34"/>
  <c r="E288" i="34"/>
  <c r="C288" i="34" a="1"/>
  <c r="C288" i="34" s="1"/>
  <c r="A288" i="34"/>
  <c r="C287" i="34" a="1"/>
  <c r="C287" i="34" s="1"/>
  <c r="E285" i="34"/>
  <c r="C281" i="34" a="1"/>
  <c r="C281" i="34" s="1"/>
  <c r="E280" i="34"/>
  <c r="C280" i="34" a="1"/>
  <c r="C280" i="34" s="1"/>
  <c r="A280" i="34"/>
  <c r="E273" i="34"/>
  <c r="C273" i="34" a="1"/>
  <c r="C273" i="34" s="1"/>
  <c r="A273" i="34"/>
  <c r="E272" i="34"/>
  <c r="C272" i="34" a="1"/>
  <c r="C272" i="34" s="1"/>
  <c r="A272" i="34"/>
  <c r="C271" i="34" a="1"/>
  <c r="C271" i="34" s="1"/>
  <c r="C267" i="34" a="1"/>
  <c r="C267" i="34" s="1"/>
  <c r="E265" i="34"/>
  <c r="C265" i="34" a="1"/>
  <c r="C265" i="34" s="1"/>
  <c r="A265" i="34"/>
  <c r="E264" i="34"/>
  <c r="C264" i="34" a="1"/>
  <c r="C264" i="34" s="1"/>
  <c r="A264" i="34"/>
  <c r="E263" i="34"/>
  <c r="C263" i="34" a="1"/>
  <c r="C263" i="34" s="1"/>
  <c r="A263" i="34"/>
  <c r="E257" i="34"/>
  <c r="C257" i="34" a="1"/>
  <c r="C257" i="34" s="1"/>
  <c r="A257" i="34"/>
  <c r="E256" i="34"/>
  <c r="C256" i="34" a="1"/>
  <c r="C256" i="34" s="1"/>
  <c r="A256" i="34"/>
  <c r="E255" i="34"/>
  <c r="C255" i="34" a="1"/>
  <c r="C255" i="34" s="1"/>
  <c r="A255" i="34"/>
  <c r="E253" i="34"/>
  <c r="A253" i="34"/>
  <c r="C249" i="34" a="1"/>
  <c r="C249" i="34" s="1"/>
  <c r="C248" i="34" a="1"/>
  <c r="C248" i="34" s="1"/>
  <c r="E247" i="34"/>
  <c r="C247" i="34" a="1"/>
  <c r="C247" i="34" s="1"/>
  <c r="A247" i="34"/>
  <c r="E241" i="34"/>
  <c r="C241" i="34" a="1"/>
  <c r="C241" i="34" s="1"/>
  <c r="A241" i="34"/>
  <c r="E240" i="34"/>
  <c r="C240" i="34" a="1"/>
  <c r="C240" i="34" s="1"/>
  <c r="A240" i="34"/>
  <c r="E239" i="34"/>
  <c r="C239" i="34" a="1"/>
  <c r="C239" i="34" s="1"/>
  <c r="A239" i="34"/>
  <c r="E237" i="34"/>
  <c r="A237" i="34"/>
  <c r="C236" i="34" a="1"/>
  <c r="C236" i="34" s="1"/>
  <c r="E233" i="34"/>
  <c r="C233" i="34" a="1"/>
  <c r="C233" i="34" s="1"/>
  <c r="A233" i="34"/>
  <c r="E232" i="34"/>
  <c r="C232" i="34" a="1"/>
  <c r="C232" i="34" s="1"/>
  <c r="A232" i="34"/>
  <c r="E231" i="34"/>
  <c r="C231" i="34" a="1"/>
  <c r="C231" i="34" s="1"/>
  <c r="A231" i="34"/>
  <c r="E225" i="34"/>
  <c r="C225" i="34" a="1"/>
  <c r="C225" i="34" s="1"/>
  <c r="A225" i="34"/>
  <c r="E224" i="34"/>
  <c r="C224" i="34" a="1"/>
  <c r="C224" i="34" s="1"/>
  <c r="A224" i="34"/>
  <c r="E223" i="34"/>
  <c r="C223" i="34" a="1"/>
  <c r="C223" i="34" s="1"/>
  <c r="A223" i="34"/>
  <c r="E217" i="34"/>
  <c r="C217" i="34" a="1"/>
  <c r="C217" i="34" s="1"/>
  <c r="A217" i="34"/>
  <c r="C216" i="34" a="1"/>
  <c r="C216" i="34" s="1"/>
  <c r="E215" i="34"/>
  <c r="C215" i="34" a="1"/>
  <c r="C215" i="34" s="1"/>
  <c r="A215" i="34"/>
  <c r="C214" i="34" a="1"/>
  <c r="C214" i="34" s="1"/>
  <c r="C213" i="34" a="1"/>
  <c r="C213" i="34" s="1"/>
  <c r="A213" i="34"/>
  <c r="E209" i="34"/>
  <c r="C209" i="34" a="1"/>
  <c r="C209" i="34" s="1"/>
  <c r="A209" i="34"/>
  <c r="E208" i="34"/>
  <c r="C208" i="34" a="1"/>
  <c r="C208" i="34" s="1"/>
  <c r="A208" i="34"/>
  <c r="E207" i="34"/>
  <c r="C207" i="34" a="1"/>
  <c r="C207" i="34" s="1"/>
  <c r="A207" i="34"/>
  <c r="E205" i="34"/>
  <c r="C205" i="34" a="1"/>
  <c r="C205" i="34" s="1"/>
  <c r="E201" i="34"/>
  <c r="C201" i="34" a="1"/>
  <c r="C201" i="34" s="1"/>
  <c r="A201" i="34"/>
  <c r="E200" i="34"/>
  <c r="C200" i="34" a="1"/>
  <c r="C200" i="34" s="1"/>
  <c r="A200" i="34"/>
  <c r="E199" i="34"/>
  <c r="C199" i="34" a="1"/>
  <c r="C199" i="34" s="1"/>
  <c r="A199" i="34"/>
  <c r="C198" i="34" a="1"/>
  <c r="C198" i="34" s="1"/>
  <c r="E197" i="34"/>
  <c r="C197" i="34" a="1"/>
  <c r="C197" i="34" s="1"/>
  <c r="C194" i="34" a="1"/>
  <c r="C194" i="34" s="1"/>
  <c r="E193" i="34"/>
  <c r="C193" i="34" a="1"/>
  <c r="C193" i="34" s="1"/>
  <c r="A193" i="34"/>
  <c r="C192" i="34" a="1"/>
  <c r="C192" i="34" s="1"/>
  <c r="E191" i="34"/>
  <c r="C191" i="34" a="1"/>
  <c r="C191" i="34" s="1"/>
  <c r="A191" i="34"/>
  <c r="C189" i="34" a="1"/>
  <c r="C189" i="34" s="1"/>
  <c r="C185" i="34" a="1"/>
  <c r="C185" i="34" s="1"/>
  <c r="A185" i="34"/>
  <c r="E184" i="34"/>
  <c r="C184" i="34" a="1"/>
  <c r="C184" i="34" s="1"/>
  <c r="A184" i="34"/>
  <c r="E183" i="34"/>
  <c r="C183" i="34" a="1"/>
  <c r="C183" i="34" s="1"/>
  <c r="C181" i="34" a="1"/>
  <c r="C181" i="34" s="1"/>
  <c r="E177" i="34"/>
  <c r="C177" i="34" a="1"/>
  <c r="C177" i="34" s="1"/>
  <c r="A177" i="34"/>
  <c r="E176" i="34"/>
  <c r="C176" i="34" a="1"/>
  <c r="C176" i="34" s="1"/>
  <c r="A176" i="34"/>
  <c r="E175" i="34"/>
  <c r="C175" i="34" a="1"/>
  <c r="C175" i="34" s="1"/>
  <c r="A175" i="34"/>
  <c r="E152" i="34"/>
  <c r="C152" i="34" a="1"/>
  <c r="C152" i="34" s="1"/>
  <c r="A152" i="34"/>
  <c r="C150" i="34" a="1"/>
  <c r="C150" i="34" s="1"/>
  <c r="C147" i="34" a="1"/>
  <c r="C147" i="34" s="1"/>
  <c r="E145" i="34"/>
  <c r="C145" i="34" a="1"/>
  <c r="C145" i="34" s="1"/>
  <c r="A145" i="34"/>
  <c r="E144" i="34"/>
  <c r="C144" i="34" a="1"/>
  <c r="C144" i="34" s="1"/>
  <c r="E143" i="34"/>
  <c r="C143" i="34" a="1"/>
  <c r="C143" i="34" s="1"/>
  <c r="A143" i="34"/>
  <c r="C141" i="34" a="1"/>
  <c r="C141" i="34" s="1"/>
  <c r="C174" i="34" a="1"/>
  <c r="C174" i="34" s="1"/>
  <c r="C173" i="34" a="1"/>
  <c r="C173" i="34" s="1"/>
  <c r="C169" i="34" a="1"/>
  <c r="C169" i="34" s="1"/>
  <c r="E168" i="34"/>
  <c r="C168" i="34" a="1"/>
  <c r="C168" i="34" s="1"/>
  <c r="A168" i="34"/>
  <c r="E167" i="34"/>
  <c r="C167" i="34" a="1"/>
  <c r="C167" i="34" s="1"/>
  <c r="A167" i="34"/>
  <c r="E165" i="34"/>
  <c r="C165" i="34" a="1"/>
  <c r="C165" i="34" s="1"/>
  <c r="A165" i="34"/>
  <c r="C164" i="34" a="1"/>
  <c r="C164" i="34" s="1"/>
  <c r="C161" i="34" a="1"/>
  <c r="C161" i="34" s="1"/>
  <c r="E160" i="34"/>
  <c r="C160" i="34" a="1"/>
  <c r="C160" i="34" s="1"/>
  <c r="A160" i="34"/>
  <c r="C159" i="34" a="1"/>
  <c r="C159" i="34" s="1"/>
  <c r="A159" i="34"/>
  <c r="E157" i="34"/>
  <c r="C157" i="34" a="1"/>
  <c r="C157" i="34" s="1"/>
  <c r="A157" i="34"/>
  <c r="E153" i="34"/>
  <c r="C153" i="34" a="1"/>
  <c r="C153" i="34" s="1"/>
  <c r="C151" i="34" a="1"/>
  <c r="C151" i="34" s="1"/>
  <c r="C149" i="34" a="1"/>
  <c r="C149" i="34" s="1"/>
  <c r="E137" i="34"/>
  <c r="C137" i="34" a="1"/>
  <c r="C137" i="34" s="1"/>
  <c r="E136" i="34"/>
  <c r="C136" i="34" a="1"/>
  <c r="C136" i="34" s="1"/>
  <c r="A136" i="34"/>
  <c r="E135" i="34"/>
  <c r="C135" i="34" a="1"/>
  <c r="C135" i="34" s="1"/>
  <c r="A135" i="34"/>
  <c r="C134" i="34" a="1"/>
  <c r="C134" i="34" s="1"/>
  <c r="E133" i="34"/>
  <c r="C133" i="34" a="1"/>
  <c r="C133" i="34" s="1"/>
  <c r="C129" i="34" a="1"/>
  <c r="C129" i="34" s="1"/>
  <c r="C128" i="34" a="1"/>
  <c r="C128" i="34" s="1"/>
  <c r="E127" i="34"/>
  <c r="C127" i="34" a="1"/>
  <c r="C127" i="34" s="1"/>
  <c r="C125" i="34" a="1"/>
  <c r="C125" i="34" s="1"/>
  <c r="C121" i="34" a="1"/>
  <c r="C121" i="34" s="1"/>
  <c r="E120" i="34"/>
  <c r="C120" i="34" a="1"/>
  <c r="C120" i="34" s="1"/>
  <c r="A120" i="34"/>
  <c r="C119" i="34" a="1"/>
  <c r="C119" i="34" s="1"/>
  <c r="C117" i="34" a="1"/>
  <c r="C117" i="34" s="1"/>
  <c r="E113" i="34"/>
  <c r="C113" i="34" a="1"/>
  <c r="C113" i="34" s="1"/>
  <c r="A113" i="34"/>
  <c r="E112" i="34"/>
  <c r="C112" i="34" a="1"/>
  <c r="C112" i="34" s="1"/>
  <c r="A112" i="34"/>
  <c r="E111" i="34"/>
  <c r="C111" i="34" a="1"/>
  <c r="C111" i="34" s="1"/>
  <c r="A111" i="34"/>
  <c r="C109" i="34" a="1"/>
  <c r="C109" i="34" s="1"/>
  <c r="C106" i="34" a="1"/>
  <c r="C106" i="34" s="1"/>
  <c r="E105" i="34"/>
  <c r="C105" i="34" a="1"/>
  <c r="C105" i="34" s="1"/>
  <c r="A105" i="34"/>
  <c r="E104" i="34"/>
  <c r="C104" i="34" a="1"/>
  <c r="C104" i="34" s="1"/>
  <c r="A104" i="34"/>
  <c r="E103" i="34"/>
  <c r="C103" i="34" a="1"/>
  <c r="C103" i="34" s="1"/>
  <c r="A103" i="34"/>
  <c r="C101" i="34" a="1"/>
  <c r="C101" i="34" s="1"/>
  <c r="C100" i="34" a="1"/>
  <c r="C100" i="34" s="1"/>
  <c r="C99" i="34" a="1"/>
  <c r="C99" i="34" s="1"/>
  <c r="C97" i="34" a="1"/>
  <c r="C97" i="34" s="1"/>
  <c r="A97" i="34"/>
  <c r="E96" i="34"/>
  <c r="C96" i="34" a="1"/>
  <c r="C96" i="34" s="1"/>
  <c r="A96" i="34"/>
  <c r="E95" i="34"/>
  <c r="C95" i="34" a="1"/>
  <c r="C95" i="34" s="1"/>
  <c r="A95" i="34"/>
  <c r="C93" i="34" a="1"/>
  <c r="C93" i="34" s="1"/>
  <c r="C89" i="34" a="1"/>
  <c r="C89" i="34" s="1"/>
  <c r="E88" i="34"/>
  <c r="C88" i="34" a="1"/>
  <c r="C88" i="34" s="1"/>
  <c r="A88" i="34"/>
  <c r="C87" i="34" a="1"/>
  <c r="C87" i="34" s="1"/>
  <c r="A87" i="34"/>
  <c r="C85" i="34" a="1"/>
  <c r="C85" i="34" s="1"/>
  <c r="C82" i="34" a="1"/>
  <c r="C82" i="34" s="1"/>
  <c r="E81" i="34"/>
  <c r="C81" i="34" a="1"/>
  <c r="C81" i="34" s="1"/>
  <c r="A81" i="34"/>
  <c r="C80" i="34" a="1"/>
  <c r="C80" i="34" s="1"/>
  <c r="E79" i="34"/>
  <c r="C79" i="34" a="1"/>
  <c r="C79" i="34" s="1"/>
  <c r="A79" i="34"/>
  <c r="E77" i="34"/>
  <c r="C77" i="34" a="1"/>
  <c r="C77" i="34" s="1"/>
  <c r="E73" i="34"/>
  <c r="C73" i="34" a="1"/>
  <c r="C73" i="34" s="1"/>
  <c r="A73" i="34"/>
  <c r="E72" i="34"/>
  <c r="C72" i="34" a="1"/>
  <c r="C72" i="34" s="1"/>
  <c r="A72" i="34"/>
  <c r="E71" i="34"/>
  <c r="C71" i="34" a="1"/>
  <c r="C71" i="34" s="1"/>
  <c r="A71" i="34"/>
  <c r="C70" i="34" a="1"/>
  <c r="C70" i="34" s="1"/>
  <c r="E69" i="34"/>
  <c r="C69" i="34" a="1"/>
  <c r="C69" i="34" s="1"/>
  <c r="E65" i="34"/>
  <c r="C65" i="34" a="1"/>
  <c r="C65" i="34" s="1"/>
  <c r="A65" i="34"/>
  <c r="C64" i="34" a="1"/>
  <c r="C64" i="34" s="1"/>
  <c r="E63" i="34"/>
  <c r="C63" i="34" a="1"/>
  <c r="C63" i="34" s="1"/>
  <c r="A63" i="34"/>
  <c r="C61" i="34" a="1"/>
  <c r="C61" i="34" s="1"/>
  <c r="C60" i="34" a="1"/>
  <c r="C60" i="34" s="1"/>
  <c r="C57" i="34" a="1"/>
  <c r="C57" i="34" s="1"/>
  <c r="C56" i="34" a="1"/>
  <c r="C56" i="34" s="1"/>
  <c r="E55" i="34"/>
  <c r="C55" i="34" a="1"/>
  <c r="C55" i="34" s="1"/>
  <c r="A55" i="34"/>
  <c r="E53" i="34"/>
  <c r="C53" i="34" a="1"/>
  <c r="C53" i="34" s="1"/>
  <c r="E49" i="34"/>
  <c r="C49" i="34" a="1"/>
  <c r="C49" i="34" s="1"/>
  <c r="A49" i="34"/>
  <c r="C48" i="34" a="1"/>
  <c r="C48" i="34" s="1"/>
  <c r="A48" i="34"/>
  <c r="E47" i="34"/>
  <c r="C47" i="34" a="1"/>
  <c r="C47" i="34" s="1"/>
  <c r="A47" i="34"/>
  <c r="C45" i="34" a="1"/>
  <c r="C45" i="34" s="1"/>
  <c r="C42" i="34" a="1"/>
  <c r="C42" i="34" s="1"/>
  <c r="E41" i="34"/>
  <c r="C41" i="34" a="1"/>
  <c r="C41" i="34" s="1"/>
  <c r="A41" i="34"/>
  <c r="C40" i="34" a="1"/>
  <c r="C40" i="34" s="1"/>
  <c r="E39" i="34"/>
  <c r="C39" i="34" a="1"/>
  <c r="C39" i="34" s="1"/>
  <c r="A39" i="34"/>
  <c r="C37" i="34" a="1"/>
  <c r="C37" i="34" s="1"/>
  <c r="C35" i="34" a="1"/>
  <c r="C35" i="34" s="1"/>
  <c r="E33" i="34"/>
  <c r="C33" i="34" a="1"/>
  <c r="C33" i="34" s="1"/>
  <c r="A33" i="34"/>
  <c r="C32" i="34" a="1"/>
  <c r="C32" i="34" s="1"/>
  <c r="E31" i="34"/>
  <c r="C31" i="34" a="1"/>
  <c r="C31" i="34" s="1"/>
  <c r="A31" i="34"/>
  <c r="C29" i="34" a="1"/>
  <c r="C29" i="34" s="1"/>
  <c r="C25" i="34" a="1"/>
  <c r="C25" i="34" s="1"/>
  <c r="C24" i="34" a="1"/>
  <c r="C24" i="34" s="1"/>
  <c r="A24" i="34"/>
  <c r="C23" i="34" a="1"/>
  <c r="C23" i="34" s="1"/>
  <c r="A23" i="34"/>
  <c r="C21" i="34" a="1"/>
  <c r="C21" i="34" s="1"/>
  <c r="C20" i="34" a="1"/>
  <c r="C20" i="34" s="1"/>
  <c r="E19" i="34"/>
  <c r="E17" i="34"/>
  <c r="C17" i="34" a="1"/>
  <c r="C17" i="34" s="1"/>
  <c r="A17" i="34"/>
  <c r="C16" i="34" a="1"/>
  <c r="C16" i="34" s="1"/>
  <c r="E15" i="34"/>
  <c r="C15" i="34" a="1"/>
  <c r="C15" i="34" s="1"/>
  <c r="A15" i="34"/>
  <c r="C13" i="34" a="1"/>
  <c r="C13" i="34" s="1"/>
  <c r="E11" i="34"/>
  <c r="E9" i="34"/>
  <c r="C9" i="34" a="1"/>
  <c r="C9" i="34" s="1"/>
  <c r="A9" i="34"/>
  <c r="E8" i="34"/>
  <c r="C8" i="34" a="1"/>
  <c r="C8" i="34" s="1"/>
  <c r="A8" i="34"/>
  <c r="C7" i="34" a="1"/>
  <c r="C7" i="34" s="1"/>
  <c r="C6" i="34" a="1"/>
  <c r="C6" i="34" s="1"/>
  <c r="A237" i="31"/>
  <c r="A299" i="31"/>
  <c r="A172" i="31"/>
  <c r="A173" i="31"/>
  <c r="A174" i="31"/>
  <c r="A44" i="31"/>
  <c r="A274" i="31"/>
  <c r="A14" i="31"/>
  <c r="A175" i="31"/>
  <c r="A94" i="31"/>
  <c r="A238" i="31"/>
  <c r="A275" i="31"/>
  <c r="A15" i="31"/>
  <c r="A300" i="31"/>
  <c r="A45" i="31"/>
  <c r="A95" i="31"/>
  <c r="A239" i="31"/>
  <c r="A176" i="31"/>
  <c r="A136" i="31"/>
  <c r="A16" i="31"/>
  <c r="A177" i="31"/>
  <c r="A240" i="31"/>
  <c r="A96" i="31"/>
  <c r="A137" i="31"/>
  <c r="A17" i="31"/>
  <c r="A46" i="31"/>
  <c r="A97" i="31"/>
  <c r="A241" i="31"/>
  <c r="A61" i="31"/>
  <c r="A178" i="31"/>
  <c r="A138" i="31"/>
  <c r="A18" i="31"/>
  <c r="A2" i="31"/>
  <c r="A179" i="31"/>
  <c r="A242" i="31"/>
  <c r="A98" i="31"/>
  <c r="A19" i="31"/>
  <c r="A62" i="31"/>
  <c r="A139" i="31"/>
  <c r="A47" i="31"/>
  <c r="A301" i="31"/>
  <c r="A63" i="31"/>
  <c r="A180" i="31"/>
  <c r="A20" i="31"/>
  <c r="A181" i="31"/>
  <c r="A64" i="31"/>
  <c r="A21" i="31"/>
  <c r="A302" i="31"/>
  <c r="A303" i="31"/>
  <c r="A182" i="31"/>
  <c r="A183" i="31"/>
  <c r="A276" i="31"/>
  <c r="A140" i="31"/>
  <c r="A184" i="31"/>
  <c r="A304" i="31"/>
  <c r="A277" i="31"/>
  <c r="A141" i="31"/>
  <c r="A305" i="31"/>
  <c r="A306" i="31"/>
  <c r="A65" i="31"/>
  <c r="A243" i="31"/>
  <c r="A185" i="31"/>
  <c r="A142" i="31"/>
  <c r="A186" i="31"/>
  <c r="A244" i="31"/>
  <c r="A66" i="31"/>
  <c r="A143" i="31"/>
  <c r="A307" i="31"/>
  <c r="A99" i="31"/>
  <c r="A67" i="31"/>
  <c r="A245" i="31"/>
  <c r="A308" i="31"/>
  <c r="A48" i="31"/>
  <c r="A22" i="31"/>
  <c r="A309" i="31"/>
  <c r="A246" i="31"/>
  <c r="A100" i="31"/>
  <c r="A68" i="31"/>
  <c r="A23" i="31"/>
  <c r="A24" i="31"/>
  <c r="A49" i="31"/>
  <c r="A101" i="31"/>
  <c r="A187" i="31"/>
  <c r="A247" i="31"/>
  <c r="A144" i="31"/>
  <c r="A25" i="31"/>
  <c r="A3" i="31"/>
  <c r="A188" i="31"/>
  <c r="A248" i="31"/>
  <c r="A249" i="31"/>
  <c r="A26" i="31"/>
  <c r="A145" i="31"/>
  <c r="A102" i="31"/>
  <c r="A50" i="31"/>
  <c r="A103" i="31"/>
  <c r="A310" i="31"/>
  <c r="A189" i="31"/>
  <c r="A190" i="31"/>
  <c r="A234" i="31"/>
  <c r="A69" i="31"/>
  <c r="A250" i="31"/>
  <c r="A146" i="31"/>
  <c r="A191" i="31"/>
  <c r="A192" i="31"/>
  <c r="A251" i="31"/>
  <c r="A104" i="31"/>
  <c r="A70" i="31"/>
  <c r="A147" i="31"/>
  <c r="A311" i="31"/>
  <c r="A105" i="31"/>
  <c r="A106" i="31"/>
  <c r="A148" i="31"/>
  <c r="A252" i="31"/>
  <c r="A312" i="31"/>
  <c r="A193" i="31"/>
  <c r="A194" i="31"/>
  <c r="A27" i="31"/>
  <c r="A195" i="31"/>
  <c r="A253" i="31"/>
  <c r="A313" i="31"/>
  <c r="A107" i="31"/>
  <c r="A149" i="31"/>
  <c r="A28" i="31"/>
  <c r="A108" i="31"/>
  <c r="A314" i="31"/>
  <c r="A278" i="31"/>
  <c r="A196" i="31"/>
  <c r="A71" i="31"/>
  <c r="A4" i="31"/>
  <c r="A197" i="31"/>
  <c r="A315" i="31"/>
  <c r="A279" i="31"/>
  <c r="A109" i="31"/>
  <c r="A72" i="31"/>
  <c r="A73" i="31"/>
  <c r="A280" i="31"/>
  <c r="A316" i="31"/>
  <c r="A198" i="31"/>
  <c r="A199" i="31"/>
  <c r="A150" i="31"/>
  <c r="A200" i="31"/>
  <c r="A281" i="31"/>
  <c r="A151" i="31"/>
  <c r="A317" i="31"/>
  <c r="A74" i="31"/>
  <c r="A318" i="31"/>
  <c r="A201" i="31"/>
  <c r="A152" i="31"/>
  <c r="A202" i="31"/>
  <c r="A254" i="31"/>
  <c r="A153" i="31"/>
  <c r="A75" i="31"/>
  <c r="A76" i="31"/>
  <c r="A51" i="31"/>
  <c r="A110" i="31"/>
  <c r="A29" i="31"/>
  <c r="A111" i="31"/>
  <c r="A5" i="31"/>
  <c r="A77" i="31"/>
  <c r="A255" i="31"/>
  <c r="A319" i="31"/>
  <c r="A282" i="31"/>
  <c r="A30" i="31"/>
  <c r="A112" i="31"/>
  <c r="A256" i="31"/>
  <c r="A283" i="31"/>
  <c r="A78" i="31"/>
  <c r="A320" i="31"/>
  <c r="A52" i="31"/>
  <c r="A113" i="31"/>
  <c r="A114" i="31"/>
  <c r="A257" i="31"/>
  <c r="A284" i="31"/>
  <c r="A79" i="31"/>
  <c r="A203" i="31"/>
  <c r="A31" i="31"/>
  <c r="A321" i="31"/>
  <c r="A115" i="31"/>
  <c r="A204" i="31"/>
  <c r="A285" i="31"/>
  <c r="A80" i="31"/>
  <c r="A32" i="31"/>
  <c r="A322" i="31"/>
  <c r="A116" i="31"/>
  <c r="A205" i="31"/>
  <c r="A258" i="31"/>
  <c r="A323" i="31"/>
  <c r="A33" i="31"/>
  <c r="A206" i="31"/>
  <c r="A6" i="31"/>
  <c r="A117" i="31"/>
  <c r="A59" i="31"/>
  <c r="A60" i="31"/>
  <c r="A34" i="31"/>
  <c r="A324" i="31"/>
  <c r="A118" i="31"/>
  <c r="A81" i="31"/>
  <c r="A53" i="31"/>
  <c r="A207" i="31"/>
  <c r="A208" i="31"/>
  <c r="A209" i="31"/>
  <c r="A259" i="31"/>
  <c r="A154" i="31"/>
  <c r="A35" i="31"/>
  <c r="A210" i="31"/>
  <c r="A260" i="31"/>
  <c r="A119" i="31"/>
  <c r="A155" i="31"/>
  <c r="A82" i="31"/>
  <c r="A120" i="31"/>
  <c r="A36" i="31"/>
  <c r="A54" i="31"/>
  <c r="A121" i="31"/>
  <c r="A211" i="31"/>
  <c r="A156" i="31"/>
  <c r="A37" i="31"/>
  <c r="A212" i="31"/>
  <c r="A122" i="31"/>
  <c r="A38" i="31"/>
  <c r="A157" i="31"/>
  <c r="A325" i="31"/>
  <c r="A286" i="31"/>
  <c r="A213" i="31"/>
  <c r="A158" i="31"/>
  <c r="A214" i="31"/>
  <c r="A7" i="31"/>
  <c r="A287" i="31"/>
  <c r="A159" i="31"/>
  <c r="A326" i="31"/>
  <c r="A327" i="31"/>
  <c r="A288" i="31"/>
  <c r="A215" i="31"/>
  <c r="A216" i="31"/>
  <c r="A160" i="31"/>
  <c r="A261" i="31"/>
  <c r="A8" i="31"/>
  <c r="A217" i="31"/>
  <c r="A9" i="31"/>
  <c r="A262" i="31"/>
  <c r="A328" i="31"/>
  <c r="A289" i="31"/>
  <c r="A161" i="31"/>
  <c r="A83" i="31"/>
  <c r="A329" i="31"/>
  <c r="A263" i="31"/>
  <c r="A264" i="31"/>
  <c r="A290" i="31"/>
  <c r="A123" i="31"/>
  <c r="A265" i="31"/>
  <c r="A291" i="31"/>
  <c r="A330" i="31"/>
  <c r="A55" i="31"/>
  <c r="A124" i="31"/>
  <c r="A266" i="31"/>
  <c r="A218" i="31"/>
  <c r="A219" i="31"/>
  <c r="A292" i="31"/>
  <c r="A331" i="31"/>
  <c r="A162" i="31"/>
  <c r="A39" i="31"/>
  <c r="A10" i="31"/>
  <c r="A220" i="31"/>
  <c r="A332" i="31"/>
  <c r="A40" i="31"/>
  <c r="A163" i="31"/>
  <c r="A293" i="31"/>
  <c r="A125" i="31"/>
  <c r="A126" i="31"/>
  <c r="A235" i="31"/>
  <c r="A127" i="31"/>
  <c r="A128" i="31"/>
  <c r="A56" i="31"/>
  <c r="A84" i="31"/>
  <c r="A85" i="31"/>
  <c r="A86" i="31"/>
  <c r="A267" i="31"/>
  <c r="A333" i="31"/>
  <c r="A221" i="31"/>
  <c r="A222" i="31"/>
  <c r="A164" i="31"/>
  <c r="A41" i="31"/>
  <c r="A223" i="31"/>
  <c r="A11" i="31"/>
  <c r="A129" i="31"/>
  <c r="A42" i="31"/>
  <c r="A165" i="31"/>
  <c r="A87" i="31"/>
  <c r="A334" i="31"/>
  <c r="A57" i="31"/>
  <c r="A130" i="31"/>
  <c r="A88" i="31"/>
  <c r="A224" i="31"/>
  <c r="A12" i="31"/>
  <c r="A13" i="31"/>
  <c r="A166" i="31"/>
  <c r="A225" i="31"/>
  <c r="A226" i="31"/>
  <c r="A131" i="31"/>
  <c r="A167" i="31"/>
  <c r="A89" i="31"/>
  <c r="A132" i="31"/>
  <c r="A294" i="31"/>
  <c r="A90" i="31"/>
  <c r="A227" i="31"/>
  <c r="A228" i="31"/>
  <c r="A229" i="31"/>
  <c r="A295" i="31"/>
  <c r="A91" i="31"/>
  <c r="A133" i="31"/>
  <c r="A335" i="31"/>
  <c r="A296" i="31"/>
  <c r="A268" i="31"/>
  <c r="A230" i="31"/>
  <c r="A168" i="31"/>
  <c r="A231" i="31"/>
  <c r="A269" i="31"/>
  <c r="A169" i="31"/>
  <c r="A297" i="31"/>
  <c r="A336" i="31"/>
  <c r="A134" i="31"/>
  <c r="A92" i="31"/>
  <c r="A337" i="31"/>
  <c r="A270" i="31"/>
  <c r="A271" i="31"/>
  <c r="A232" i="31"/>
  <c r="A170" i="31"/>
  <c r="A233" i="31"/>
  <c r="A272" i="31"/>
  <c r="A171" i="31"/>
  <c r="A93" i="31"/>
  <c r="A58" i="31"/>
  <c r="A236" i="31"/>
  <c r="A338" i="31"/>
  <c r="A135" i="31"/>
  <c r="A298" i="31"/>
  <c r="A273" i="31"/>
  <c r="A43" i="31"/>
  <c r="A505" i="34" l="1"/>
  <c r="A570" i="34"/>
  <c r="A817" i="34"/>
  <c r="A16" i="34"/>
  <c r="G16" i="34" s="1" a="1"/>
  <c r="G16" i="34" s="1"/>
  <c r="N16" i="34" s="1"/>
  <c r="E25" i="34"/>
  <c r="A151" i="34"/>
  <c r="G151" i="34" s="1" a="1"/>
  <c r="G151" i="34" s="1"/>
  <c r="N151" i="34" s="1"/>
  <c r="A336" i="34"/>
  <c r="F336" i="34" s="1" a="1"/>
  <c r="F336" i="34" s="1"/>
  <c r="A650" i="34"/>
  <c r="G650" i="34" s="1" a="1"/>
  <c r="G650" i="34" s="1"/>
  <c r="E80" i="34"/>
  <c r="A141" i="34"/>
  <c r="A464" i="34"/>
  <c r="A129" i="34"/>
  <c r="F129" i="34" s="1" a="1"/>
  <c r="F129" i="34" s="1"/>
  <c r="A370" i="34"/>
  <c r="F370" i="34" s="1" a="1"/>
  <c r="F370" i="34" s="1"/>
  <c r="E715" i="34"/>
  <c r="A7" i="34"/>
  <c r="G7" i="34" s="1" a="1"/>
  <c r="G7" i="34" s="1"/>
  <c r="N7" i="34" s="1"/>
  <c r="A56" i="34"/>
  <c r="G56" i="34" s="1" a="1"/>
  <c r="G56" i="34" s="1"/>
  <c r="A248" i="34"/>
  <c r="A514" i="34"/>
  <c r="A169" i="34"/>
  <c r="A216" i="34"/>
  <c r="G216" i="34" s="1" a="1"/>
  <c r="G216" i="34" s="1"/>
  <c r="E281" i="34"/>
  <c r="A377" i="34"/>
  <c r="F377" i="34" s="1" a="1"/>
  <c r="F377" i="34" s="1"/>
  <c r="A448" i="34"/>
  <c r="G448" i="34" s="1" a="1"/>
  <c r="G448" i="34" s="1"/>
  <c r="N448" i="34" s="1"/>
  <c r="A552" i="34"/>
  <c r="F552" i="34" s="1" a="1"/>
  <c r="F552" i="34" s="1"/>
  <c r="A571" i="34"/>
  <c r="A682" i="34"/>
  <c r="A119" i="34"/>
  <c r="F119" i="34" s="1" a="1"/>
  <c r="F119" i="34" s="1"/>
  <c r="A271" i="34"/>
  <c r="F271" i="34" s="1" a="1"/>
  <c r="F271" i="34" s="1"/>
  <c r="A408" i="34"/>
  <c r="F408" i="34" s="1" a="1"/>
  <c r="F408" i="34" s="1"/>
  <c r="A432" i="34"/>
  <c r="G432" i="34" s="1" a="1"/>
  <c r="G432" i="34" s="1"/>
  <c r="N432" i="34" s="1"/>
  <c r="A441" i="34"/>
  <c r="F441" i="34" s="1" a="1"/>
  <c r="F441" i="34" s="1"/>
  <c r="E89" i="34"/>
  <c r="E161" i="34"/>
  <c r="E173" i="34"/>
  <c r="E580" i="34"/>
  <c r="A419" i="34"/>
  <c r="G419" i="34" s="1" a="1"/>
  <c r="G419" i="34" s="1"/>
  <c r="N419" i="34" s="1"/>
  <c r="A535" i="34"/>
  <c r="A287" i="34"/>
  <c r="A311" i="34"/>
  <c r="F311" i="34" s="1" a="1"/>
  <c r="F311" i="34" s="1"/>
  <c r="K311" i="34" s="1"/>
  <c r="C327" i="34" a="1"/>
  <c r="C327" i="34" s="1"/>
  <c r="A351" i="34"/>
  <c r="C359" i="34" a="1"/>
  <c r="C359" i="34" s="1"/>
  <c r="C439" i="34" a="1"/>
  <c r="C439" i="34" s="1"/>
  <c r="A519" i="34"/>
  <c r="C677" i="34" a="1"/>
  <c r="C677" i="34" s="1"/>
  <c r="C708" i="34" a="1"/>
  <c r="C708" i="34" s="1"/>
  <c r="C764" i="34" a="1"/>
  <c r="C764" i="34" s="1"/>
  <c r="C775" i="34" a="1"/>
  <c r="C775" i="34" s="1"/>
  <c r="C783" i="34" a="1"/>
  <c r="C783" i="34" s="1"/>
  <c r="C828" i="34" a="1"/>
  <c r="C828" i="34" s="1"/>
  <c r="C864" i="34" a="1"/>
  <c r="C864" i="34" s="1"/>
  <c r="C880" i="34" a="1"/>
  <c r="C880" i="34" s="1"/>
  <c r="C895" i="34" a="1"/>
  <c r="C895" i="34" s="1"/>
  <c r="C908" i="34" a="1"/>
  <c r="C908" i="34" s="1"/>
  <c r="C935" i="34" a="1"/>
  <c r="C935" i="34" s="1"/>
  <c r="C948" i="34" a="1"/>
  <c r="C948" i="34" s="1"/>
  <c r="C964" i="34" a="1"/>
  <c r="C964" i="34" s="1"/>
  <c r="C949" i="34" a="1"/>
  <c r="C949" i="34" s="1"/>
  <c r="C909" i="34" a="1"/>
  <c r="C909" i="34" s="1"/>
  <c r="C877" i="34" a="1"/>
  <c r="C877" i="34" s="1"/>
  <c r="C845" i="34" a="1"/>
  <c r="C845" i="34" s="1"/>
  <c r="C813" i="34" a="1"/>
  <c r="C813" i="34" s="1"/>
  <c r="C781" i="34" a="1"/>
  <c r="C781" i="34" s="1"/>
  <c r="C621" i="34" a="1"/>
  <c r="C621" i="34" s="1"/>
  <c r="C509" i="34" a="1"/>
  <c r="C509" i="34" s="1"/>
  <c r="C365" i="34" a="1"/>
  <c r="C365" i="34" s="1"/>
  <c r="C958" i="34" a="1"/>
  <c r="C958" i="34" s="1"/>
  <c r="E958" i="34"/>
  <c r="C950" i="34" a="1"/>
  <c r="C950" i="34" s="1"/>
  <c r="E950" i="34"/>
  <c r="C942" i="34" a="1"/>
  <c r="C942" i="34" s="1"/>
  <c r="E942" i="34"/>
  <c r="C934" i="34" a="1"/>
  <c r="C934" i="34" s="1"/>
  <c r="E934" i="34"/>
  <c r="C926" i="34" a="1"/>
  <c r="C926" i="34" s="1"/>
  <c r="E926" i="34"/>
  <c r="C918" i="34" a="1"/>
  <c r="C918" i="34" s="1"/>
  <c r="E918" i="34"/>
  <c r="C910" i="34" a="1"/>
  <c r="C910" i="34" s="1"/>
  <c r="E910" i="34"/>
  <c r="C902" i="34" a="1"/>
  <c r="C902" i="34" s="1"/>
  <c r="E902" i="34"/>
  <c r="C894" i="34" a="1"/>
  <c r="C894" i="34" s="1"/>
  <c r="E894" i="34"/>
  <c r="C886" i="34" a="1"/>
  <c r="C886" i="34" s="1"/>
  <c r="E886" i="34"/>
  <c r="C878" i="34" a="1"/>
  <c r="C878" i="34" s="1"/>
  <c r="E878" i="34"/>
  <c r="C870" i="34" a="1"/>
  <c r="C870" i="34" s="1"/>
  <c r="E870" i="34"/>
  <c r="C862" i="34" a="1"/>
  <c r="C862" i="34" s="1"/>
  <c r="E862" i="34"/>
  <c r="C854" i="34" a="1"/>
  <c r="C854" i="34" s="1"/>
  <c r="E854" i="34"/>
  <c r="C846" i="34" a="1"/>
  <c r="C846" i="34" s="1"/>
  <c r="E846" i="34"/>
  <c r="C838" i="34" a="1"/>
  <c r="C838" i="34" s="1"/>
  <c r="E838" i="34"/>
  <c r="C830" i="34" a="1"/>
  <c r="C830" i="34" s="1"/>
  <c r="E830" i="34"/>
  <c r="C822" i="34" a="1"/>
  <c r="C822" i="34" s="1"/>
  <c r="E822" i="34"/>
  <c r="C814" i="34" a="1"/>
  <c r="C814" i="34" s="1"/>
  <c r="E814" i="34"/>
  <c r="C806" i="34" a="1"/>
  <c r="C806" i="34" s="1"/>
  <c r="E806" i="34"/>
  <c r="C798" i="34" a="1"/>
  <c r="C798" i="34" s="1"/>
  <c r="E798" i="34"/>
  <c r="C790" i="34" a="1"/>
  <c r="C790" i="34" s="1"/>
  <c r="E790" i="34"/>
  <c r="C782" i="34" a="1"/>
  <c r="C782" i="34" s="1"/>
  <c r="E782" i="34"/>
  <c r="C774" i="34" a="1"/>
  <c r="C774" i="34" s="1"/>
  <c r="E774" i="34"/>
  <c r="C758" i="34" a="1"/>
  <c r="C758" i="34" s="1"/>
  <c r="E758" i="34"/>
  <c r="C750" i="34" a="1"/>
  <c r="C750" i="34" s="1"/>
  <c r="E750" i="34"/>
  <c r="C742" i="34" a="1"/>
  <c r="C742" i="34" s="1"/>
  <c r="E742" i="34"/>
  <c r="C734" i="34" a="1"/>
  <c r="C734" i="34" s="1"/>
  <c r="E734" i="34"/>
  <c r="C726" i="34" a="1"/>
  <c r="C726" i="34" s="1"/>
  <c r="E726" i="34"/>
  <c r="C718" i="34" a="1"/>
  <c r="C718" i="34" s="1"/>
  <c r="E718" i="34"/>
  <c r="C710" i="34" a="1"/>
  <c r="C710" i="34" s="1"/>
  <c r="E710" i="34"/>
  <c r="C702" i="34" a="1"/>
  <c r="C702" i="34" s="1"/>
  <c r="E702" i="34"/>
  <c r="C694" i="34" a="1"/>
  <c r="C694" i="34" s="1"/>
  <c r="E694" i="34"/>
  <c r="C686" i="34" a="1"/>
  <c r="C686" i="34" s="1"/>
  <c r="E686" i="34"/>
  <c r="C678" i="34" a="1"/>
  <c r="C678" i="34" s="1"/>
  <c r="E678" i="34"/>
  <c r="C670" i="34" a="1"/>
  <c r="C670" i="34" s="1"/>
  <c r="E670" i="34"/>
  <c r="E662" i="34"/>
  <c r="C654" i="34" a="1"/>
  <c r="C654" i="34" s="1"/>
  <c r="E654" i="34"/>
  <c r="C646" i="34" a="1"/>
  <c r="C646" i="34" s="1"/>
  <c r="E646" i="34"/>
  <c r="C638" i="34" a="1"/>
  <c r="C638" i="34" s="1"/>
  <c r="E638" i="34"/>
  <c r="C630" i="34" a="1"/>
  <c r="C630" i="34" s="1"/>
  <c r="E630" i="34"/>
  <c r="E622" i="34"/>
  <c r="C614" i="34" a="1"/>
  <c r="C614" i="34" s="1"/>
  <c r="E614" i="34"/>
  <c r="C606" i="34" a="1"/>
  <c r="C606" i="34" s="1"/>
  <c r="E606" i="34"/>
  <c r="C598" i="34" a="1"/>
  <c r="C598" i="34" s="1"/>
  <c r="E598" i="34"/>
  <c r="E590" i="34"/>
  <c r="C582" i="34" a="1"/>
  <c r="C582" i="34" s="1"/>
  <c r="E582" i="34"/>
  <c r="C574" i="34" a="1"/>
  <c r="C574" i="34" s="1"/>
  <c r="E574" i="34"/>
  <c r="C566" i="34" a="1"/>
  <c r="C566" i="34" s="1"/>
  <c r="E566" i="34"/>
  <c r="C550" i="34" a="1"/>
  <c r="C550" i="34" s="1"/>
  <c r="E550" i="34"/>
  <c r="C542" i="34" a="1"/>
  <c r="C542" i="34" s="1"/>
  <c r="E542" i="34"/>
  <c r="C534" i="34" a="1"/>
  <c r="C534" i="34" s="1"/>
  <c r="E534" i="34"/>
  <c r="C526" i="34" a="1"/>
  <c r="C526" i="34" s="1"/>
  <c r="E526" i="34"/>
  <c r="E518" i="34"/>
  <c r="C510" i="34" a="1"/>
  <c r="C510" i="34" s="1"/>
  <c r="E510" i="34"/>
  <c r="C502" i="34" a="1"/>
  <c r="C502" i="34" s="1"/>
  <c r="E502" i="34"/>
  <c r="C494" i="34" a="1"/>
  <c r="C494" i="34" s="1"/>
  <c r="E494" i="34"/>
  <c r="C478" i="34" a="1"/>
  <c r="C478" i="34" s="1"/>
  <c r="E478" i="34"/>
  <c r="C470" i="34" a="1"/>
  <c r="C470" i="34" s="1"/>
  <c r="E470" i="34"/>
  <c r="C462" i="34" a="1"/>
  <c r="C462" i="34" s="1"/>
  <c r="E462" i="34"/>
  <c r="C454" i="34" a="1"/>
  <c r="C454" i="34" s="1"/>
  <c r="E454" i="34"/>
  <c r="C446" i="34" a="1"/>
  <c r="C446" i="34" s="1"/>
  <c r="E446" i="34"/>
  <c r="C430" i="34" a="1"/>
  <c r="C430" i="34" s="1"/>
  <c r="C422" i="34" a="1"/>
  <c r="C422" i="34" s="1"/>
  <c r="E422" i="34"/>
  <c r="C414" i="34" a="1"/>
  <c r="C414" i="34" s="1"/>
  <c r="E414" i="34"/>
  <c r="C406" i="34" a="1"/>
  <c r="C406" i="34" s="1"/>
  <c r="E406" i="34"/>
  <c r="C398" i="34" a="1"/>
  <c r="C398" i="34" s="1"/>
  <c r="E398" i="34"/>
  <c r="C390" i="34" a="1"/>
  <c r="C390" i="34" s="1"/>
  <c r="E390" i="34"/>
  <c r="C382" i="34" a="1"/>
  <c r="C382" i="34" s="1"/>
  <c r="E382" i="34"/>
  <c r="C366" i="34" a="1"/>
  <c r="C366" i="34" s="1"/>
  <c r="C358" i="34" a="1"/>
  <c r="C358" i="34" s="1"/>
  <c r="E358" i="34"/>
  <c r="C350" i="34" a="1"/>
  <c r="C350" i="34" s="1"/>
  <c r="E350" i="34"/>
  <c r="C342" i="34" a="1"/>
  <c r="C342" i="34" s="1"/>
  <c r="E342" i="34"/>
  <c r="C927" i="34" a="1"/>
  <c r="C927" i="34" s="1"/>
  <c r="C375" i="34" a="1"/>
  <c r="C375" i="34" s="1"/>
  <c r="A407" i="34"/>
  <c r="A669" i="34"/>
  <c r="F669" i="34" s="1" a="1"/>
  <c r="F669" i="34" s="1"/>
  <c r="E533" i="34"/>
  <c r="C533" i="34" a="1"/>
  <c r="C533" i="34" s="1"/>
  <c r="C357" i="34" a="1"/>
  <c r="C357" i="34" s="1"/>
  <c r="E357" i="34"/>
  <c r="C221" i="34" a="1"/>
  <c r="C221" i="34" s="1"/>
  <c r="C847" i="34" a="1"/>
  <c r="C847" i="34" s="1"/>
  <c r="A695" i="34"/>
  <c r="F695" i="34" s="1" a="1"/>
  <c r="F695" i="34" s="1"/>
  <c r="I695" i="34" s="1"/>
  <c r="A687" i="34"/>
  <c r="C687" i="34" a="1"/>
  <c r="C687" i="34" s="1"/>
  <c r="A575" i="34"/>
  <c r="C351" i="34" a="1"/>
  <c r="C351" i="34" s="1"/>
  <c r="C551" i="34" a="1"/>
  <c r="C551" i="34" s="1"/>
  <c r="C831" i="34" a="1"/>
  <c r="C831" i="34" s="1"/>
  <c r="C855" i="34" a="1"/>
  <c r="C855" i="34" s="1"/>
  <c r="C741" i="34" a="1"/>
  <c r="C741" i="34" s="1"/>
  <c r="E741" i="34"/>
  <c r="C613" i="34" a="1"/>
  <c r="C613" i="34" s="1"/>
  <c r="E613" i="34"/>
  <c r="C549" i="34" a="1"/>
  <c r="C549" i="34" s="1"/>
  <c r="E549" i="34"/>
  <c r="C501" i="34" a="1"/>
  <c r="C501" i="34" s="1"/>
  <c r="E501" i="34"/>
  <c r="E429" i="34"/>
  <c r="C429" i="34" a="1"/>
  <c r="C429" i="34" s="1"/>
  <c r="E413" i="34"/>
  <c r="E373" i="34"/>
  <c r="A295" i="34"/>
  <c r="F295" i="34" s="1" a="1"/>
  <c r="F295" i="34" s="1"/>
  <c r="C407" i="34" a="1"/>
  <c r="C407" i="34" s="1"/>
  <c r="C415" i="34" a="1"/>
  <c r="C415" i="34" s="1"/>
  <c r="A631" i="34"/>
  <c r="G631" i="34" s="1" a="1"/>
  <c r="G631" i="34" s="1"/>
  <c r="C671" i="34" a="1"/>
  <c r="C671" i="34" s="1"/>
  <c r="A685" i="34"/>
  <c r="C901" i="34" a="1"/>
  <c r="C901" i="34" s="1"/>
  <c r="C837" i="34" a="1"/>
  <c r="C837" i="34" s="1"/>
  <c r="C477" i="34" a="1"/>
  <c r="C477" i="34" s="1"/>
  <c r="A732" i="34"/>
  <c r="F732" i="34" s="1" a="1"/>
  <c r="F732" i="34" s="1"/>
  <c r="I732" i="34" s="1"/>
  <c r="E732" i="34"/>
  <c r="E660" i="34"/>
  <c r="C660" i="34" a="1"/>
  <c r="C660" i="34" s="1"/>
  <c r="E548" i="34"/>
  <c r="C548" i="34" a="1"/>
  <c r="C548" i="34" s="1"/>
  <c r="E516" i="34"/>
  <c r="C516" i="34" a="1"/>
  <c r="C516" i="34" s="1"/>
  <c r="A508" i="34"/>
  <c r="F508" i="34" s="1" a="1"/>
  <c r="F508" i="34" s="1"/>
  <c r="C508" i="34" a="1"/>
  <c r="C508" i="34" s="1"/>
  <c r="A412" i="34"/>
  <c r="G412" i="34" s="1" a="1"/>
  <c r="G412" i="34" s="1"/>
  <c r="A823" i="34"/>
  <c r="C823" i="34" a="1"/>
  <c r="C823" i="34" s="1"/>
  <c r="C751" i="34" a="1"/>
  <c r="C751" i="34" s="1"/>
  <c r="A415" i="34"/>
  <c r="F415" i="34" s="1" a="1"/>
  <c r="F415" i="34" s="1"/>
  <c r="C519" i="34" a="1"/>
  <c r="C519" i="34" s="1"/>
  <c r="C639" i="34" a="1"/>
  <c r="C639" i="34" s="1"/>
  <c r="C719" i="34" a="1"/>
  <c r="C719" i="34" s="1"/>
  <c r="C951" i="34" a="1"/>
  <c r="C951" i="34" s="1"/>
  <c r="C773" i="34" a="1"/>
  <c r="C773" i="34" s="1"/>
  <c r="E773" i="34"/>
  <c r="E765" i="34"/>
  <c r="C765" i="34" a="1"/>
  <c r="C765" i="34" s="1"/>
  <c r="C757" i="34" a="1"/>
  <c r="C757" i="34" s="1"/>
  <c r="E757" i="34"/>
  <c r="C693" i="34" a="1"/>
  <c r="C693" i="34" s="1"/>
  <c r="E693" i="34"/>
  <c r="C645" i="34" a="1"/>
  <c r="C645" i="34" s="1"/>
  <c r="E645" i="34"/>
  <c r="E637" i="34"/>
  <c r="C637" i="34" a="1"/>
  <c r="C637" i="34" s="1"/>
  <c r="C629" i="34" a="1"/>
  <c r="C629" i="34" s="1"/>
  <c r="E629" i="34"/>
  <c r="C565" i="34" a="1"/>
  <c r="C565" i="34" s="1"/>
  <c r="E565" i="34"/>
  <c r="C485" i="34" a="1"/>
  <c r="C485" i="34" s="1"/>
  <c r="E485" i="34"/>
  <c r="C423" i="34" a="1"/>
  <c r="C423" i="34" s="1"/>
  <c r="C479" i="34" a="1"/>
  <c r="C479" i="34" s="1"/>
  <c r="C583" i="34" a="1"/>
  <c r="C583" i="34" s="1"/>
  <c r="C679" i="34" a="1"/>
  <c r="C679" i="34" s="1"/>
  <c r="C5" i="34" a="1"/>
  <c r="C5" i="34" s="1"/>
  <c r="E5" i="34"/>
  <c r="C941" i="34" a="1"/>
  <c r="C941" i="34" s="1"/>
  <c r="C869" i="34" a="1"/>
  <c r="C869" i="34" s="1"/>
  <c r="C805" i="34" a="1"/>
  <c r="C805" i="34" s="1"/>
  <c r="C733" i="34" a="1"/>
  <c r="C733" i="34" s="1"/>
  <c r="C597" i="34" a="1"/>
  <c r="C597" i="34" s="1"/>
  <c r="C333" i="34" a="1"/>
  <c r="C333" i="34" s="1"/>
  <c r="C916" i="34" a="1"/>
  <c r="C916" i="34" s="1"/>
  <c r="C812" i="34" a="1"/>
  <c r="C812" i="34" s="1"/>
  <c r="E804" i="34"/>
  <c r="C804" i="34" a="1"/>
  <c r="C804" i="34" s="1"/>
  <c r="E716" i="34"/>
  <c r="C716" i="34" a="1"/>
  <c r="C716" i="34" s="1"/>
  <c r="C295" i="34" a="1"/>
  <c r="C295" i="34" s="1"/>
  <c r="A319" i="34"/>
  <c r="F319" i="34" s="1" a="1"/>
  <c r="F319" i="34" s="1"/>
  <c r="C335" i="34" a="1"/>
  <c r="C335" i="34" s="1"/>
  <c r="C399" i="34" a="1"/>
  <c r="C399" i="34" s="1"/>
  <c r="A445" i="34"/>
  <c r="C495" i="34" a="1"/>
  <c r="C495" i="34" s="1"/>
  <c r="C588" i="34" a="1"/>
  <c r="C588" i="34" s="1"/>
  <c r="C604" i="34" a="1"/>
  <c r="C604" i="34" s="1"/>
  <c r="C631" i="34" a="1"/>
  <c r="C631" i="34" s="1"/>
  <c r="C672" i="34" a="1"/>
  <c r="C672" i="34" s="1"/>
  <c r="C695" i="34" a="1"/>
  <c r="C695" i="34" s="1"/>
  <c r="C703" i="34" a="1"/>
  <c r="C703" i="34" s="1"/>
  <c r="C760" i="34" a="1"/>
  <c r="C760" i="34" s="1"/>
  <c r="C799" i="34" a="1"/>
  <c r="C799" i="34" s="1"/>
  <c r="C820" i="34" a="1"/>
  <c r="C820" i="34" s="1"/>
  <c r="C833" i="34" a="1"/>
  <c r="C833" i="34" s="1"/>
  <c r="C848" i="34" a="1"/>
  <c r="C848" i="34" s="1"/>
  <c r="C871" i="34" a="1"/>
  <c r="C871" i="34" s="1"/>
  <c r="C884" i="34" a="1"/>
  <c r="C884" i="34" s="1"/>
  <c r="C913" i="34" a="1"/>
  <c r="C913" i="34" s="1"/>
  <c r="C924" i="34" a="1"/>
  <c r="C924" i="34" s="1"/>
  <c r="C940" i="34" a="1"/>
  <c r="C940" i="34" s="1"/>
  <c r="C965" i="34" a="1"/>
  <c r="C965" i="34" s="1"/>
  <c r="C725" i="34" a="1"/>
  <c r="C725" i="34" s="1"/>
  <c r="C589" i="34" a="1"/>
  <c r="C589" i="34" s="1"/>
  <c r="C469" i="34" a="1"/>
  <c r="C469" i="34" s="1"/>
  <c r="C301" i="34" a="1"/>
  <c r="C301" i="34" s="1"/>
  <c r="C939" i="34" a="1"/>
  <c r="C939" i="34" s="1"/>
  <c r="E891" i="34"/>
  <c r="C891" i="34" a="1"/>
  <c r="C891" i="34" s="1"/>
  <c r="C835" i="34" a="1"/>
  <c r="C835" i="34" s="1"/>
  <c r="A819" i="34"/>
  <c r="A795" i="34"/>
  <c r="A763" i="34"/>
  <c r="C879" i="34" a="1"/>
  <c r="C879" i="34" s="1"/>
  <c r="A807" i="34"/>
  <c r="E663" i="34"/>
  <c r="C607" i="34" a="1"/>
  <c r="C607" i="34" s="1"/>
  <c r="A591" i="34"/>
  <c r="C591" i="34" a="1"/>
  <c r="C591" i="34" s="1"/>
  <c r="A423" i="34"/>
  <c r="G423" i="34" s="1" a="1"/>
  <c r="G423" i="34" s="1"/>
  <c r="N423" i="34" s="1"/>
  <c r="A511" i="34"/>
  <c r="G511" i="34" s="1" a="1"/>
  <c r="G511" i="34" s="1"/>
  <c r="N511" i="34" s="1"/>
  <c r="C543" i="34" a="1"/>
  <c r="C543" i="34" s="1"/>
  <c r="C911" i="34" a="1"/>
  <c r="C911" i="34" s="1"/>
  <c r="C709" i="34" a="1"/>
  <c r="C709" i="34" s="1"/>
  <c r="C581" i="34" a="1"/>
  <c r="C581" i="34" s="1"/>
  <c r="E581" i="34"/>
  <c r="C517" i="34" a="1"/>
  <c r="C517" i="34" s="1"/>
  <c r="E517" i="34"/>
  <c r="E461" i="34"/>
  <c r="C453" i="34" a="1"/>
  <c r="C453" i="34" s="1"/>
  <c r="E453" i="34"/>
  <c r="C437" i="34" a="1"/>
  <c r="C437" i="34" s="1"/>
  <c r="E437" i="34"/>
  <c r="C421" i="34" a="1"/>
  <c r="C421" i="34" s="1"/>
  <c r="A405" i="34"/>
  <c r="E389" i="34"/>
  <c r="A335" i="34"/>
  <c r="G335" i="34" s="1" a="1"/>
  <c r="G335" i="34" s="1"/>
  <c r="N335" i="34" s="1"/>
  <c r="C511" i="34" a="1"/>
  <c r="C511" i="34" s="1"/>
  <c r="A701" i="34"/>
  <c r="F701" i="34" s="1" a="1"/>
  <c r="F701" i="34" s="1"/>
  <c r="K701" i="34" s="1"/>
  <c r="C759" i="34" a="1"/>
  <c r="C759" i="34" s="1"/>
  <c r="C767" i="34" a="1"/>
  <c r="C767" i="34" s="1"/>
  <c r="A279" i="34"/>
  <c r="F279" i="34" s="1" a="1"/>
  <c r="F279" i="34" s="1"/>
  <c r="K279" i="34" s="1"/>
  <c r="C319" i="34" a="1"/>
  <c r="C319" i="34" s="1"/>
  <c r="A343" i="34"/>
  <c r="F343" i="34" s="1" a="1"/>
  <c r="F343" i="34" s="1"/>
  <c r="A367" i="34"/>
  <c r="F367" i="34" s="1" a="1"/>
  <c r="F367" i="34" s="1"/>
  <c r="C381" i="34" a="1"/>
  <c r="C381" i="34" s="1"/>
  <c r="A391" i="34"/>
  <c r="G391" i="34" s="1" a="1"/>
  <c r="G391" i="34" s="1"/>
  <c r="C455" i="34" a="1"/>
  <c r="C455" i="34" s="1"/>
  <c r="C468" i="34" a="1"/>
  <c r="C468" i="34" s="1"/>
  <c r="A503" i="34"/>
  <c r="F503" i="34" s="1" a="1"/>
  <c r="F503" i="34" s="1"/>
  <c r="A512" i="34"/>
  <c r="G512" i="34" s="1" a="1"/>
  <c r="G512" i="34" s="1"/>
  <c r="A527" i="34"/>
  <c r="F527" i="34" s="1" a="1"/>
  <c r="F527" i="34" s="1"/>
  <c r="K527" i="34" s="1"/>
  <c r="C558" i="34" a="1"/>
  <c r="C558" i="34" s="1"/>
  <c r="C584" i="34" a="1"/>
  <c r="C584" i="34" s="1"/>
  <c r="C590" i="34" a="1"/>
  <c r="C590" i="34" s="1"/>
  <c r="C599" i="34" a="1"/>
  <c r="C599" i="34" s="1"/>
  <c r="A608" i="34"/>
  <c r="C612" i="34" a="1"/>
  <c r="C612" i="34" s="1"/>
  <c r="C632" i="34" a="1"/>
  <c r="C632" i="34" s="1"/>
  <c r="C697" i="34" a="1"/>
  <c r="C697" i="34" s="1"/>
  <c r="C704" i="34" a="1"/>
  <c r="C704" i="34" s="1"/>
  <c r="C740" i="34" a="1"/>
  <c r="C740" i="34" s="1"/>
  <c r="C748" i="34" a="1"/>
  <c r="C748" i="34" s="1"/>
  <c r="C800" i="34" a="1"/>
  <c r="C800" i="34" s="1"/>
  <c r="C836" i="34" a="1"/>
  <c r="C836" i="34" s="1"/>
  <c r="A849" i="34"/>
  <c r="F849" i="34" s="1" a="1"/>
  <c r="F849" i="34" s="1"/>
  <c r="C860" i="34" a="1"/>
  <c r="C860" i="34" s="1"/>
  <c r="C887" i="34" a="1"/>
  <c r="C887" i="34" s="1"/>
  <c r="C900" i="34" a="1"/>
  <c r="C900" i="34" s="1"/>
  <c r="C915" i="34" a="1"/>
  <c r="C915" i="34" s="1"/>
  <c r="C928" i="34" a="1"/>
  <c r="C928" i="34" s="1"/>
  <c r="C943" i="34" a="1"/>
  <c r="C943" i="34" s="1"/>
  <c r="C956" i="34" a="1"/>
  <c r="C956" i="34" s="1"/>
  <c r="C963" i="34" a="1"/>
  <c r="C963" i="34" s="1"/>
  <c r="C933" i="34" a="1"/>
  <c r="C933" i="34" s="1"/>
  <c r="C893" i="34" a="1"/>
  <c r="C893" i="34" s="1"/>
  <c r="C861" i="34" a="1"/>
  <c r="C861" i="34" s="1"/>
  <c r="C829" i="34" a="1"/>
  <c r="C829" i="34" s="1"/>
  <c r="C797" i="34" a="1"/>
  <c r="C797" i="34" s="1"/>
  <c r="C717" i="34" a="1"/>
  <c r="C717" i="34" s="1"/>
  <c r="C573" i="34" a="1"/>
  <c r="C573" i="34" s="1"/>
  <c r="C461" i="34" a="1"/>
  <c r="C461" i="34" s="1"/>
  <c r="C253" i="34" a="1"/>
  <c r="C253" i="34" s="1"/>
  <c r="C575" i="34" a="1"/>
  <c r="C575" i="34" s="1"/>
  <c r="C279" i="34" a="1"/>
  <c r="C279" i="34" s="1"/>
  <c r="A303" i="34"/>
  <c r="F303" i="34" s="1" a="1"/>
  <c r="F303" i="34" s="1"/>
  <c r="C343" i="34" a="1"/>
  <c r="C343" i="34" s="1"/>
  <c r="C367" i="34" a="1"/>
  <c r="C367" i="34" s="1"/>
  <c r="C391" i="34" a="1"/>
  <c r="C391" i="34" s="1"/>
  <c r="C503" i="34" a="1"/>
  <c r="C503" i="34" s="1"/>
  <c r="C527" i="34" a="1"/>
  <c r="C527" i="34" s="1"/>
  <c r="C559" i="34" a="1"/>
  <c r="C559" i="34" s="1"/>
  <c r="C743" i="34" a="1"/>
  <c r="C743" i="34" s="1"/>
  <c r="C788" i="34" a="1"/>
  <c r="C788" i="34" s="1"/>
  <c r="C839" i="34" a="1"/>
  <c r="C839" i="34" s="1"/>
  <c r="A863" i="34"/>
  <c r="C888" i="34" a="1"/>
  <c r="C888" i="34" s="1"/>
  <c r="C903" i="34" a="1"/>
  <c r="C903" i="34" s="1"/>
  <c r="C917" i="34" a="1"/>
  <c r="C917" i="34" s="1"/>
  <c r="C944" i="34" a="1"/>
  <c r="C944" i="34" s="1"/>
  <c r="C959" i="34" a="1"/>
  <c r="C959" i="34" s="1"/>
  <c r="C701" i="34" a="1"/>
  <c r="C701" i="34" s="1"/>
  <c r="C557" i="34" a="1"/>
  <c r="C557" i="34" s="1"/>
  <c r="C445" i="34" a="1"/>
  <c r="C445" i="34" s="1"/>
  <c r="E865" i="34"/>
  <c r="C865" i="34" a="1"/>
  <c r="C865" i="34" s="1"/>
  <c r="E769" i="34"/>
  <c r="C761" i="34" a="1"/>
  <c r="C761" i="34" s="1"/>
  <c r="A753" i="34"/>
  <c r="E721" i="34"/>
  <c r="E727" i="34"/>
  <c r="C727" i="34" a="1"/>
  <c r="C727" i="34" s="1"/>
  <c r="E711" i="34"/>
  <c r="C711" i="34" a="1"/>
  <c r="C711" i="34" s="1"/>
  <c r="E623" i="34"/>
  <c r="A623" i="34"/>
  <c r="G623" i="34" s="1" a="1"/>
  <c r="G623" i="34" s="1"/>
  <c r="N623" i="34" s="1"/>
  <c r="A431" i="34"/>
  <c r="C303" i="34" a="1"/>
  <c r="C303" i="34" s="1"/>
  <c r="A447" i="34"/>
  <c r="F447" i="34" s="1" a="1"/>
  <c r="F447" i="34" s="1"/>
  <c r="K447" i="34" s="1"/>
  <c r="A463" i="34"/>
  <c r="F463" i="34" s="1" a="1"/>
  <c r="F463" i="34" s="1"/>
  <c r="K463" i="34" s="1"/>
  <c r="A471" i="34"/>
  <c r="G471" i="34" s="1" a="1"/>
  <c r="G471" i="34" s="1"/>
  <c r="N471" i="34" s="1"/>
  <c r="A487" i="34"/>
  <c r="F487" i="34" s="1" a="1"/>
  <c r="F487" i="34" s="1"/>
  <c r="M487" i="34" s="1"/>
  <c r="C615" i="34" a="1"/>
  <c r="C615" i="34" s="1"/>
  <c r="C661" i="34" a="1"/>
  <c r="C661" i="34" s="1"/>
  <c r="C815" i="34" a="1"/>
  <c r="C815" i="34" s="1"/>
  <c r="C863" i="34" a="1"/>
  <c r="C863" i="34" s="1"/>
  <c r="C919" i="34" a="1"/>
  <c r="C919" i="34" s="1"/>
  <c r="C957" i="34" a="1"/>
  <c r="C957" i="34" s="1"/>
  <c r="C925" i="34" a="1"/>
  <c r="C925" i="34" s="1"/>
  <c r="C885" i="34" a="1"/>
  <c r="C885" i="34" s="1"/>
  <c r="C853" i="34" a="1"/>
  <c r="C853" i="34" s="1"/>
  <c r="C821" i="34" a="1"/>
  <c r="C821" i="34" s="1"/>
  <c r="C789" i="34" a="1"/>
  <c r="C789" i="34" s="1"/>
  <c r="C685" i="34" a="1"/>
  <c r="C685" i="34" s="1"/>
  <c r="C541" i="34" a="1"/>
  <c r="C541" i="34" s="1"/>
  <c r="A397" i="34"/>
  <c r="C952" i="34" a="1"/>
  <c r="C952" i="34" s="1"/>
  <c r="C904" i="34" a="1"/>
  <c r="C904" i="34" s="1"/>
  <c r="A872" i="34"/>
  <c r="A856" i="34"/>
  <c r="C856" i="34" a="1"/>
  <c r="C856" i="34" s="1"/>
  <c r="E792" i="34"/>
  <c r="C792" i="34" a="1"/>
  <c r="C792" i="34" s="1"/>
  <c r="E784" i="34"/>
  <c r="C784" i="34" a="1"/>
  <c r="C784" i="34" s="1"/>
  <c r="E776" i="34"/>
  <c r="E768" i="34"/>
  <c r="C768" i="34" a="1"/>
  <c r="C768" i="34" s="1"/>
  <c r="E744" i="34"/>
  <c r="A720" i="34"/>
  <c r="C696" i="34" a="1"/>
  <c r="C696" i="34" s="1"/>
  <c r="A680" i="34"/>
  <c r="A656" i="34"/>
  <c r="E648" i="34"/>
  <c r="C648" i="34" a="1"/>
  <c r="C648" i="34" s="1"/>
  <c r="E600" i="34"/>
  <c r="A592" i="34"/>
  <c r="C520" i="34" a="1"/>
  <c r="C520" i="34" s="1"/>
  <c r="C504" i="34" a="1"/>
  <c r="C504" i="34" s="1"/>
  <c r="E456" i="34"/>
  <c r="A360" i="34"/>
  <c r="A739" i="34"/>
  <c r="E683" i="34"/>
  <c r="E651" i="34"/>
  <c r="A595" i="34"/>
  <c r="A587" i="34"/>
  <c r="E507" i="34"/>
  <c r="E491" i="34"/>
  <c r="A467" i="34"/>
  <c r="E451" i="34"/>
  <c r="A427" i="34"/>
  <c r="E403" i="34"/>
  <c r="E339" i="34"/>
  <c r="E331" i="34"/>
  <c r="E323" i="34"/>
  <c r="E315" i="34"/>
  <c r="E307" i="34"/>
  <c r="E299" i="34"/>
  <c r="E291" i="34"/>
  <c r="E283" i="34"/>
  <c r="E275" i="34"/>
  <c r="E267" i="34"/>
  <c r="E259" i="34"/>
  <c r="E251" i="34"/>
  <c r="E243" i="34"/>
  <c r="E227" i="34"/>
  <c r="E219" i="34"/>
  <c r="E211" i="34"/>
  <c r="E203" i="34"/>
  <c r="E195" i="34"/>
  <c r="E187" i="34"/>
  <c r="E179" i="34"/>
  <c r="E171" i="34"/>
  <c r="E163" i="34"/>
  <c r="E155" i="34"/>
  <c r="E147" i="34"/>
  <c r="E139" i="34"/>
  <c r="E131" i="34"/>
  <c r="E123" i="34"/>
  <c r="E115" i="34"/>
  <c r="E99" i="34"/>
  <c r="E91" i="34"/>
  <c r="E75" i="34"/>
  <c r="E67" i="34"/>
  <c r="E51" i="34"/>
  <c r="E43" i="34"/>
  <c r="E35" i="34"/>
  <c r="A27" i="34"/>
  <c r="F27" i="34" s="1" a="1"/>
  <c r="F27" i="34" s="1"/>
  <c r="E746" i="34"/>
  <c r="C338" i="34" a="1"/>
  <c r="C338" i="34" s="1"/>
  <c r="C330" i="34" a="1"/>
  <c r="C330" i="34" s="1"/>
  <c r="E330" i="34"/>
  <c r="C322" i="34" a="1"/>
  <c r="C322" i="34" s="1"/>
  <c r="C314" i="34" a="1"/>
  <c r="C314" i="34" s="1"/>
  <c r="E314" i="34"/>
  <c r="E306" i="34"/>
  <c r="C298" i="34" a="1"/>
  <c r="C298" i="34" s="1"/>
  <c r="E298" i="34"/>
  <c r="C290" i="34" a="1"/>
  <c r="C290" i="34" s="1"/>
  <c r="E290" i="34"/>
  <c r="C282" i="34" a="1"/>
  <c r="C282" i="34" s="1"/>
  <c r="C274" i="34" a="1"/>
  <c r="C274" i="34" s="1"/>
  <c r="E274" i="34"/>
  <c r="C266" i="34" a="1"/>
  <c r="C266" i="34" s="1"/>
  <c r="E266" i="34"/>
  <c r="C258" i="34" a="1"/>
  <c r="C258" i="34" s="1"/>
  <c r="E258" i="34"/>
  <c r="C250" i="34" a="1"/>
  <c r="C250" i="34" s="1"/>
  <c r="E250" i="34"/>
  <c r="E242" i="34"/>
  <c r="A234" i="34"/>
  <c r="C226" i="34" a="1"/>
  <c r="C226" i="34" s="1"/>
  <c r="E226" i="34"/>
  <c r="C218" i="34" a="1"/>
  <c r="C218" i="34" s="1"/>
  <c r="E218" i="34"/>
  <c r="C210" i="34" a="1"/>
  <c r="C210" i="34" s="1"/>
  <c r="E210" i="34"/>
  <c r="E202" i="34"/>
  <c r="E194" i="34"/>
  <c r="C186" i="34" a="1"/>
  <c r="C186" i="34" s="1"/>
  <c r="E186" i="34"/>
  <c r="C178" i="34" a="1"/>
  <c r="C178" i="34" s="1"/>
  <c r="E178" i="34"/>
  <c r="C170" i="34" a="1"/>
  <c r="C170" i="34" s="1"/>
  <c r="C162" i="34" a="1"/>
  <c r="C162" i="34" s="1"/>
  <c r="E162" i="34"/>
  <c r="C154" i="34" a="1"/>
  <c r="C154" i="34" s="1"/>
  <c r="E154" i="34"/>
  <c r="C146" i="34" a="1"/>
  <c r="C146" i="34" s="1"/>
  <c r="E146" i="34"/>
  <c r="C138" i="34" a="1"/>
  <c r="C138" i="34" s="1"/>
  <c r="E130" i="34"/>
  <c r="E122" i="34"/>
  <c r="E114" i="34"/>
  <c r="C98" i="34" a="1"/>
  <c r="C98" i="34" s="1"/>
  <c r="E98" i="34"/>
  <c r="C90" i="34" a="1"/>
  <c r="C90" i="34" s="1"/>
  <c r="E90" i="34"/>
  <c r="A82" i="34"/>
  <c r="F82" i="34" s="1" a="1"/>
  <c r="F82" i="34" s="1"/>
  <c r="E82" i="34"/>
  <c r="C74" i="34" a="1"/>
  <c r="C74" i="34" s="1"/>
  <c r="E74" i="34"/>
  <c r="C66" i="34" a="1"/>
  <c r="C66" i="34" s="1"/>
  <c r="E66" i="34"/>
  <c r="E58" i="34"/>
  <c r="A42" i="34"/>
  <c r="G42" i="34" s="1" a="1"/>
  <c r="G42" i="34" s="1"/>
  <c r="C34" i="34" a="1"/>
  <c r="C34" i="34" s="1"/>
  <c r="E34" i="34"/>
  <c r="C26" i="34" a="1"/>
  <c r="C26" i="34" s="1"/>
  <c r="E26" i="34"/>
  <c r="C18" i="34" a="1"/>
  <c r="C18" i="34" s="1"/>
  <c r="E18" i="34"/>
  <c r="C10" i="34" a="1"/>
  <c r="C10" i="34" s="1"/>
  <c r="E10" i="34"/>
  <c r="E50" i="34"/>
  <c r="A649" i="34"/>
  <c r="E353" i="34"/>
  <c r="A353" i="34"/>
  <c r="G353" i="34" s="1" a="1"/>
  <c r="G353" i="34" s="1"/>
  <c r="N353" i="34" s="1"/>
  <c r="A337" i="34"/>
  <c r="A313" i="34"/>
  <c r="F313" i="34" s="1" a="1"/>
  <c r="F313" i="34" s="1"/>
  <c r="K313" i="34" s="1"/>
  <c r="E249" i="34"/>
  <c r="A57" i="34"/>
  <c r="A475" i="34"/>
  <c r="F475" i="34" s="1" a="1"/>
  <c r="F475" i="34" s="1"/>
  <c r="E192" i="34"/>
  <c r="A625" i="34"/>
  <c r="F625" i="34" s="1" a="1"/>
  <c r="F625" i="34" s="1"/>
  <c r="A723" i="34"/>
  <c r="G723" i="34" s="1" a="1"/>
  <c r="G723" i="34" s="1"/>
  <c r="A436" i="34"/>
  <c r="E500" i="34"/>
  <c r="E524" i="34"/>
  <c r="E564" i="34"/>
  <c r="E604" i="34"/>
  <c r="A628" i="34"/>
  <c r="G628" i="34" s="1" a="1"/>
  <c r="G628" i="34" s="1"/>
  <c r="A668" i="34"/>
  <c r="F668" i="34" s="1" a="1"/>
  <c r="F668" i="34" s="1"/>
  <c r="K668" i="34" s="1"/>
  <c r="A796" i="34"/>
  <c r="G796" i="34" s="1" a="1"/>
  <c r="G796" i="34" s="1"/>
  <c r="A444" i="34"/>
  <c r="F444" i="34" s="1" a="1"/>
  <c r="F444" i="34" s="1"/>
  <c r="A540" i="34"/>
  <c r="A556" i="34"/>
  <c r="G556" i="34" s="1" a="1"/>
  <c r="G556" i="34" s="1"/>
  <c r="A372" i="34"/>
  <c r="G372" i="34" s="1" a="1"/>
  <c r="G372" i="34" s="1"/>
  <c r="A380" i="34"/>
  <c r="F380" i="34" s="1" a="1"/>
  <c r="F380" i="34" s="1"/>
  <c r="A388" i="34"/>
  <c r="G388" i="34" s="1" a="1"/>
  <c r="G388" i="34" s="1"/>
  <c r="N388" i="34" s="1"/>
  <c r="A452" i="34"/>
  <c r="F452" i="34" s="1" a="1"/>
  <c r="F452" i="34" s="1"/>
  <c r="A484" i="34"/>
  <c r="G484" i="34" s="1" a="1"/>
  <c r="G484" i="34" s="1"/>
  <c r="N484" i="34" s="1"/>
  <c r="A572" i="34"/>
  <c r="F572" i="34" s="1" a="1"/>
  <c r="F572" i="34" s="1"/>
  <c r="E588" i="34"/>
  <c r="A596" i="34"/>
  <c r="G596" i="34" s="1" a="1"/>
  <c r="G596" i="34" s="1"/>
  <c r="A636" i="34"/>
  <c r="G636" i="34" s="1" a="1"/>
  <c r="G636" i="34" s="1"/>
  <c r="N636" i="34" s="1"/>
  <c r="A364" i="34"/>
  <c r="F364" i="34" s="1" a="1"/>
  <c r="F364" i="34" s="1"/>
  <c r="A396" i="34"/>
  <c r="F396" i="34" s="1" a="1"/>
  <c r="F396" i="34" s="1"/>
  <c r="A492" i="34"/>
  <c r="G492" i="34" s="1" a="1"/>
  <c r="G492" i="34" s="1"/>
  <c r="A860" i="34"/>
  <c r="G860" i="34" s="1" a="1"/>
  <c r="G860" i="34" s="1"/>
  <c r="N860" i="34" s="1"/>
  <c r="E508" i="34"/>
  <c r="A476" i="34"/>
  <c r="A532" i="34"/>
  <c r="G532" i="34" s="1" a="1"/>
  <c r="G532" i="34" s="1"/>
  <c r="N532" i="34" s="1"/>
  <c r="E21" i="34"/>
  <c r="E40" i="34"/>
  <c r="A32" i="34"/>
  <c r="F32" i="34" s="1" a="1"/>
  <c r="F32" i="34" s="1"/>
  <c r="A90" i="34"/>
  <c r="F90" i="34" s="1" a="1"/>
  <c r="F90" i="34" s="1"/>
  <c r="K90" i="34" s="1"/>
  <c r="C58" i="34" a="1"/>
  <c r="C58" i="34" s="1"/>
  <c r="C122" i="34" a="1"/>
  <c r="C122" i="34" s="1"/>
  <c r="C202" i="34" a="1"/>
  <c r="C202" i="34" s="1"/>
  <c r="C306" i="34" a="1"/>
  <c r="C306" i="34" s="1"/>
  <c r="A258" i="34"/>
  <c r="F258" i="34" s="1" a="1"/>
  <c r="F258" i="34" s="1"/>
  <c r="C242" i="34" a="1"/>
  <c r="C242" i="34" s="1"/>
  <c r="A314" i="34"/>
  <c r="F314" i="34" s="1" a="1"/>
  <c r="F314" i="34" s="1"/>
  <c r="A170" i="34"/>
  <c r="F170" i="34" s="1" a="1"/>
  <c r="F170" i="34" s="1"/>
  <c r="C50" i="34" a="1"/>
  <c r="C50" i="34" s="1"/>
  <c r="C114" i="34" a="1"/>
  <c r="C114" i="34" s="1"/>
  <c r="A218" i="34"/>
  <c r="F218" i="34" s="1" a="1"/>
  <c r="F218" i="34" s="1"/>
  <c r="A250" i="34"/>
  <c r="G250" i="34" s="1" a="1"/>
  <c r="G250" i="34" s="1"/>
  <c r="A186" i="34"/>
  <c r="F186" i="34" s="1" a="1"/>
  <c r="F186" i="34" s="1"/>
  <c r="I186" i="34" s="1"/>
  <c r="A10" i="34"/>
  <c r="F10" i="34" s="1" a="1"/>
  <c r="F10" i="34" s="1"/>
  <c r="A146" i="34"/>
  <c r="F146" i="34" s="1" a="1"/>
  <c r="F146" i="34" s="1"/>
  <c r="C234" i="34" a="1"/>
  <c r="C234" i="34" s="1"/>
  <c r="A290" i="34"/>
  <c r="G290" i="34" s="1" a="1"/>
  <c r="G290" i="34" s="1"/>
  <c r="N290" i="34" s="1"/>
  <c r="A121" i="34"/>
  <c r="F121" i="34" s="1" a="1"/>
  <c r="F121" i="34" s="1"/>
  <c r="E753" i="34"/>
  <c r="A85" i="34"/>
  <c r="F85" i="34" s="1" a="1"/>
  <c r="F85" i="34" s="1"/>
  <c r="A543" i="34"/>
  <c r="G543" i="34" s="1" a="1"/>
  <c r="G543" i="34" s="1"/>
  <c r="A149" i="34"/>
  <c r="F149" i="34" s="1" a="1"/>
  <c r="F149" i="34" s="1"/>
  <c r="A361" i="34"/>
  <c r="F361" i="34" s="1" a="1"/>
  <c r="F361" i="34" s="1"/>
  <c r="E170" i="34"/>
  <c r="E42" i="34"/>
  <c r="A128" i="34"/>
  <c r="G128" i="34" s="1" a="1"/>
  <c r="G128" i="34" s="1"/>
  <c r="N128" i="34" s="1"/>
  <c r="A64" i="34"/>
  <c r="G64" i="34" s="1" a="1"/>
  <c r="G64" i="34" s="1"/>
  <c r="N64" i="34" s="1"/>
  <c r="A417" i="34"/>
  <c r="G417" i="34" s="1" a="1"/>
  <c r="G417" i="34" s="1"/>
  <c r="N417" i="34" s="1"/>
  <c r="A106" i="34"/>
  <c r="G106" i="34" s="1" a="1"/>
  <c r="G106" i="34" s="1"/>
  <c r="N106" i="34" s="1"/>
  <c r="A178" i="34"/>
  <c r="G178" i="34" s="1" a="1"/>
  <c r="G178" i="34" s="1"/>
  <c r="A429" i="34"/>
  <c r="G429" i="34" s="1" a="1"/>
  <c r="G429" i="34" s="1"/>
  <c r="N429" i="34" s="1"/>
  <c r="E719" i="34"/>
  <c r="A719" i="34"/>
  <c r="F719" i="34" s="1" a="1"/>
  <c r="F719" i="34" s="1"/>
  <c r="E713" i="34"/>
  <c r="A713" i="34"/>
  <c r="F713" i="34" s="1" a="1"/>
  <c r="F713" i="34" s="1"/>
  <c r="I713" i="34" s="1"/>
  <c r="E609" i="34"/>
  <c r="A609" i="34"/>
  <c r="G609" i="34" s="1" a="1"/>
  <c r="G609" i="34" s="1"/>
  <c r="A577" i="34"/>
  <c r="G577" i="34" s="1" a="1"/>
  <c r="G577" i="34" s="1"/>
  <c r="N577" i="34" s="1"/>
  <c r="E577" i="34"/>
  <c r="E868" i="34"/>
  <c r="A868" i="34"/>
  <c r="F868" i="34" s="1" a="1"/>
  <c r="F868" i="34" s="1"/>
  <c r="I868" i="34" s="1"/>
  <c r="A832" i="34"/>
  <c r="G832" i="34" s="1" a="1"/>
  <c r="G832" i="34" s="1"/>
  <c r="E832" i="34"/>
  <c r="A745" i="34"/>
  <c r="F745" i="34" s="1" a="1"/>
  <c r="F745" i="34" s="1"/>
  <c r="E745" i="34"/>
  <c r="E740" i="34"/>
  <c r="A740" i="34"/>
  <c r="G740" i="34" s="1" a="1"/>
  <c r="G740" i="34" s="1"/>
  <c r="N740" i="34" s="1"/>
  <c r="A815" i="34"/>
  <c r="F815" i="34" s="1" a="1"/>
  <c r="F815" i="34" s="1"/>
  <c r="E815" i="34"/>
  <c r="A791" i="34"/>
  <c r="G791" i="34" s="1" a="1"/>
  <c r="G791" i="34" s="1"/>
  <c r="E791" i="34"/>
  <c r="A751" i="34"/>
  <c r="G751" i="34" s="1" a="1"/>
  <c r="G751" i="34" s="1"/>
  <c r="E751" i="34"/>
  <c r="E684" i="34"/>
  <c r="A684" i="34"/>
  <c r="G684" i="34" s="1" a="1"/>
  <c r="G684" i="34" s="1"/>
  <c r="N684" i="34" s="1"/>
  <c r="E673" i="34"/>
  <c r="A673" i="34"/>
  <c r="G673" i="34" s="1" a="1"/>
  <c r="G673" i="34" s="1"/>
  <c r="A617" i="34"/>
  <c r="F617" i="34" s="1" a="1"/>
  <c r="F617" i="34" s="1"/>
  <c r="K617" i="34" s="1"/>
  <c r="E617" i="34"/>
  <c r="A716" i="34"/>
  <c r="G716" i="34" s="1" a="1"/>
  <c r="G716" i="34" s="1"/>
  <c r="N716" i="34" s="1"/>
  <c r="A705" i="34"/>
  <c r="F705" i="34" s="1" a="1"/>
  <c r="F705" i="34" s="1"/>
  <c r="E705" i="34"/>
  <c r="E652" i="34"/>
  <c r="A652" i="34"/>
  <c r="F652" i="34" s="1" a="1"/>
  <c r="F652" i="34" s="1"/>
  <c r="I652" i="34" s="1"/>
  <c r="E801" i="34"/>
  <c r="A801" i="34"/>
  <c r="F801" i="34" s="1" a="1"/>
  <c r="F801" i="34" s="1"/>
  <c r="E704" i="34"/>
  <c r="A704" i="34"/>
  <c r="F704" i="34" s="1" a="1"/>
  <c r="F704" i="34" s="1"/>
  <c r="A661" i="34"/>
  <c r="F661" i="34" s="1" a="1"/>
  <c r="F661" i="34" s="1"/>
  <c r="I661" i="34" s="1"/>
  <c r="E661" i="34"/>
  <c r="A641" i="34"/>
  <c r="F641" i="34" s="1" a="1"/>
  <c r="F641" i="34" s="1"/>
  <c r="K641" i="34" s="1"/>
  <c r="E641" i="34"/>
  <c r="E593" i="34"/>
  <c r="A593" i="34"/>
  <c r="F593" i="34" s="1" a="1"/>
  <c r="F593" i="34" s="1"/>
  <c r="A841" i="34"/>
  <c r="F841" i="34" s="1" a="1"/>
  <c r="F841" i="34" s="1"/>
  <c r="K841" i="34" s="1"/>
  <c r="E841" i="34"/>
  <c r="A812" i="34"/>
  <c r="G812" i="34" s="1" a="1"/>
  <c r="G812" i="34" s="1"/>
  <c r="N812" i="34" s="1"/>
  <c r="E812" i="34"/>
  <c r="A748" i="34"/>
  <c r="G748" i="34" s="1" a="1"/>
  <c r="G748" i="34" s="1"/>
  <c r="E748" i="34"/>
  <c r="E736" i="34"/>
  <c r="A736" i="34"/>
  <c r="G736" i="34" s="1" a="1"/>
  <c r="G736" i="34" s="1"/>
  <c r="N736" i="34" s="1"/>
  <c r="E771" i="34"/>
  <c r="A771" i="34"/>
  <c r="F771" i="34" s="1" a="1"/>
  <c r="F771" i="34" s="1"/>
  <c r="K771" i="34" s="1"/>
  <c r="E759" i="34"/>
  <c r="A759" i="34"/>
  <c r="E681" i="34"/>
  <c r="A681" i="34"/>
  <c r="F681" i="34" s="1" a="1"/>
  <c r="F681" i="34" s="1"/>
  <c r="E569" i="34"/>
  <c r="A569" i="34"/>
  <c r="G569" i="34" s="1" a="1"/>
  <c r="G569" i="34" s="1"/>
  <c r="N569" i="34" s="1"/>
  <c r="E591" i="34"/>
  <c r="E720" i="34"/>
  <c r="E575" i="34"/>
  <c r="A729" i="34"/>
  <c r="G729" i="34" s="1" a="1"/>
  <c r="G729" i="34" s="1"/>
  <c r="N729" i="34" s="1"/>
  <c r="A848" i="34"/>
  <c r="G848" i="34" s="1" a="1"/>
  <c r="G848" i="34" s="1"/>
  <c r="A880" i="34"/>
  <c r="F880" i="34" s="1" a="1"/>
  <c r="F880" i="34" s="1"/>
  <c r="A633" i="34"/>
  <c r="F633" i="34" s="1" a="1"/>
  <c r="F633" i="34" s="1"/>
  <c r="K633" i="34" s="1"/>
  <c r="A495" i="34"/>
  <c r="F495" i="34" s="1" a="1"/>
  <c r="F495" i="34" s="1"/>
  <c r="K495" i="34" s="1"/>
  <c r="A697" i="34"/>
  <c r="G697" i="34" s="1" a="1"/>
  <c r="G697" i="34" s="1"/>
  <c r="A599" i="34"/>
  <c r="F599" i="34" s="1" a="1"/>
  <c r="F599" i="34" s="1"/>
  <c r="A583" i="34"/>
  <c r="G583" i="34" s="1" a="1"/>
  <c r="G583" i="34" s="1"/>
  <c r="N583" i="34" s="1"/>
  <c r="E587" i="34"/>
  <c r="A665" i="34"/>
  <c r="G665" i="34" s="1" a="1"/>
  <c r="G665" i="34" s="1"/>
  <c r="A438" i="34"/>
  <c r="G438" i="34" s="1" a="1"/>
  <c r="G438" i="34" s="1"/>
  <c r="A374" i="34"/>
  <c r="F374" i="34" s="1" a="1"/>
  <c r="F374" i="34" s="1"/>
  <c r="I374" i="34" s="1"/>
  <c r="E783" i="34"/>
  <c r="A783" i="34"/>
  <c r="F783" i="34" s="1" a="1"/>
  <c r="F783" i="34" s="1"/>
  <c r="I783" i="34" s="1"/>
  <c r="E567" i="34"/>
  <c r="A567" i="34"/>
  <c r="F567" i="34" s="1" a="1"/>
  <c r="F567" i="34" s="1"/>
  <c r="E559" i="34"/>
  <c r="A559" i="34"/>
  <c r="F559" i="34" s="1" a="1"/>
  <c r="F559" i="34" s="1"/>
  <c r="A551" i="34"/>
  <c r="G551" i="34" s="1" a="1"/>
  <c r="G551" i="34" s="1"/>
  <c r="E551" i="34"/>
  <c r="A835" i="34"/>
  <c r="F835" i="34" s="1" a="1"/>
  <c r="F835" i="34" s="1"/>
  <c r="I835" i="34" s="1"/>
  <c r="E835" i="34"/>
  <c r="A775" i="34"/>
  <c r="F775" i="34" s="1" a="1"/>
  <c r="F775" i="34" s="1"/>
  <c r="M775" i="34" s="1"/>
  <c r="E775" i="34"/>
  <c r="A624" i="34"/>
  <c r="G624" i="34" s="1" a="1"/>
  <c r="G624" i="34" s="1"/>
  <c r="N624" i="34" s="1"/>
  <c r="E624" i="34"/>
  <c r="E506" i="34"/>
  <c r="A506" i="34"/>
  <c r="F506" i="34" s="1" a="1"/>
  <c r="F506" i="34" s="1"/>
  <c r="K506" i="34" s="1"/>
  <c r="E356" i="34"/>
  <c r="A356" i="34"/>
  <c r="G356" i="34" s="1" a="1"/>
  <c r="G356" i="34" s="1"/>
  <c r="E348" i="34"/>
  <c r="A348" i="34"/>
  <c r="F348" i="34" s="1" a="1"/>
  <c r="F348" i="34" s="1"/>
  <c r="E752" i="34"/>
  <c r="A752" i="34"/>
  <c r="G752" i="34" s="1" a="1"/>
  <c r="G752" i="34" s="1"/>
  <c r="E644" i="34"/>
  <c r="A644" i="34"/>
  <c r="G644" i="34" s="1" a="1"/>
  <c r="G644" i="34" s="1"/>
  <c r="N644" i="34" s="1"/>
  <c r="E615" i="34"/>
  <c r="A615" i="34"/>
  <c r="F615" i="34" s="1" a="1"/>
  <c r="F615" i="34" s="1"/>
  <c r="A498" i="34"/>
  <c r="F498" i="34" s="1" a="1"/>
  <c r="F498" i="34" s="1"/>
  <c r="E498" i="34"/>
  <c r="E688" i="34"/>
  <c r="A688" i="34"/>
  <c r="G688" i="34" s="1" a="1"/>
  <c r="G688" i="34" s="1"/>
  <c r="A346" i="34"/>
  <c r="F346" i="34" s="1" a="1"/>
  <c r="F346" i="34" s="1"/>
  <c r="E346" i="34"/>
  <c r="E679" i="34"/>
  <c r="A679" i="34"/>
  <c r="F679" i="34" s="1" a="1"/>
  <c r="F679" i="34" s="1"/>
  <c r="I679" i="34" s="1"/>
  <c r="E474" i="34"/>
  <c r="A474" i="34"/>
  <c r="G474" i="34" s="1" a="1"/>
  <c r="G474" i="34" s="1"/>
  <c r="N474" i="34" s="1"/>
  <c r="E756" i="34"/>
  <c r="A756" i="34"/>
  <c r="G756" i="34" s="1" a="1"/>
  <c r="G756" i="34" s="1"/>
  <c r="N756" i="34" s="1"/>
  <c r="A708" i="34"/>
  <c r="F708" i="34" s="1" a="1"/>
  <c r="F708" i="34" s="1"/>
  <c r="E708" i="34"/>
  <c r="A612" i="34"/>
  <c r="G612" i="34" s="1" a="1"/>
  <c r="G612" i="34" s="1"/>
  <c r="E612" i="34"/>
  <c r="A344" i="34"/>
  <c r="G344" i="34" s="1" a="1"/>
  <c r="G344" i="34" s="1"/>
  <c r="E344" i="34"/>
  <c r="E692" i="34"/>
  <c r="A692" i="34"/>
  <c r="F692" i="34" s="1" a="1"/>
  <c r="F692" i="34" s="1"/>
  <c r="A546" i="34"/>
  <c r="F546" i="34" s="1" a="1"/>
  <c r="F546" i="34" s="1"/>
  <c r="E546" i="34"/>
  <c r="A538" i="34"/>
  <c r="F538" i="34" s="1" a="1"/>
  <c r="F538" i="34" s="1"/>
  <c r="I538" i="34" s="1"/>
  <c r="E538" i="34"/>
  <c r="A516" i="34"/>
  <c r="G516" i="34" s="1" a="1"/>
  <c r="G516" i="34" s="1"/>
  <c r="E458" i="34"/>
  <c r="A458" i="34"/>
  <c r="G458" i="34" s="1" a="1"/>
  <c r="G458" i="34" s="1"/>
  <c r="E420" i="34"/>
  <c r="A420" i="34"/>
  <c r="G420" i="34" s="1" a="1"/>
  <c r="G420" i="34" s="1"/>
  <c r="E867" i="34"/>
  <c r="A867" i="34"/>
  <c r="F867" i="34" s="1" a="1"/>
  <c r="F867" i="34" s="1"/>
  <c r="A747" i="34"/>
  <c r="F747" i="34" s="1" a="1"/>
  <c r="F747" i="34" s="1"/>
  <c r="I747" i="34" s="1"/>
  <c r="E747" i="34"/>
  <c r="A699" i="34"/>
  <c r="F699" i="34" s="1" a="1"/>
  <c r="F699" i="34" s="1"/>
  <c r="K699" i="34" s="1"/>
  <c r="E699" i="34"/>
  <c r="A676" i="34"/>
  <c r="F676" i="34" s="1" a="1"/>
  <c r="F676" i="34" s="1"/>
  <c r="E676" i="34"/>
  <c r="E647" i="34"/>
  <c r="A647" i="34"/>
  <c r="F647" i="34" s="1" a="1"/>
  <c r="F647" i="34" s="1"/>
  <c r="K647" i="34" s="1"/>
  <c r="A568" i="34"/>
  <c r="F568" i="34" s="1" a="1"/>
  <c r="F568" i="34" s="1"/>
  <c r="I568" i="34" s="1"/>
  <c r="E568" i="34"/>
  <c r="E560" i="34"/>
  <c r="A560" i="34"/>
  <c r="G560" i="34" s="1" a="1"/>
  <c r="G560" i="34" s="1"/>
  <c r="A522" i="34"/>
  <c r="G522" i="34" s="1" a="1"/>
  <c r="G522" i="34" s="1"/>
  <c r="E522" i="34"/>
  <c r="E442" i="34"/>
  <c r="A442" i="34"/>
  <c r="F442" i="34" s="1" a="1"/>
  <c r="F442" i="34" s="1"/>
  <c r="E404" i="34"/>
  <c r="A404" i="34"/>
  <c r="G404" i="34" s="1" a="1"/>
  <c r="G404" i="34" s="1"/>
  <c r="N404" i="34" s="1"/>
  <c r="F17" i="34" a="1"/>
  <c r="F17" i="34" s="1"/>
  <c r="C27" i="34" a="1"/>
  <c r="C27" i="34" s="1"/>
  <c r="C139" i="34" a="1"/>
  <c r="C139" i="34" s="1"/>
  <c r="C211" i="34" a="1"/>
  <c r="C211" i="34" s="1"/>
  <c r="A227" i="34"/>
  <c r="F227" i="34" s="1" a="1"/>
  <c r="F227" i="34" s="1"/>
  <c r="K227" i="34" s="1"/>
  <c r="C299" i="34" a="1"/>
  <c r="C299" i="34" s="1"/>
  <c r="A339" i="34"/>
  <c r="F339" i="34" s="1" a="1"/>
  <c r="F339" i="34" s="1"/>
  <c r="E412" i="34"/>
  <c r="E535" i="34"/>
  <c r="A585" i="34"/>
  <c r="G585" i="34" s="1" a="1"/>
  <c r="G585" i="34" s="1"/>
  <c r="N585" i="34" s="1"/>
  <c r="E620" i="34"/>
  <c r="A700" i="34"/>
  <c r="G700" i="34" s="1" a="1"/>
  <c r="G700" i="34" s="1"/>
  <c r="N700" i="34" s="1"/>
  <c r="C317" i="34" a="1"/>
  <c r="C317" i="34" s="1"/>
  <c r="A205" i="34"/>
  <c r="F205" i="34" s="1" a="1"/>
  <c r="F205" i="34" s="1"/>
  <c r="A77" i="34"/>
  <c r="F77" i="34" s="1" a="1"/>
  <c r="F77" i="34" s="1"/>
  <c r="A455" i="34"/>
  <c r="G455" i="34" s="1" a="1"/>
  <c r="G455" i="34" s="1"/>
  <c r="N455" i="34" s="1"/>
  <c r="A634" i="34"/>
  <c r="F634" i="34" s="1" a="1"/>
  <c r="F634" i="34" s="1"/>
  <c r="A654" i="34"/>
  <c r="G654" i="34" s="1" a="1"/>
  <c r="G654" i="34" s="1"/>
  <c r="N654" i="34" s="1"/>
  <c r="A712" i="34"/>
  <c r="G712" i="34" s="1" a="1"/>
  <c r="G712" i="34" s="1"/>
  <c r="A724" i="34"/>
  <c r="G724" i="34" s="1" a="1"/>
  <c r="G724" i="34" s="1"/>
  <c r="N724" i="34" s="1"/>
  <c r="F730" i="34" a="1"/>
  <c r="F730" i="34" s="1"/>
  <c r="I730" i="34" s="1"/>
  <c r="A816" i="34"/>
  <c r="F816" i="34" s="1" a="1"/>
  <c r="F816" i="34" s="1"/>
  <c r="A831" i="34"/>
  <c r="G831" i="34" s="1" a="1"/>
  <c r="G831" i="34" s="1"/>
  <c r="A844" i="34"/>
  <c r="F844" i="34" s="1" a="1"/>
  <c r="F844" i="34" s="1"/>
  <c r="K844" i="34" s="1"/>
  <c r="A873" i="34"/>
  <c r="C203" i="34" a="1"/>
  <c r="C203" i="34" s="1"/>
  <c r="A469" i="34"/>
  <c r="G469" i="34" s="1" a="1"/>
  <c r="G469" i="34" s="1"/>
  <c r="N469" i="34" s="1"/>
  <c r="A496" i="34"/>
  <c r="F496" i="34" s="1" a="1"/>
  <c r="F496" i="34" s="1"/>
  <c r="F31" i="34" a="1"/>
  <c r="F31" i="34" s="1"/>
  <c r="C67" i="34" a="1"/>
  <c r="C67" i="34" s="1"/>
  <c r="A75" i="34"/>
  <c r="G75" i="34" s="1" a="1"/>
  <c r="G75" i="34" s="1"/>
  <c r="C83" i="34" a="1"/>
  <c r="C83" i="34" s="1"/>
  <c r="C131" i="34" a="1"/>
  <c r="C131" i="34" s="1"/>
  <c r="C155" i="34" a="1"/>
  <c r="C155" i="34" s="1"/>
  <c r="C163" i="34" a="1"/>
  <c r="C163" i="34" s="1"/>
  <c r="C259" i="34" a="1"/>
  <c r="C259" i="34" s="1"/>
  <c r="C291" i="34" a="1"/>
  <c r="C291" i="34" s="1"/>
  <c r="A489" i="34"/>
  <c r="G489" i="34" s="1" a="1"/>
  <c r="G489" i="34" s="1"/>
  <c r="N489" i="34" s="1"/>
  <c r="A548" i="34"/>
  <c r="F548" i="34" s="1" a="1"/>
  <c r="F548" i="34" s="1"/>
  <c r="A660" i="34"/>
  <c r="F660" i="34" s="1" a="1"/>
  <c r="F660" i="34" s="1"/>
  <c r="K660" i="34" s="1"/>
  <c r="A743" i="34"/>
  <c r="F743" i="34" s="1" a="1"/>
  <c r="F743" i="34" s="1"/>
  <c r="M743" i="34" s="1"/>
  <c r="C285" i="34" a="1"/>
  <c r="C285" i="34" s="1"/>
  <c r="A181" i="34"/>
  <c r="G181" i="34" s="1" a="1"/>
  <c r="G181" i="34" s="1"/>
  <c r="A53" i="34"/>
  <c r="G53" i="34" s="1" a="1"/>
  <c r="G53" i="34" s="1"/>
  <c r="A383" i="34"/>
  <c r="F383" i="34" s="1" a="1"/>
  <c r="F383" i="34" s="1"/>
  <c r="C195" i="34" a="1"/>
  <c r="C195" i="34" s="1"/>
  <c r="C219" i="34" a="1"/>
  <c r="C219" i="34" s="1"/>
  <c r="C227" i="34" a="1"/>
  <c r="C227" i="34" s="1"/>
  <c r="C331" i="34" a="1"/>
  <c r="C331" i="34" s="1"/>
  <c r="C59" i="34" a="1"/>
  <c r="C59" i="34" s="1"/>
  <c r="C75" i="34" a="1"/>
  <c r="C75" i="34" s="1"/>
  <c r="F89" i="34" a="1"/>
  <c r="F89" i="34" s="1"/>
  <c r="C123" i="34" a="1"/>
  <c r="C123" i="34" s="1"/>
  <c r="F157" i="34" a="1"/>
  <c r="F157" i="34" s="1"/>
  <c r="C171" i="34" a="1"/>
  <c r="C171" i="34" s="1"/>
  <c r="C179" i="34" a="1"/>
  <c r="C179" i="34" s="1"/>
  <c r="C187" i="34" a="1"/>
  <c r="C187" i="34" s="1"/>
  <c r="F193" i="34" a="1"/>
  <c r="F193" i="34" s="1"/>
  <c r="C251" i="34" a="1"/>
  <c r="C251" i="34" s="1"/>
  <c r="C323" i="34" a="1"/>
  <c r="C323" i="34" s="1"/>
  <c r="A375" i="34"/>
  <c r="G375" i="34" s="1" a="1"/>
  <c r="G375" i="34" s="1"/>
  <c r="A482" i="34"/>
  <c r="G482" i="34" s="1" a="1"/>
  <c r="G482" i="34" s="1"/>
  <c r="N482" i="34" s="1"/>
  <c r="A626" i="34"/>
  <c r="G626" i="34" s="1" a="1"/>
  <c r="G626" i="34" s="1"/>
  <c r="E823" i="34"/>
  <c r="C277" i="34" a="1"/>
  <c r="C277" i="34" s="1"/>
  <c r="C91" i="34" a="1"/>
  <c r="C91" i="34" s="1"/>
  <c r="F160" i="34" a="1"/>
  <c r="F160" i="34" s="1"/>
  <c r="C339" i="34" a="1"/>
  <c r="C339" i="34" s="1"/>
  <c r="C51" i="34" a="1"/>
  <c r="C51" i="34" s="1"/>
  <c r="C115" i="34" a="1"/>
  <c r="C115" i="34" s="1"/>
  <c r="C283" i="34" a="1"/>
  <c r="C283" i="34" s="1"/>
  <c r="C315" i="34" a="1"/>
  <c r="C315" i="34" s="1"/>
  <c r="C329" i="34" a="1"/>
  <c r="C329" i="34" s="1"/>
  <c r="A368" i="34"/>
  <c r="F368" i="34" s="1" a="1"/>
  <c r="F368" i="34" s="1"/>
  <c r="F439" i="34" a="1"/>
  <c r="F439" i="34" s="1"/>
  <c r="K439" i="34" s="1"/>
  <c r="A449" i="34"/>
  <c r="F449" i="34" s="1" a="1"/>
  <c r="F449" i="34" s="1"/>
  <c r="A529" i="34"/>
  <c r="F529" i="34" s="1" a="1"/>
  <c r="F529" i="34" s="1"/>
  <c r="C269" i="34" a="1"/>
  <c r="C269" i="34" s="1"/>
  <c r="A153" i="34"/>
  <c r="F153" i="34" s="1" a="1"/>
  <c r="F153" i="34" s="1"/>
  <c r="A13" i="34"/>
  <c r="G13" i="34" s="1" a="1"/>
  <c r="G13" i="34" s="1"/>
  <c r="A766" i="34"/>
  <c r="G766" i="34" s="1" a="1"/>
  <c r="G766" i="34" s="1"/>
  <c r="A558" i="34"/>
  <c r="F558" i="34" s="1" a="1"/>
  <c r="F558" i="34" s="1"/>
  <c r="I558" i="34" s="1"/>
  <c r="A486" i="34"/>
  <c r="F486" i="34" s="1" a="1"/>
  <c r="F486" i="34" s="1"/>
  <c r="C275" i="34" a="1"/>
  <c r="C275" i="34" s="1"/>
  <c r="C43" i="34" a="1"/>
  <c r="C43" i="34" s="1"/>
  <c r="C11" i="34" a="1"/>
  <c r="C11" i="34" s="1"/>
  <c r="C19" i="34" a="1"/>
  <c r="C19" i="34" s="1"/>
  <c r="A35" i="34"/>
  <c r="G35" i="34" s="1" a="1"/>
  <c r="G35" i="34" s="1"/>
  <c r="F49" i="34" a="1"/>
  <c r="F49" i="34" s="1"/>
  <c r="C107" i="34" a="1"/>
  <c r="C107" i="34" s="1"/>
  <c r="C235" i="34" a="1"/>
  <c r="C235" i="34" s="1"/>
  <c r="C243" i="34" a="1"/>
  <c r="C243" i="34" s="1"/>
  <c r="F255" i="34" a="1"/>
  <c r="F255" i="34" s="1"/>
  <c r="C307" i="34" a="1"/>
  <c r="C307" i="34" s="1"/>
  <c r="F685" i="34" a="1"/>
  <c r="F685" i="34" s="1"/>
  <c r="M685" i="34" s="1"/>
  <c r="F759" i="34" a="1"/>
  <c r="F759" i="34" s="1"/>
  <c r="K759" i="34" s="1"/>
  <c r="C341" i="34" a="1"/>
  <c r="C341" i="34" s="1"/>
  <c r="C237" i="34" a="1"/>
  <c r="C237" i="34" s="1"/>
  <c r="A117" i="34"/>
  <c r="F117" i="34" s="1" a="1"/>
  <c r="F117" i="34" s="1"/>
  <c r="F297" i="34" a="1"/>
  <c r="F297" i="34" s="1"/>
  <c r="I297" i="34" s="1"/>
  <c r="F384" i="34" a="1"/>
  <c r="F384" i="34" s="1"/>
  <c r="I384" i="34" s="1"/>
  <c r="G808" i="34" a="1"/>
  <c r="G808" i="34" s="1"/>
  <c r="N808" i="34" s="1"/>
  <c r="F808" i="34" a="1"/>
  <c r="F808" i="34" s="1"/>
  <c r="K808" i="34" s="1"/>
  <c r="G32" i="34" a="1"/>
  <c r="G32" i="34" s="1"/>
  <c r="N32" i="34" s="1"/>
  <c r="F79" i="34" a="1"/>
  <c r="F79" i="34" s="1"/>
  <c r="F97" i="34" a="1"/>
  <c r="F97" i="34" s="1"/>
  <c r="C108" i="34" a="1"/>
  <c r="C108" i="34" s="1"/>
  <c r="G120" i="34" a="1"/>
  <c r="G120" i="34" s="1"/>
  <c r="N120" i="34" s="1"/>
  <c r="F120" i="34" a="1"/>
  <c r="F120" i="34" s="1"/>
  <c r="F127" i="34" a="1"/>
  <c r="F127" i="34" s="1"/>
  <c r="F137" i="34" a="1"/>
  <c r="F137" i="34" s="1"/>
  <c r="F161" i="34" a="1"/>
  <c r="F161" i="34" s="1"/>
  <c r="K161" i="34" s="1"/>
  <c r="G165" i="34" a="1"/>
  <c r="G165" i="34" s="1"/>
  <c r="N165" i="34" s="1"/>
  <c r="F165" i="34" a="1"/>
  <c r="F165" i="34" s="1"/>
  <c r="K165" i="34" s="1"/>
  <c r="F168" i="34" a="1"/>
  <c r="F168" i="34" s="1"/>
  <c r="M168" i="34" s="1"/>
  <c r="G176" i="34" a="1"/>
  <c r="G176" i="34" s="1"/>
  <c r="F176" i="34" a="1"/>
  <c r="F176" i="34" s="1"/>
  <c r="C204" i="34" a="1"/>
  <c r="C204" i="34" s="1"/>
  <c r="F223" i="34" a="1"/>
  <c r="F223" i="34" s="1"/>
  <c r="K223" i="34" s="1"/>
  <c r="F233" i="34" a="1"/>
  <c r="F233" i="34" s="1"/>
  <c r="K233" i="34" s="1"/>
  <c r="F237" i="34" a="1"/>
  <c r="F237" i="34" s="1"/>
  <c r="C244" i="34" a="1"/>
  <c r="C244" i="34" s="1"/>
  <c r="G256" i="34" a="1"/>
  <c r="G256" i="34" s="1"/>
  <c r="N256" i="34" s="1"/>
  <c r="F256" i="34" a="1"/>
  <c r="F256" i="34" s="1"/>
  <c r="F287" i="34" a="1"/>
  <c r="F287" i="34" s="1"/>
  <c r="F305" i="34" a="1"/>
  <c r="F305" i="34" s="1"/>
  <c r="K305" i="34" s="1"/>
  <c r="G321" i="34" a="1"/>
  <c r="G321" i="34" s="1"/>
  <c r="N321" i="34" s="1"/>
  <c r="F321" i="34" a="1"/>
  <c r="F321" i="34" s="1"/>
  <c r="F329" i="34" a="1"/>
  <c r="F329" i="34" s="1"/>
  <c r="F352" i="34" a="1"/>
  <c r="F352" i="34" s="1"/>
  <c r="I352" i="34" s="1"/>
  <c r="F388" i="34" a="1"/>
  <c r="F388" i="34" s="1"/>
  <c r="G392" i="34" a="1"/>
  <c r="G392" i="34" s="1"/>
  <c r="N392" i="34" s="1"/>
  <c r="F392" i="34" a="1"/>
  <c r="F392" i="34" s="1"/>
  <c r="F426" i="34" a="1"/>
  <c r="F426" i="34" s="1"/>
  <c r="I426" i="34" s="1"/>
  <c r="G473" i="34" a="1"/>
  <c r="G473" i="34" s="1"/>
  <c r="N473" i="34" s="1"/>
  <c r="F473" i="34" a="1"/>
  <c r="F473" i="34" s="1"/>
  <c r="F481" i="34" a="1"/>
  <c r="F481" i="34" s="1"/>
  <c r="G682" i="34" a="1"/>
  <c r="G682" i="34" s="1"/>
  <c r="F682" i="34" a="1"/>
  <c r="F682" i="34" s="1"/>
  <c r="K682" i="34" s="1"/>
  <c r="F714" i="34" a="1"/>
  <c r="F714" i="34" s="1"/>
  <c r="A275" i="34"/>
  <c r="F275" i="34" s="1" a="1"/>
  <c r="F275" i="34" s="1"/>
  <c r="I275" i="34" s="1"/>
  <c r="A83" i="34"/>
  <c r="F83" i="34" s="1" a="1"/>
  <c r="F83" i="34" s="1"/>
  <c r="A19" i="34"/>
  <c r="F19" i="34" s="1" a="1"/>
  <c r="F19" i="34" s="1"/>
  <c r="G488" i="34" a="1"/>
  <c r="G488" i="34" s="1"/>
  <c r="N488" i="34" s="1"/>
  <c r="F488" i="34" a="1"/>
  <c r="F488" i="34" s="1"/>
  <c r="K488" i="34" s="1"/>
  <c r="F15" i="34" a="1"/>
  <c r="F15" i="34" s="1"/>
  <c r="F25" i="34" a="1"/>
  <c r="F25" i="34" s="1"/>
  <c r="C28" i="34" a="1"/>
  <c r="C28" i="34" s="1"/>
  <c r="F47" i="34" a="1"/>
  <c r="F47" i="34" s="1"/>
  <c r="C68" i="34" a="1"/>
  <c r="C68" i="34" s="1"/>
  <c r="F72" i="34" a="1"/>
  <c r="F72" i="34" s="1"/>
  <c r="I72" i="34" s="1"/>
  <c r="F87" i="34" a="1"/>
  <c r="F87" i="34" s="1"/>
  <c r="F105" i="34" a="1"/>
  <c r="F105" i="34" s="1"/>
  <c r="C116" i="34" a="1"/>
  <c r="C116" i="34" s="1"/>
  <c r="C140" i="34" a="1"/>
  <c r="C140" i="34" s="1"/>
  <c r="F191" i="34" a="1"/>
  <c r="F191" i="34" s="1"/>
  <c r="F201" i="34" a="1"/>
  <c r="F201" i="34" s="1"/>
  <c r="C212" i="34" a="1"/>
  <c r="C212" i="34" s="1"/>
  <c r="G241" i="34" a="1"/>
  <c r="G241" i="34" s="1"/>
  <c r="N241" i="34" s="1"/>
  <c r="F241" i="34" a="1"/>
  <c r="F241" i="34" s="1"/>
  <c r="K241" i="34" s="1"/>
  <c r="C252" i="34" a="1"/>
  <c r="C252" i="34" s="1"/>
  <c r="G264" i="34" a="1"/>
  <c r="G264" i="34" s="1"/>
  <c r="N264" i="34" s="1"/>
  <c r="F264" i="34" a="1"/>
  <c r="F264" i="34" s="1"/>
  <c r="C340" i="34" a="1"/>
  <c r="C340" i="34" s="1"/>
  <c r="G377" i="34" a="1"/>
  <c r="G377" i="34" s="1"/>
  <c r="N377" i="34" s="1"/>
  <c r="G385" i="34" a="1"/>
  <c r="G385" i="34" s="1"/>
  <c r="F385" i="34" a="1"/>
  <c r="F385" i="34" s="1"/>
  <c r="F400" i="34" a="1"/>
  <c r="F400" i="34" s="1"/>
  <c r="K400" i="34" s="1"/>
  <c r="G407" i="34" a="1"/>
  <c r="G407" i="34" s="1"/>
  <c r="N407" i="34" s="1"/>
  <c r="F407" i="34" a="1"/>
  <c r="F407" i="34" s="1"/>
  <c r="K407" i="34" s="1"/>
  <c r="F466" i="34" a="1"/>
  <c r="F466" i="34" s="1"/>
  <c r="I466" i="34" s="1"/>
  <c r="F524" i="34" a="1"/>
  <c r="F524" i="34" s="1"/>
  <c r="I524" i="34" s="1"/>
  <c r="G528" i="34" a="1"/>
  <c r="G528" i="34" s="1"/>
  <c r="N528" i="34" s="1"/>
  <c r="F528" i="34" a="1"/>
  <c r="F528" i="34" s="1"/>
  <c r="K528" i="34" s="1"/>
  <c r="F536" i="34" a="1"/>
  <c r="F536" i="34" s="1"/>
  <c r="M536" i="34" s="1"/>
  <c r="F562" i="34" a="1"/>
  <c r="F562" i="34" s="1"/>
  <c r="F610" i="34" a="1"/>
  <c r="F610" i="34" s="1"/>
  <c r="I610" i="34" s="1"/>
  <c r="G634" i="34" a="1"/>
  <c r="G634" i="34" s="1"/>
  <c r="N634" i="34" s="1"/>
  <c r="A11" i="34"/>
  <c r="F11" i="34" s="1" a="1"/>
  <c r="F11" i="34" s="1"/>
  <c r="F828" i="34" a="1"/>
  <c r="F828" i="34" s="1"/>
  <c r="M828" i="34" s="1"/>
  <c r="F577" i="34" a="1"/>
  <c r="F577" i="34" s="1"/>
  <c r="K577" i="34" s="1"/>
  <c r="F208" i="34" a="1"/>
  <c r="F208" i="34" s="1"/>
  <c r="G362" i="34" a="1"/>
  <c r="G362" i="34" s="1"/>
  <c r="N362" i="34" s="1"/>
  <c r="F362" i="34" a="1"/>
  <c r="F362" i="34" s="1"/>
  <c r="F450" i="34" a="1"/>
  <c r="F450" i="34" s="1"/>
  <c r="G666" i="34" a="1"/>
  <c r="G666" i="34" s="1"/>
  <c r="F666" i="34" a="1"/>
  <c r="F666" i="34" s="1"/>
  <c r="K666" i="34" s="1"/>
  <c r="G8" i="34" a="1"/>
  <c r="G8" i="34" s="1"/>
  <c r="N8" i="34" s="1"/>
  <c r="F8" i="34" a="1"/>
  <c r="F8" i="34" s="1"/>
  <c r="F40" i="34" a="1"/>
  <c r="F40" i="34" s="1"/>
  <c r="M40" i="34" s="1"/>
  <c r="F55" i="34" a="1"/>
  <c r="F55" i="34" s="1"/>
  <c r="F65" i="34" a="1"/>
  <c r="F65" i="34" s="1"/>
  <c r="F95" i="34" a="1"/>
  <c r="F95" i="34" s="1"/>
  <c r="F113" i="34" a="1"/>
  <c r="F113" i="34" s="1"/>
  <c r="F135" i="34" a="1"/>
  <c r="F135" i="34" s="1"/>
  <c r="F159" i="34" a="1"/>
  <c r="F159" i="34" s="1"/>
  <c r="C172" i="34" a="1"/>
  <c r="C172" i="34" s="1"/>
  <c r="F141" i="34" a="1"/>
  <c r="F141" i="34" s="1"/>
  <c r="C148" i="34" a="1"/>
  <c r="C148" i="34" s="1"/>
  <c r="G184" i="34" a="1"/>
  <c r="G184" i="34" s="1"/>
  <c r="N184" i="34" s="1"/>
  <c r="F184" i="34" a="1"/>
  <c r="F184" i="34" s="1"/>
  <c r="G209" i="34" a="1"/>
  <c r="G209" i="34" s="1"/>
  <c r="N209" i="34" s="1"/>
  <c r="F209" i="34" a="1"/>
  <c r="F209" i="34" s="1"/>
  <c r="G213" i="34" a="1"/>
  <c r="G213" i="34" s="1"/>
  <c r="N213" i="34" s="1"/>
  <c r="F213" i="34" a="1"/>
  <c r="F213" i="34" s="1"/>
  <c r="G231" i="34" a="1"/>
  <c r="G231" i="34" s="1"/>
  <c r="F231" i="34" a="1"/>
  <c r="F231" i="34" s="1"/>
  <c r="F253" i="34" a="1"/>
  <c r="F253" i="34" s="1"/>
  <c r="K253" i="34" s="1"/>
  <c r="C260" i="34" a="1"/>
  <c r="C260" i="34" s="1"/>
  <c r="F272" i="34" a="1"/>
  <c r="F272" i="34" s="1"/>
  <c r="K272" i="34" s="1"/>
  <c r="F327" i="34" a="1"/>
  <c r="F327" i="34" s="1"/>
  <c r="I327" i="34" s="1"/>
  <c r="G345" i="34" a="1"/>
  <c r="G345" i="34" s="1"/>
  <c r="F345" i="34" a="1"/>
  <c r="F345" i="34" s="1"/>
  <c r="K345" i="34" s="1"/>
  <c r="G410" i="34" a="1"/>
  <c r="G410" i="34" s="1"/>
  <c r="N410" i="34" s="1"/>
  <c r="F410" i="34" a="1"/>
  <c r="F410" i="34" s="1"/>
  <c r="F424" i="34" a="1"/>
  <c r="F424" i="34" s="1"/>
  <c r="F434" i="34" a="1"/>
  <c r="F434" i="34" s="1"/>
  <c r="I434" i="34" s="1"/>
  <c r="F514" i="34" a="1"/>
  <c r="F514" i="34" s="1"/>
  <c r="K514" i="34" s="1"/>
  <c r="G521" i="34" a="1"/>
  <c r="G521" i="34" s="1"/>
  <c r="N521" i="34" s="1"/>
  <c r="F521" i="34" a="1"/>
  <c r="F521" i="34" s="1"/>
  <c r="G618" i="34" a="1"/>
  <c r="G618" i="34" s="1"/>
  <c r="N618" i="34" s="1"/>
  <c r="F618" i="34" a="1"/>
  <c r="F618" i="34" s="1"/>
  <c r="K618" i="34" s="1"/>
  <c r="F873" i="34" a="1"/>
  <c r="F873" i="34" s="1"/>
  <c r="I873" i="34" s="1"/>
  <c r="F197" i="34" a="1"/>
  <c r="F197" i="34" s="1"/>
  <c r="F69" i="34" a="1"/>
  <c r="F69" i="34" s="1"/>
  <c r="G780" i="34" a="1"/>
  <c r="G780" i="34" s="1"/>
  <c r="N780" i="34" s="1"/>
  <c r="F780" i="34" a="1"/>
  <c r="F780" i="34" s="1"/>
  <c r="F419" i="34" a="1"/>
  <c r="F419" i="34" s="1"/>
  <c r="G112" i="34" a="1"/>
  <c r="G112" i="34" s="1"/>
  <c r="F112" i="34" a="1"/>
  <c r="F112" i="34" s="1"/>
  <c r="F215" i="34" a="1"/>
  <c r="F215" i="34" s="1"/>
  <c r="M215" i="34" s="1"/>
  <c r="G409" i="34" a="1"/>
  <c r="G409" i="34" s="1"/>
  <c r="N409" i="34" s="1"/>
  <c r="F409" i="34" a="1"/>
  <c r="F409" i="34" s="1"/>
  <c r="K409" i="34" s="1"/>
  <c r="F440" i="34" a="1"/>
  <c r="F440" i="34" s="1"/>
  <c r="F476" i="34" a="1"/>
  <c r="F476" i="34" s="1"/>
  <c r="K476" i="34" s="1"/>
  <c r="F23" i="34" a="1"/>
  <c r="F23" i="34" s="1"/>
  <c r="F33" i="34" a="1"/>
  <c r="F33" i="34" s="1"/>
  <c r="C36" i="34" a="1"/>
  <c r="C36" i="34" s="1"/>
  <c r="G80" i="34" a="1"/>
  <c r="G80" i="34" s="1"/>
  <c r="F80" i="34" a="1"/>
  <c r="F80" i="34" s="1"/>
  <c r="K80" i="34" s="1"/>
  <c r="F103" i="34" a="1"/>
  <c r="F103" i="34" s="1"/>
  <c r="C124" i="34" a="1"/>
  <c r="C124" i="34" s="1"/>
  <c r="G169" i="34" a="1"/>
  <c r="G169" i="34" s="1"/>
  <c r="N169" i="34" s="1"/>
  <c r="F169" i="34" a="1"/>
  <c r="F169" i="34" s="1"/>
  <c r="G173" i="34" a="1"/>
  <c r="G173" i="34" s="1"/>
  <c r="N173" i="34" s="1"/>
  <c r="F173" i="34" a="1"/>
  <c r="F173" i="34" s="1"/>
  <c r="K173" i="34" s="1"/>
  <c r="F145" i="34" a="1"/>
  <c r="F145" i="34" s="1"/>
  <c r="C156" i="34" a="1"/>
  <c r="C156" i="34" s="1"/>
  <c r="G177" i="34" a="1"/>
  <c r="G177" i="34" s="1"/>
  <c r="N177" i="34" s="1"/>
  <c r="F177" i="34" a="1"/>
  <c r="F177" i="34" s="1"/>
  <c r="C180" i="34" a="1"/>
  <c r="C180" i="34" s="1"/>
  <c r="F199" i="34" a="1"/>
  <c r="F199" i="34" s="1"/>
  <c r="I199" i="34" s="1"/>
  <c r="F224" i="34" a="1"/>
  <c r="F224" i="34" s="1"/>
  <c r="K224" i="34" s="1"/>
  <c r="G239" i="34" a="1"/>
  <c r="G239" i="34" s="1"/>
  <c r="F239" i="34" a="1"/>
  <c r="F239" i="34" s="1"/>
  <c r="G257" i="34" a="1"/>
  <c r="G257" i="34" s="1"/>
  <c r="N257" i="34" s="1"/>
  <c r="F257" i="34" a="1"/>
  <c r="F257" i="34" s="1"/>
  <c r="K257" i="34" s="1"/>
  <c r="C268" i="34" a="1"/>
  <c r="C268" i="34" s="1"/>
  <c r="G280" i="34" a="1"/>
  <c r="G280" i="34" s="1"/>
  <c r="N280" i="34" s="1"/>
  <c r="F280" i="34" a="1"/>
  <c r="F280" i="34" s="1"/>
  <c r="G288" i="34" a="1"/>
  <c r="G288" i="34" s="1"/>
  <c r="N288" i="34" s="1"/>
  <c r="F288" i="34" a="1"/>
  <c r="F288" i="34" s="1"/>
  <c r="F335" i="34" a="1"/>
  <c r="F335" i="34" s="1"/>
  <c r="G378" i="34" a="1"/>
  <c r="G378" i="34" s="1"/>
  <c r="N378" i="34" s="1"/>
  <c r="F378" i="34" a="1"/>
  <c r="F378" i="34" s="1"/>
  <c r="K378" i="34" s="1"/>
  <c r="G393" i="34" a="1"/>
  <c r="G393" i="34" s="1"/>
  <c r="N393" i="34" s="1"/>
  <c r="F393" i="34" a="1"/>
  <c r="F393" i="34" s="1"/>
  <c r="K393" i="34" s="1"/>
  <c r="G445" i="34" a="1"/>
  <c r="G445" i="34" s="1"/>
  <c r="N445" i="34" s="1"/>
  <c r="F445" i="34" a="1"/>
  <c r="F445" i="34" s="1"/>
  <c r="F460" i="34" a="1"/>
  <c r="F460" i="34" s="1"/>
  <c r="F464" i="34" a="1"/>
  <c r="F464" i="34" s="1"/>
  <c r="G500" i="34" a="1"/>
  <c r="G500" i="34" s="1"/>
  <c r="N500" i="34" s="1"/>
  <c r="F500" i="34" a="1"/>
  <c r="F500" i="34" s="1"/>
  <c r="K500" i="34" s="1"/>
  <c r="F540" i="34" a="1"/>
  <c r="F540" i="34" s="1"/>
  <c r="F545" i="34" a="1"/>
  <c r="F545" i="34" s="1"/>
  <c r="F570" i="34" a="1"/>
  <c r="F570" i="34" s="1"/>
  <c r="F578" i="34" a="1"/>
  <c r="F578" i="34" s="1"/>
  <c r="K578" i="34" s="1"/>
  <c r="G586" i="34" a="1"/>
  <c r="G586" i="34" s="1"/>
  <c r="N586" i="34" s="1"/>
  <c r="F586" i="34" a="1"/>
  <c r="F586" i="34" s="1"/>
  <c r="F602" i="34" a="1"/>
  <c r="F602" i="34" s="1"/>
  <c r="F715" i="34" a="1"/>
  <c r="F715" i="34" s="1"/>
  <c r="I715" i="34" s="1"/>
  <c r="G397" i="34" a="1"/>
  <c r="G397" i="34" s="1"/>
  <c r="N397" i="34" s="1"/>
  <c r="F397" i="34" a="1"/>
  <c r="F397" i="34" s="1"/>
  <c r="A123" i="34"/>
  <c r="F123" i="34" s="1" a="1"/>
  <c r="F123" i="34" s="1"/>
  <c r="A59" i="34"/>
  <c r="F59" i="34" s="1" a="1"/>
  <c r="F59" i="34" s="1"/>
  <c r="F588" i="34" a="1"/>
  <c r="F588" i="34" s="1"/>
  <c r="I588" i="34" s="1"/>
  <c r="F248" i="34" a="1"/>
  <c r="F248" i="34" s="1"/>
  <c r="F433" i="34" a="1"/>
  <c r="F433" i="34" s="1"/>
  <c r="G513" i="34" a="1"/>
  <c r="G513" i="34" s="1"/>
  <c r="N513" i="34" s="1"/>
  <c r="F513" i="34" a="1"/>
  <c r="F513" i="34" s="1"/>
  <c r="F48" i="34" a="1"/>
  <c r="F48" i="34" s="1"/>
  <c r="M48" i="34" s="1"/>
  <c r="F63" i="34" a="1"/>
  <c r="F63" i="34" s="1"/>
  <c r="F73" i="34" a="1"/>
  <c r="F73" i="34" s="1"/>
  <c r="C76" i="34" a="1"/>
  <c r="C76" i="34" s="1"/>
  <c r="F88" i="34" a="1"/>
  <c r="F88" i="34" s="1"/>
  <c r="I88" i="34" s="1"/>
  <c r="F111" i="34" a="1"/>
  <c r="F111" i="34" s="1"/>
  <c r="C188" i="34" a="1"/>
  <c r="C188" i="34" s="1"/>
  <c r="G207" i="34" a="1"/>
  <c r="G207" i="34" s="1"/>
  <c r="N207" i="34" s="1"/>
  <c r="F207" i="34" a="1"/>
  <c r="F207" i="34" s="1"/>
  <c r="C220" i="34" a="1"/>
  <c r="C220" i="34" s="1"/>
  <c r="F247" i="34" a="1"/>
  <c r="F247" i="34" s="1"/>
  <c r="F265" i="34" a="1"/>
  <c r="F265" i="34" s="1"/>
  <c r="K265" i="34" s="1"/>
  <c r="G296" i="34" a="1"/>
  <c r="G296" i="34" s="1"/>
  <c r="F296" i="34" a="1"/>
  <c r="F296" i="34" s="1"/>
  <c r="K296" i="34" s="1"/>
  <c r="F386" i="34" a="1"/>
  <c r="F386" i="34" s="1"/>
  <c r="M386" i="34" s="1"/>
  <c r="G401" i="34" a="1"/>
  <c r="G401" i="34" s="1"/>
  <c r="N401" i="34" s="1"/>
  <c r="F401" i="34" a="1"/>
  <c r="F401" i="34" s="1"/>
  <c r="K401" i="34" s="1"/>
  <c r="F432" i="34" a="1"/>
  <c r="F432" i="34" s="1"/>
  <c r="I432" i="34" s="1"/>
  <c r="G439" i="34" a="1"/>
  <c r="G439" i="34" s="1"/>
  <c r="N439" i="34" s="1"/>
  <c r="G487" i="34" a="1"/>
  <c r="G487" i="34" s="1"/>
  <c r="N487" i="34" s="1"/>
  <c r="F497" i="34" a="1"/>
  <c r="F497" i="34" s="1"/>
  <c r="F519" i="34" a="1"/>
  <c r="F519" i="34" s="1"/>
  <c r="F537" i="34" a="1"/>
  <c r="F537" i="34" s="1"/>
  <c r="F553" i="34" a="1"/>
  <c r="F553" i="34" s="1"/>
  <c r="G608" i="34" a="1"/>
  <c r="G608" i="34" s="1"/>
  <c r="N608" i="34" s="1"/>
  <c r="F608" i="34" a="1"/>
  <c r="F608" i="34" s="1"/>
  <c r="F616" i="34" a="1"/>
  <c r="F616" i="34" s="1"/>
  <c r="K616" i="34" s="1"/>
  <c r="F623" i="34" a="1"/>
  <c r="F623" i="34" s="1"/>
  <c r="I623" i="34" s="1"/>
  <c r="G698" i="34" a="1"/>
  <c r="G698" i="34" s="1"/>
  <c r="N698" i="34" s="1"/>
  <c r="G762" i="34" a="1"/>
  <c r="G762" i="34" s="1"/>
  <c r="N762" i="34" s="1"/>
  <c r="F762" i="34" a="1"/>
  <c r="F762" i="34" s="1"/>
  <c r="F778" i="34" a="1"/>
  <c r="F778" i="34" s="1"/>
  <c r="G381" i="34" a="1"/>
  <c r="G381" i="34" s="1"/>
  <c r="N381" i="34" s="1"/>
  <c r="F381" i="34" a="1"/>
  <c r="F381" i="34" s="1"/>
  <c r="F144" i="34" a="1"/>
  <c r="F144" i="34" s="1"/>
  <c r="M144" i="34" s="1"/>
  <c r="F21" i="34" a="1"/>
  <c r="F21" i="34" s="1"/>
  <c r="A179" i="34"/>
  <c r="F39" i="34" a="1"/>
  <c r="F39" i="34" s="1"/>
  <c r="F402" i="34" a="1"/>
  <c r="F402" i="34" s="1"/>
  <c r="F580" i="34" a="1"/>
  <c r="F580" i="34" s="1"/>
  <c r="K580" i="34" s="1"/>
  <c r="F41" i="34" a="1"/>
  <c r="F41" i="34" s="1"/>
  <c r="C44" i="34" a="1"/>
  <c r="C44" i="34" s="1"/>
  <c r="C84" i="34" a="1"/>
  <c r="C84" i="34" s="1"/>
  <c r="F96" i="34" a="1"/>
  <c r="F96" i="34" s="1"/>
  <c r="I96" i="34" s="1"/>
  <c r="C132" i="34" a="1"/>
  <c r="C132" i="34" s="1"/>
  <c r="G136" i="34" a="1"/>
  <c r="G136" i="34" s="1"/>
  <c r="N136" i="34" s="1"/>
  <c r="F136" i="34" a="1"/>
  <c r="F136" i="34" s="1"/>
  <c r="G167" i="34" a="1"/>
  <c r="G167" i="34" s="1"/>
  <c r="N167" i="34" s="1"/>
  <c r="F167" i="34" a="1"/>
  <c r="F167" i="34" s="1"/>
  <c r="G152" i="34" a="1"/>
  <c r="G152" i="34" s="1"/>
  <c r="N152" i="34" s="1"/>
  <c r="F152" i="34" a="1"/>
  <c r="F152" i="34" s="1"/>
  <c r="K152" i="34" s="1"/>
  <c r="F175" i="34" a="1"/>
  <c r="F175" i="34" s="1"/>
  <c r="F185" i="34" a="1"/>
  <c r="F185" i="34" s="1"/>
  <c r="G217" i="34" a="1"/>
  <c r="G217" i="34" s="1"/>
  <c r="N217" i="34" s="1"/>
  <c r="F217" i="34" a="1"/>
  <c r="F217" i="34" s="1"/>
  <c r="F232" i="34" a="1"/>
  <c r="F232" i="34" s="1"/>
  <c r="M232" i="34" s="1"/>
  <c r="G273" i="34" a="1"/>
  <c r="G273" i="34" s="1"/>
  <c r="N273" i="34" s="1"/>
  <c r="F273" i="34" a="1"/>
  <c r="F273" i="34" s="1"/>
  <c r="C276" i="34" a="1"/>
  <c r="C276" i="34" s="1"/>
  <c r="C284" i="34" a="1"/>
  <c r="C284" i="34" s="1"/>
  <c r="G304" i="34" a="1"/>
  <c r="G304" i="34" s="1"/>
  <c r="N304" i="34" s="1"/>
  <c r="F304" i="34" a="1"/>
  <c r="F304" i="34" s="1"/>
  <c r="K304" i="34" s="1"/>
  <c r="F312" i="34" a="1"/>
  <c r="F312" i="34" s="1"/>
  <c r="M312" i="34" s="1"/>
  <c r="F320" i="34" a="1"/>
  <c r="F320" i="34" s="1"/>
  <c r="K320" i="34" s="1"/>
  <c r="F328" i="34" a="1"/>
  <c r="F328" i="34" s="1"/>
  <c r="I328" i="34" s="1"/>
  <c r="G351" i="34" a="1"/>
  <c r="G351" i="34" s="1"/>
  <c r="F351" i="34" a="1"/>
  <c r="F351" i="34" s="1"/>
  <c r="K351" i="34" s="1"/>
  <c r="F418" i="34" a="1"/>
  <c r="F418" i="34" s="1"/>
  <c r="I418" i="34" s="1"/>
  <c r="G425" i="34" a="1"/>
  <c r="G425" i="34" s="1"/>
  <c r="F425" i="34" a="1"/>
  <c r="F425" i="34" s="1"/>
  <c r="F480" i="34" a="1"/>
  <c r="F480" i="34" s="1"/>
  <c r="G490" i="34" a="1"/>
  <c r="G490" i="34" s="1"/>
  <c r="N490" i="34" s="1"/>
  <c r="F490" i="34" a="1"/>
  <c r="F490" i="34" s="1"/>
  <c r="G505" i="34" a="1"/>
  <c r="G505" i="34" s="1"/>
  <c r="F505" i="34" a="1"/>
  <c r="F505" i="34" s="1"/>
  <c r="G564" i="34" a="1"/>
  <c r="G564" i="34" s="1"/>
  <c r="N564" i="34" s="1"/>
  <c r="F564" i="34" a="1"/>
  <c r="F564" i="34" s="1"/>
  <c r="I564" i="34" s="1"/>
  <c r="F584" i="34" a="1"/>
  <c r="F584" i="34" s="1"/>
  <c r="K584" i="34" s="1"/>
  <c r="F817" i="34" a="1"/>
  <c r="F817" i="34" s="1"/>
  <c r="I817" i="34" s="1"/>
  <c r="C334" i="34" a="1"/>
  <c r="C334" i="34" s="1"/>
  <c r="C326" i="34" a="1"/>
  <c r="C326" i="34" s="1"/>
  <c r="E326" i="34"/>
  <c r="C318" i="34" a="1"/>
  <c r="C318" i="34" s="1"/>
  <c r="E318" i="34"/>
  <c r="C310" i="34" a="1"/>
  <c r="C310" i="34" s="1"/>
  <c r="E310" i="34"/>
  <c r="C302" i="34" a="1"/>
  <c r="C302" i="34" s="1"/>
  <c r="C294" i="34" a="1"/>
  <c r="C294" i="34" s="1"/>
  <c r="E294" i="34"/>
  <c r="C286" i="34" a="1"/>
  <c r="C286" i="34" s="1"/>
  <c r="E286" i="34"/>
  <c r="C278" i="34" a="1"/>
  <c r="C278" i="34" s="1"/>
  <c r="E278" i="34"/>
  <c r="C270" i="34" a="1"/>
  <c r="C270" i="34" s="1"/>
  <c r="C262" i="34" a="1"/>
  <c r="C262" i="34" s="1"/>
  <c r="E262" i="34"/>
  <c r="C254" i="34" a="1"/>
  <c r="C254" i="34" s="1"/>
  <c r="E254" i="34"/>
  <c r="E246" i="34"/>
  <c r="C238" i="34" a="1"/>
  <c r="C238" i="34" s="1"/>
  <c r="C230" i="34" a="1"/>
  <c r="C230" i="34" s="1"/>
  <c r="E230" i="34"/>
  <c r="C222" i="34" a="1"/>
  <c r="C222" i="34" s="1"/>
  <c r="E222" i="34"/>
  <c r="E214" i="34"/>
  <c r="C206" i="34" a="1"/>
  <c r="C206" i="34" s="1"/>
  <c r="A198" i="34"/>
  <c r="F198" i="34" s="1" a="1"/>
  <c r="F198" i="34" s="1"/>
  <c r="M198" i="34" s="1"/>
  <c r="E198" i="34"/>
  <c r="C190" i="34" a="1"/>
  <c r="C190" i="34" s="1"/>
  <c r="C182" i="34" a="1"/>
  <c r="C182" i="34" s="1"/>
  <c r="E182" i="34"/>
  <c r="C166" i="34" a="1"/>
  <c r="C166" i="34" s="1"/>
  <c r="C158" i="34" a="1"/>
  <c r="C158" i="34" s="1"/>
  <c r="E158" i="34"/>
  <c r="E150" i="34"/>
  <c r="E134" i="34"/>
  <c r="C126" i="34" a="1"/>
  <c r="C126" i="34" s="1"/>
  <c r="E118" i="34"/>
  <c r="C110" i="34" a="1"/>
  <c r="C110" i="34" s="1"/>
  <c r="A102" i="34"/>
  <c r="E102" i="34"/>
  <c r="C94" i="34" a="1"/>
  <c r="C94" i="34" s="1"/>
  <c r="E94" i="34"/>
  <c r="C86" i="34" a="1"/>
  <c r="C86" i="34" s="1"/>
  <c r="E86" i="34"/>
  <c r="C78" i="34" a="1"/>
  <c r="C78" i="34" s="1"/>
  <c r="E78" i="34"/>
  <c r="A70" i="34"/>
  <c r="E70" i="34"/>
  <c r="C62" i="34" a="1"/>
  <c r="C62" i="34" s="1"/>
  <c r="E54" i="34"/>
  <c r="C46" i="34" a="1"/>
  <c r="C46" i="34" s="1"/>
  <c r="E46" i="34"/>
  <c r="E38" i="34"/>
  <c r="C30" i="34" a="1"/>
  <c r="C30" i="34" s="1"/>
  <c r="E30" i="34"/>
  <c r="C22" i="34" a="1"/>
  <c r="C22" i="34" s="1"/>
  <c r="E22" i="34"/>
  <c r="C14" i="34" a="1"/>
  <c r="C14" i="34" s="1"/>
  <c r="E6" i="34"/>
  <c r="A235" i="34"/>
  <c r="A107" i="34"/>
  <c r="F107" i="34" s="1" a="1"/>
  <c r="F107" i="34" s="1"/>
  <c r="A43" i="34"/>
  <c r="F687" i="34" a="1"/>
  <c r="F687" i="34" s="1"/>
  <c r="I687" i="34" s="1"/>
  <c r="F863" i="34" a="1"/>
  <c r="F863" i="34" s="1"/>
  <c r="G183" i="34" a="1"/>
  <c r="G183" i="34" s="1"/>
  <c r="N183" i="34" s="1"/>
  <c r="F183" i="34" a="1"/>
  <c r="F183" i="34" s="1"/>
  <c r="K183" i="34" s="1"/>
  <c r="G359" i="34" a="1"/>
  <c r="G359" i="34" s="1"/>
  <c r="N359" i="34" s="1"/>
  <c r="F359" i="34" a="1"/>
  <c r="F359" i="34" s="1"/>
  <c r="K359" i="34" s="1"/>
  <c r="F416" i="34" a="1"/>
  <c r="F416" i="34" s="1"/>
  <c r="I416" i="34" s="1"/>
  <c r="F554" i="34" a="1"/>
  <c r="F554" i="34" s="1"/>
  <c r="F604" i="34" a="1"/>
  <c r="F604" i="34" s="1"/>
  <c r="F9" i="34" a="1"/>
  <c r="F9" i="34" s="1"/>
  <c r="C12" i="34" a="1"/>
  <c r="C12" i="34" s="1"/>
  <c r="G24" i="34" a="1"/>
  <c r="G24" i="34" s="1"/>
  <c r="N24" i="34" s="1"/>
  <c r="F24" i="34" a="1"/>
  <c r="F24" i="34" s="1"/>
  <c r="C52" i="34" a="1"/>
  <c r="C52" i="34" s="1"/>
  <c r="F71" i="34" a="1"/>
  <c r="F71" i="34" s="1"/>
  <c r="F81" i="34" a="1"/>
  <c r="F81" i="34" s="1"/>
  <c r="C92" i="34" a="1"/>
  <c r="C92" i="34" s="1"/>
  <c r="G104" i="34" a="1"/>
  <c r="G104" i="34" s="1"/>
  <c r="F104" i="34" a="1"/>
  <c r="F104" i="34" s="1"/>
  <c r="F143" i="34" a="1"/>
  <c r="F143" i="34" s="1"/>
  <c r="K143" i="34" s="1"/>
  <c r="C196" i="34" a="1"/>
  <c r="C196" i="34" s="1"/>
  <c r="F200" i="34" a="1"/>
  <c r="F200" i="34" s="1"/>
  <c r="F225" i="34" a="1"/>
  <c r="F225" i="34" s="1"/>
  <c r="K225" i="34" s="1"/>
  <c r="C228" i="34" a="1"/>
  <c r="C228" i="34" s="1"/>
  <c r="F240" i="34" a="1"/>
  <c r="F240" i="34" s="1"/>
  <c r="I240" i="34" s="1"/>
  <c r="G263" i="34" a="1"/>
  <c r="G263" i="34" s="1"/>
  <c r="N263" i="34" s="1"/>
  <c r="F263" i="34" a="1"/>
  <c r="F263" i="34" s="1"/>
  <c r="F281" i="34" a="1"/>
  <c r="F281" i="34" s="1"/>
  <c r="I281" i="34" s="1"/>
  <c r="G289" i="34" a="1"/>
  <c r="G289" i="34" s="1"/>
  <c r="N289" i="34" s="1"/>
  <c r="F289" i="34" a="1"/>
  <c r="F289" i="34" s="1"/>
  <c r="K289" i="34" s="1"/>
  <c r="C292" i="34" a="1"/>
  <c r="C292" i="34" s="1"/>
  <c r="C300" i="34" a="1"/>
  <c r="C300" i="34" s="1"/>
  <c r="G354" i="34" a="1"/>
  <c r="G354" i="34" s="1"/>
  <c r="F354" i="34" a="1"/>
  <c r="F354" i="34" s="1"/>
  <c r="G376" i="34" a="1"/>
  <c r="G376" i="34" s="1"/>
  <c r="F376" i="34" a="1"/>
  <c r="F376" i="34" s="1"/>
  <c r="K376" i="34" s="1"/>
  <c r="F394" i="34" a="1"/>
  <c r="F394" i="34" s="1"/>
  <c r="M394" i="34" s="1"/>
  <c r="F436" i="34" a="1"/>
  <c r="F436" i="34" s="1"/>
  <c r="F465" i="34" a="1"/>
  <c r="F465" i="34" s="1"/>
  <c r="G468" i="34" a="1"/>
  <c r="G468" i="34" s="1"/>
  <c r="F468" i="34" a="1"/>
  <c r="F468" i="34" s="1"/>
  <c r="F561" i="34" a="1"/>
  <c r="F561" i="34" s="1"/>
  <c r="K561" i="34" s="1"/>
  <c r="F571" i="34" a="1"/>
  <c r="F571" i="34" s="1"/>
  <c r="F620" i="34" a="1"/>
  <c r="F620" i="34" s="1"/>
  <c r="F657" i="34" a="1"/>
  <c r="F657" i="34" s="1"/>
  <c r="M657" i="34" s="1"/>
  <c r="F689" i="34" a="1"/>
  <c r="F689" i="34" s="1"/>
  <c r="K689" i="34" s="1"/>
  <c r="F785" i="34" a="1"/>
  <c r="F785" i="34" s="1"/>
  <c r="F133" i="34" a="1"/>
  <c r="F133" i="34" s="1"/>
  <c r="C325" i="34" a="1"/>
  <c r="C325" i="34" s="1"/>
  <c r="C309" i="34" a="1"/>
  <c r="C309" i="34" s="1"/>
  <c r="E309" i="34"/>
  <c r="C293" i="34" a="1"/>
  <c r="C293" i="34" s="1"/>
  <c r="E293" i="34"/>
  <c r="C261" i="34" a="1"/>
  <c r="C261" i="34" s="1"/>
  <c r="C245" i="34" a="1"/>
  <c r="C245" i="34" s="1"/>
  <c r="C229" i="34" a="1"/>
  <c r="C229" i="34" s="1"/>
  <c r="E189" i="34"/>
  <c r="E125" i="34"/>
  <c r="A101" i="34"/>
  <c r="F101" i="34" s="1" a="1"/>
  <c r="F101" i="34" s="1"/>
  <c r="E101" i="34"/>
  <c r="E93" i="34"/>
  <c r="E61" i="34"/>
  <c r="E37" i="34"/>
  <c r="E29" i="34"/>
  <c r="A291" i="34"/>
  <c r="F291" i="34" s="1" a="1"/>
  <c r="F291" i="34" s="1"/>
  <c r="G772" i="34" a="1"/>
  <c r="G772" i="34" s="1"/>
  <c r="N772" i="34" s="1"/>
  <c r="F772" i="34" a="1"/>
  <c r="F772" i="34" s="1"/>
  <c r="K772" i="34" s="1"/>
  <c r="F698" i="34" a="1"/>
  <c r="F698" i="34" s="1"/>
  <c r="E576" i="34"/>
  <c r="A576" i="34"/>
  <c r="F576" i="34" s="1" a="1"/>
  <c r="F576" i="34" s="1"/>
  <c r="I576" i="34" s="1"/>
  <c r="A308" i="34"/>
  <c r="E308" i="34"/>
  <c r="A260" i="34"/>
  <c r="F260" i="34" s="1" a="1"/>
  <c r="F260" i="34" s="1"/>
  <c r="K260" i="34" s="1"/>
  <c r="E260" i="34"/>
  <c r="E228" i="34"/>
  <c r="A228" i="34"/>
  <c r="G228" i="34" s="1" a="1"/>
  <c r="G228" i="34" s="1"/>
  <c r="E196" i="34"/>
  <c r="A196" i="34"/>
  <c r="F196" i="34" s="1" a="1"/>
  <c r="F196" i="34" s="1"/>
  <c r="E180" i="34"/>
  <c r="A180" i="34"/>
  <c r="F180" i="34" s="1" a="1"/>
  <c r="F180" i="34" s="1"/>
  <c r="K180" i="34" s="1"/>
  <c r="A148" i="34"/>
  <c r="E148" i="34"/>
  <c r="E116" i="34"/>
  <c r="A116" i="34"/>
  <c r="E84" i="34"/>
  <c r="A84" i="34"/>
  <c r="F84" i="34" s="1" a="1"/>
  <c r="F84" i="34" s="1"/>
  <c r="M84" i="34" s="1"/>
  <c r="E36" i="34"/>
  <c r="A36" i="34"/>
  <c r="F36" i="34" s="1" a="1"/>
  <c r="F36" i="34" s="1"/>
  <c r="M36" i="34" s="1"/>
  <c r="A671" i="34"/>
  <c r="F671" i="34" s="1" a="1"/>
  <c r="F671" i="34" s="1"/>
  <c r="E671" i="34"/>
  <c r="E479" i="34"/>
  <c r="A479" i="34"/>
  <c r="E60" i="34"/>
  <c r="A60" i="34"/>
  <c r="F60" i="34" s="1" a="1"/>
  <c r="F60" i="34" s="1"/>
  <c r="M60" i="34" s="1"/>
  <c r="E786" i="34"/>
  <c r="A786" i="34"/>
  <c r="F786" i="34" s="1" a="1"/>
  <c r="F786" i="34" s="1"/>
  <c r="I786" i="34" s="1"/>
  <c r="A709" i="34"/>
  <c r="F709" i="34" s="1" a="1"/>
  <c r="F709" i="34" s="1"/>
  <c r="E709" i="34"/>
  <c r="A639" i="34"/>
  <c r="E639" i="34"/>
  <c r="E703" i="34"/>
  <c r="A703" i="34"/>
  <c r="G703" i="34" s="1" a="1"/>
  <c r="G703" i="34" s="1"/>
  <c r="E292" i="34"/>
  <c r="A292" i="34"/>
  <c r="F292" i="34" s="1" a="1"/>
  <c r="F292" i="34" s="1"/>
  <c r="A44" i="34"/>
  <c r="E44" i="34"/>
  <c r="A900" i="34"/>
  <c r="E900" i="34"/>
  <c r="A892" i="34"/>
  <c r="G892" i="34" s="1" a="1"/>
  <c r="G892" i="34" s="1"/>
  <c r="E892" i="34"/>
  <c r="E754" i="34"/>
  <c r="A754" i="34"/>
  <c r="F754" i="34" s="1" a="1"/>
  <c r="F754" i="34" s="1"/>
  <c r="I754" i="34" s="1"/>
  <c r="E607" i="34"/>
  <c r="A607" i="34"/>
  <c r="A332" i="34"/>
  <c r="E332" i="34"/>
  <c r="E300" i="34"/>
  <c r="A300" i="34"/>
  <c r="F300" i="34" s="1" a="1"/>
  <c r="F300" i="34" s="1"/>
  <c r="K300" i="34" s="1"/>
  <c r="E268" i="34"/>
  <c r="A268" i="34"/>
  <c r="F268" i="34" s="1" a="1"/>
  <c r="F268" i="34" s="1"/>
  <c r="A236" i="34"/>
  <c r="F236" i="34" s="1" a="1"/>
  <c r="F236" i="34" s="1"/>
  <c r="M236" i="34" s="1"/>
  <c r="E236" i="34"/>
  <c r="A204" i="34"/>
  <c r="E204" i="34"/>
  <c r="A164" i="34"/>
  <c r="F164" i="34" s="1" a="1"/>
  <c r="F164" i="34" s="1"/>
  <c r="E164" i="34"/>
  <c r="E124" i="34"/>
  <c r="A124" i="34"/>
  <c r="E92" i="34"/>
  <c r="A92" i="34"/>
  <c r="A68" i="34"/>
  <c r="E68" i="34"/>
  <c r="E20" i="34"/>
  <c r="A20" i="34"/>
  <c r="F20" i="34" s="1" a="1"/>
  <c r="F20" i="34" s="1"/>
  <c r="I20" i="34" s="1"/>
  <c r="A883" i="34"/>
  <c r="E883" i="34"/>
  <c r="E722" i="34"/>
  <c r="A722" i="34"/>
  <c r="F722" i="34" s="1" a="1"/>
  <c r="F722" i="34" s="1"/>
  <c r="K722" i="34" s="1"/>
  <c r="E316" i="34"/>
  <c r="A316" i="34"/>
  <c r="A276" i="34"/>
  <c r="F276" i="34" s="1" a="1"/>
  <c r="F276" i="34" s="1"/>
  <c r="E276" i="34"/>
  <c r="A244" i="34"/>
  <c r="F244" i="34" s="1" a="1"/>
  <c r="F244" i="34" s="1"/>
  <c r="I244" i="34" s="1"/>
  <c r="E244" i="34"/>
  <c r="E212" i="34"/>
  <c r="A212" i="34"/>
  <c r="A172" i="34"/>
  <c r="E172" i="34"/>
  <c r="E140" i="34"/>
  <c r="A140" i="34"/>
  <c r="F140" i="34" s="1" a="1"/>
  <c r="F140" i="34" s="1"/>
  <c r="A100" i="34"/>
  <c r="F100" i="34" s="1" a="1"/>
  <c r="F100" i="34" s="1"/>
  <c r="M100" i="34" s="1"/>
  <c r="E100" i="34"/>
  <c r="A28" i="34"/>
  <c r="E28" i="34"/>
  <c r="E760" i="34"/>
  <c r="A760" i="34"/>
  <c r="E664" i="34"/>
  <c r="A664" i="34"/>
  <c r="F664" i="34" s="1" a="1"/>
  <c r="F664" i="34" s="1"/>
  <c r="K664" i="34" s="1"/>
  <c r="E340" i="34"/>
  <c r="A340" i="34"/>
  <c r="G340" i="34" s="1" a="1"/>
  <c r="G340" i="34" s="1"/>
  <c r="E324" i="34"/>
  <c r="A324" i="34"/>
  <c r="A284" i="34"/>
  <c r="E284" i="34"/>
  <c r="E252" i="34"/>
  <c r="A252" i="34"/>
  <c r="F252" i="34" s="1" a="1"/>
  <c r="F252" i="34" s="1"/>
  <c r="A220" i="34"/>
  <c r="F220" i="34" s="1" a="1"/>
  <c r="F220" i="34" s="1"/>
  <c r="K220" i="34" s="1"/>
  <c r="E220" i="34"/>
  <c r="A188" i="34"/>
  <c r="E188" i="34"/>
  <c r="A156" i="34"/>
  <c r="E156" i="34"/>
  <c r="E132" i="34"/>
  <c r="A132" i="34"/>
  <c r="F132" i="34" s="1" a="1"/>
  <c r="F132" i="34" s="1"/>
  <c r="K132" i="34" s="1"/>
  <c r="E108" i="34"/>
  <c r="A108" i="34"/>
  <c r="A76" i="34"/>
  <c r="E76" i="34"/>
  <c r="A12" i="34"/>
  <c r="E12" i="34"/>
  <c r="E897" i="34"/>
  <c r="A897" i="34"/>
  <c r="E767" i="34"/>
  <c r="A767" i="34"/>
  <c r="G767" i="34" s="1" a="1"/>
  <c r="G767" i="34" s="1"/>
  <c r="A728" i="34"/>
  <c r="E728" i="34"/>
  <c r="E658" i="34"/>
  <c r="A658" i="34"/>
  <c r="A544" i="34"/>
  <c r="F544" i="34" s="1" a="1"/>
  <c r="F544" i="34" s="1"/>
  <c r="I544" i="34" s="1"/>
  <c r="E544" i="34"/>
  <c r="E52" i="34"/>
  <c r="A52" i="34"/>
  <c r="A735" i="34"/>
  <c r="G735" i="34" s="1" a="1"/>
  <c r="G735" i="34" s="1"/>
  <c r="N735" i="34" s="1"/>
  <c r="E735" i="34"/>
  <c r="E696" i="34"/>
  <c r="A696" i="34"/>
  <c r="A619" i="34"/>
  <c r="F619" i="34" s="1" a="1"/>
  <c r="F619" i="34" s="1"/>
  <c r="M619" i="34" s="1"/>
  <c r="A457" i="34"/>
  <c r="A601" i="34"/>
  <c r="A672" i="34"/>
  <c r="G672" i="34" s="1" a="1"/>
  <c r="G672" i="34" s="1"/>
  <c r="N672" i="34" s="1"/>
  <c r="E687" i="34"/>
  <c r="A711" i="34"/>
  <c r="F711" i="34" s="1" a="1"/>
  <c r="F711" i="34" s="1"/>
  <c r="K711" i="34" s="1"/>
  <c r="A717" i="34"/>
  <c r="E772" i="34"/>
  <c r="A839" i="34"/>
  <c r="F839" i="34" s="1" a="1"/>
  <c r="F839" i="34" s="1"/>
  <c r="K839" i="34" s="1"/>
  <c r="A677" i="34"/>
  <c r="F677" i="34" s="1" a="1"/>
  <c r="F677" i="34" s="1"/>
  <c r="K677" i="34" s="1"/>
  <c r="A530" i="34"/>
  <c r="F530" i="34" s="1" a="1"/>
  <c r="F530" i="34" s="1"/>
  <c r="A632" i="34"/>
  <c r="A725" i="34"/>
  <c r="F725" i="34" s="1" a="1"/>
  <c r="F725" i="34" s="1"/>
  <c r="K725" i="34" s="1"/>
  <c r="E809" i="34"/>
  <c r="A809" i="34"/>
  <c r="F809" i="34" s="1" a="1"/>
  <c r="F809" i="34" s="1"/>
  <c r="A833" i="34"/>
  <c r="F833" i="34" s="1" a="1"/>
  <c r="F833" i="34" s="1"/>
  <c r="A399" i="34"/>
  <c r="F399" i="34" s="1" a="1"/>
  <c r="F399" i="34" s="1"/>
  <c r="A428" i="34"/>
  <c r="F428" i="34" s="1" a="1"/>
  <c r="F428" i="34" s="1"/>
  <c r="A472" i="34"/>
  <c r="G472" i="34" s="1" a="1"/>
  <c r="G472" i="34" s="1"/>
  <c r="N472" i="34" s="1"/>
  <c r="A594" i="34"/>
  <c r="F594" i="34" s="1" a="1"/>
  <c r="F594" i="34" s="1"/>
  <c r="I594" i="34" s="1"/>
  <c r="A640" i="34"/>
  <c r="F640" i="34" s="1" a="1"/>
  <c r="F640" i="34" s="1"/>
  <c r="K640" i="34" s="1"/>
  <c r="A648" i="34"/>
  <c r="E800" i="34"/>
  <c r="A800" i="34"/>
  <c r="E695" i="34"/>
  <c r="A355" i="34"/>
  <c r="F355" i="34" s="1" a="1"/>
  <c r="F355" i="34" s="1"/>
  <c r="A369" i="34"/>
  <c r="F369" i="34" s="1" a="1"/>
  <c r="F369" i="34" s="1"/>
  <c r="A655" i="34"/>
  <c r="G655" i="34" s="1" a="1"/>
  <c r="G655" i="34" s="1"/>
  <c r="A726" i="34"/>
  <c r="F726" i="34" s="1" a="1"/>
  <c r="F726" i="34" s="1"/>
  <c r="K726" i="34" s="1"/>
  <c r="A840" i="34"/>
  <c r="E836" i="34"/>
  <c r="A836" i="34"/>
  <c r="F836" i="34" s="1" a="1"/>
  <c r="F836" i="34" s="1"/>
  <c r="K836" i="34" s="1"/>
  <c r="E737" i="34"/>
  <c r="A737" i="34"/>
  <c r="G737" i="34" s="1" a="1"/>
  <c r="G737" i="34" s="1"/>
  <c r="E649" i="34"/>
  <c r="E656" i="34"/>
  <c r="E872" i="34"/>
  <c r="E764" i="34"/>
  <c r="A764" i="34"/>
  <c r="E780" i="34"/>
  <c r="A804" i="34"/>
  <c r="G804" i="34" s="1" a="1"/>
  <c r="G804" i="34" s="1"/>
  <c r="N804" i="34" s="1"/>
  <c r="E59" i="34"/>
  <c r="E107" i="34"/>
  <c r="A51" i="34"/>
  <c r="F51" i="34" s="1" a="1"/>
  <c r="F51" i="34" s="1"/>
  <c r="E83" i="34"/>
  <c r="A99" i="34"/>
  <c r="A203" i="34"/>
  <c r="E235" i="34"/>
  <c r="A251" i="34"/>
  <c r="F251" i="34" s="1" a="1"/>
  <c r="F251" i="34" s="1"/>
  <c r="K251" i="34" s="1"/>
  <c r="A307" i="34"/>
  <c r="G307" i="34" s="1" a="1"/>
  <c r="G307" i="34" s="1"/>
  <c r="N307" i="34" s="1"/>
  <c r="A323" i="34"/>
  <c r="A379" i="34"/>
  <c r="E427" i="34"/>
  <c r="E475" i="34"/>
  <c r="A523" i="34"/>
  <c r="A539" i="34"/>
  <c r="F539" i="34" s="1" a="1"/>
  <c r="F539" i="34" s="1"/>
  <c r="A555" i="34"/>
  <c r="F555" i="34" s="1" a="1"/>
  <c r="F555" i="34" s="1"/>
  <c r="I555" i="34" s="1"/>
  <c r="A635" i="34"/>
  <c r="G635" i="34" s="1" a="1"/>
  <c r="G635" i="34" s="1"/>
  <c r="E723" i="34"/>
  <c r="E739" i="34"/>
  <c r="E763" i="34"/>
  <c r="E795" i="34"/>
  <c r="A115" i="34"/>
  <c r="A147" i="34"/>
  <c r="A195" i="34"/>
  <c r="A267" i="34"/>
  <c r="F267" i="34" s="1" a="1"/>
  <c r="F267" i="34" s="1"/>
  <c r="A371" i="34"/>
  <c r="F371" i="34" s="1" a="1"/>
  <c r="F371" i="34" s="1"/>
  <c r="A395" i="34"/>
  <c r="A443" i="34"/>
  <c r="A483" i="34"/>
  <c r="A603" i="34"/>
  <c r="F603" i="34" s="1" a="1"/>
  <c r="F603" i="34" s="1"/>
  <c r="A667" i="34"/>
  <c r="F667" i="34" s="1" a="1"/>
  <c r="F667" i="34" s="1"/>
  <c r="A787" i="34"/>
  <c r="F787" i="34" s="1" a="1"/>
  <c r="F787" i="34" s="1"/>
  <c r="A67" i="34"/>
  <c r="F67" i="34" s="1" a="1"/>
  <c r="F67" i="34" s="1"/>
  <c r="A91" i="34"/>
  <c r="F91" i="34" s="1" a="1"/>
  <c r="F91" i="34" s="1"/>
  <c r="A155" i="34"/>
  <c r="A171" i="34"/>
  <c r="A243" i="34"/>
  <c r="A283" i="34"/>
  <c r="A299" i="34"/>
  <c r="F299" i="34" s="1" a="1"/>
  <c r="F299" i="34" s="1"/>
  <c r="K299" i="34" s="1"/>
  <c r="A499" i="34"/>
  <c r="F499" i="34" s="1" a="1"/>
  <c r="F499" i="34" s="1"/>
  <c r="A515" i="34"/>
  <c r="A643" i="34"/>
  <c r="G643" i="34" s="1" a="1"/>
  <c r="G643" i="34" s="1"/>
  <c r="A803" i="34"/>
  <c r="F803" i="34" s="1" a="1"/>
  <c r="F803" i="34" s="1"/>
  <c r="E819" i="34"/>
  <c r="A187" i="34"/>
  <c r="A219" i="34"/>
  <c r="A315" i="34"/>
  <c r="F315" i="34" s="1" a="1"/>
  <c r="F315" i="34" s="1"/>
  <c r="K315" i="34" s="1"/>
  <c r="A331" i="34"/>
  <c r="A411" i="34"/>
  <c r="A435" i="34"/>
  <c r="A459" i="34"/>
  <c r="A531" i="34"/>
  <c r="A547" i="34"/>
  <c r="A627" i="34"/>
  <c r="A659" i="34"/>
  <c r="F659" i="34" s="1" a="1"/>
  <c r="F659" i="34" s="1"/>
  <c r="M659" i="34" s="1"/>
  <c r="A675" i="34"/>
  <c r="F675" i="34" s="1" a="1"/>
  <c r="F675" i="34" s="1"/>
  <c r="I675" i="34" s="1"/>
  <c r="A691" i="34"/>
  <c r="F691" i="34" s="1" a="1"/>
  <c r="F691" i="34" s="1"/>
  <c r="M691" i="34" s="1"/>
  <c r="A707" i="34"/>
  <c r="F707" i="34" s="1" a="1"/>
  <c r="F707" i="34" s="1"/>
  <c r="M707" i="34" s="1"/>
  <c r="A731" i="34"/>
  <c r="F731" i="34" s="1" a="1"/>
  <c r="F731" i="34" s="1"/>
  <c r="M731" i="34" s="1"/>
  <c r="A827" i="34"/>
  <c r="A851" i="34"/>
  <c r="A131" i="34"/>
  <c r="F131" i="34" s="1" a="1"/>
  <c r="F131" i="34" s="1"/>
  <c r="A163" i="34"/>
  <c r="A139" i="34"/>
  <c r="A211" i="34"/>
  <c r="A259" i="34"/>
  <c r="F259" i="34" s="1" a="1"/>
  <c r="F259" i="34" s="1"/>
  <c r="I259" i="34" s="1"/>
  <c r="A347" i="34"/>
  <c r="F347" i="34" s="1" a="1"/>
  <c r="F347" i="34" s="1"/>
  <c r="K347" i="34" s="1"/>
  <c r="A363" i="34"/>
  <c r="A387" i="34"/>
  <c r="A563" i="34"/>
  <c r="F563" i="34" s="1" a="1"/>
  <c r="F563" i="34" s="1"/>
  <c r="A579" i="34"/>
  <c r="A611" i="34"/>
  <c r="F611" i="34" s="1" a="1"/>
  <c r="F611" i="34" s="1"/>
  <c r="A755" i="34"/>
  <c r="F755" i="34" s="1" a="1"/>
  <c r="F755" i="34" s="1"/>
  <c r="A891" i="34"/>
  <c r="F891" i="34" s="1" a="1"/>
  <c r="F891" i="34" s="1"/>
  <c r="K891" i="34" s="1"/>
  <c r="A964" i="34"/>
  <c r="G964" i="34" s="1" a="1"/>
  <c r="G964" i="34" s="1"/>
  <c r="N964" i="34" s="1"/>
  <c r="E964" i="34"/>
  <c r="E956" i="34"/>
  <c r="A956" i="34"/>
  <c r="A948" i="34"/>
  <c r="F948" i="34" s="1" a="1"/>
  <c r="F948" i="34" s="1"/>
  <c r="E948" i="34"/>
  <c r="E940" i="34"/>
  <c r="A940" i="34"/>
  <c r="G940" i="34" s="1" a="1"/>
  <c r="G940" i="34" s="1"/>
  <c r="A932" i="34"/>
  <c r="G932" i="34" s="1" a="1"/>
  <c r="G932" i="34" s="1"/>
  <c r="E932" i="34"/>
  <c r="E924" i="34"/>
  <c r="A924" i="34"/>
  <c r="F924" i="34" s="1" a="1"/>
  <c r="F924" i="34" s="1"/>
  <c r="E916" i="34"/>
  <c r="A916" i="34"/>
  <c r="G916" i="34" s="1" a="1"/>
  <c r="G916" i="34" s="1"/>
  <c r="E908" i="34"/>
  <c r="A908" i="34"/>
  <c r="E881" i="34"/>
  <c r="A881" i="34"/>
  <c r="A674" i="34"/>
  <c r="E674" i="34"/>
  <c r="A963" i="34"/>
  <c r="E963" i="34"/>
  <c r="A955" i="34"/>
  <c r="F955" i="34" s="1" a="1"/>
  <c r="F955" i="34" s="1"/>
  <c r="E955" i="34"/>
  <c r="A947" i="34"/>
  <c r="F947" i="34" s="1" a="1"/>
  <c r="F947" i="34" s="1"/>
  <c r="E947" i="34"/>
  <c r="A939" i="34"/>
  <c r="E939" i="34"/>
  <c r="A931" i="34"/>
  <c r="E931" i="34"/>
  <c r="E923" i="34"/>
  <c r="A923" i="34"/>
  <c r="A915" i="34"/>
  <c r="E915" i="34"/>
  <c r="E907" i="34"/>
  <c r="A907" i="34"/>
  <c r="A899" i="34"/>
  <c r="E899" i="34"/>
  <c r="E847" i="34"/>
  <c r="A847" i="34"/>
  <c r="E642" i="34"/>
  <c r="A642" i="34"/>
  <c r="A925" i="34"/>
  <c r="E925" i="34"/>
  <c r="E917" i="34"/>
  <c r="A917" i="34"/>
  <c r="E930" i="34"/>
  <c r="A930" i="34"/>
  <c r="A922" i="34"/>
  <c r="F922" i="34" s="1" a="1"/>
  <c r="F922" i="34" s="1"/>
  <c r="K922" i="34" s="1"/>
  <c r="E922" i="34"/>
  <c r="E879" i="34"/>
  <c r="A879" i="34"/>
  <c r="F879" i="34" s="1" a="1"/>
  <c r="F879" i="34" s="1"/>
  <c r="A852" i="34"/>
  <c r="G852" i="34" s="1" a="1"/>
  <c r="G852" i="34" s="1"/>
  <c r="E852" i="34"/>
  <c r="E825" i="34"/>
  <c r="A825" i="34"/>
  <c r="E811" i="34"/>
  <c r="A811" i="34"/>
  <c r="E706" i="34"/>
  <c r="A706" i="34"/>
  <c r="E961" i="34"/>
  <c r="A961" i="34"/>
  <c r="F961" i="34" s="1" a="1"/>
  <c r="F961" i="34" s="1"/>
  <c r="K961" i="34" s="1"/>
  <c r="E953" i="34"/>
  <c r="A953" i="34"/>
  <c r="E945" i="34"/>
  <c r="A945" i="34"/>
  <c r="E937" i="34"/>
  <c r="A937" i="34"/>
  <c r="A929" i="34"/>
  <c r="E929" i="34"/>
  <c r="E921" i="34"/>
  <c r="A921" i="34"/>
  <c r="E913" i="34"/>
  <c r="A913" i="34"/>
  <c r="E905" i="34"/>
  <c r="A905" i="34"/>
  <c r="E884" i="34"/>
  <c r="A884" i="34"/>
  <c r="F884" i="34" s="1" a="1"/>
  <c r="F884" i="34" s="1"/>
  <c r="A824" i="34"/>
  <c r="F824" i="34" s="1" a="1"/>
  <c r="F824" i="34" s="1"/>
  <c r="M824" i="34" s="1"/>
  <c r="E824" i="34"/>
  <c r="A788" i="34"/>
  <c r="E788" i="34"/>
  <c r="E761" i="34"/>
  <c r="A761" i="34"/>
  <c r="G761" i="34" s="1" a="1"/>
  <c r="G761" i="34" s="1"/>
  <c r="A820" i="34"/>
  <c r="E820" i="34"/>
  <c r="E770" i="34"/>
  <c r="A770" i="34"/>
  <c r="E960" i="34"/>
  <c r="A960" i="34"/>
  <c r="A952" i="34"/>
  <c r="F952" i="34" s="1" a="1"/>
  <c r="F952" i="34" s="1"/>
  <c r="E952" i="34"/>
  <c r="E944" i="34"/>
  <c r="A944" i="34"/>
  <c r="G944" i="34" s="1" a="1"/>
  <c r="G944" i="34" s="1"/>
  <c r="A936" i="34"/>
  <c r="F936" i="34" s="1" a="1"/>
  <c r="F936" i="34" s="1"/>
  <c r="I936" i="34" s="1"/>
  <c r="E936" i="34"/>
  <c r="A928" i="34"/>
  <c r="F928" i="34" s="1" a="1"/>
  <c r="F928" i="34" s="1"/>
  <c r="K928" i="34" s="1"/>
  <c r="E928" i="34"/>
  <c r="E920" i="34"/>
  <c r="A920" i="34"/>
  <c r="E912" i="34"/>
  <c r="A912" i="34"/>
  <c r="G912" i="34" s="1" a="1"/>
  <c r="G912" i="34" s="1"/>
  <c r="E904" i="34"/>
  <c r="A904" i="34"/>
  <c r="G904" i="34" s="1" a="1"/>
  <c r="G904" i="34" s="1"/>
  <c r="A887" i="34"/>
  <c r="E887" i="34"/>
  <c r="A855" i="34"/>
  <c r="E855" i="34"/>
  <c r="A959" i="34"/>
  <c r="F959" i="34" s="1" a="1"/>
  <c r="F959" i="34" s="1"/>
  <c r="K959" i="34" s="1"/>
  <c r="E959" i="34"/>
  <c r="E951" i="34"/>
  <c r="A951" i="34"/>
  <c r="E943" i="34"/>
  <c r="A943" i="34"/>
  <c r="E935" i="34"/>
  <c r="A935" i="34"/>
  <c r="F935" i="34" s="1" a="1"/>
  <c r="F935" i="34" s="1"/>
  <c r="E927" i="34"/>
  <c r="A927" i="34"/>
  <c r="A919" i="34"/>
  <c r="G919" i="34" s="1" a="1"/>
  <c r="G919" i="34" s="1"/>
  <c r="N919" i="34" s="1"/>
  <c r="E919" i="34"/>
  <c r="E911" i="34"/>
  <c r="A911" i="34"/>
  <c r="A903" i="34"/>
  <c r="G903" i="34" s="1" a="1"/>
  <c r="G903" i="34" s="1"/>
  <c r="E903" i="34"/>
  <c r="A896" i="34"/>
  <c r="F896" i="34" s="1" a="1"/>
  <c r="F896" i="34" s="1"/>
  <c r="E896" i="34"/>
  <c r="E889" i="34"/>
  <c r="A889" i="34"/>
  <c r="E876" i="34"/>
  <c r="A876" i="34"/>
  <c r="A864" i="34"/>
  <c r="G864" i="34" s="1" a="1"/>
  <c r="G864" i="34" s="1"/>
  <c r="E864" i="34"/>
  <c r="E857" i="34"/>
  <c r="A857" i="34"/>
  <c r="F857" i="34" s="1" a="1"/>
  <c r="F857" i="34" s="1"/>
  <c r="E843" i="34"/>
  <c r="A843" i="34"/>
  <c r="A779" i="34"/>
  <c r="F779" i="34" s="1" a="1"/>
  <c r="F779" i="34" s="1"/>
  <c r="M779" i="34" s="1"/>
  <c r="E779" i="34"/>
  <c r="E895" i="34"/>
  <c r="A895" i="34"/>
  <c r="E888" i="34"/>
  <c r="A888" i="34"/>
  <c r="E875" i="34"/>
  <c r="A875" i="34"/>
  <c r="F875" i="34" s="1" a="1"/>
  <c r="F875" i="34" s="1"/>
  <c r="E793" i="34"/>
  <c r="A793" i="34"/>
  <c r="F793" i="34" s="1" a="1"/>
  <c r="F793" i="34" s="1"/>
  <c r="A738" i="34"/>
  <c r="E738" i="34"/>
  <c r="E625" i="34"/>
  <c r="A690" i="34"/>
  <c r="A758" i="34"/>
  <c r="E828" i="34"/>
  <c r="A777" i="34"/>
  <c r="G777" i="34" s="1" a="1"/>
  <c r="G777" i="34" s="1"/>
  <c r="A784" i="34"/>
  <c r="F784" i="34" s="1" a="1"/>
  <c r="F784" i="34" s="1"/>
  <c r="A799" i="34"/>
  <c r="G799" i="34" s="1" a="1"/>
  <c r="G799" i="34" s="1"/>
  <c r="E669" i="34"/>
  <c r="A792" i="34"/>
  <c r="A859" i="34"/>
  <c r="A871" i="34"/>
  <c r="G871" i="34" s="1" a="1"/>
  <c r="G871" i="34" s="1"/>
  <c r="A182" i="34"/>
  <c r="F182" i="34" s="1" a="1"/>
  <c r="F182" i="34" s="1"/>
  <c r="K182" i="34" s="1"/>
  <c r="A262" i="34"/>
  <c r="F262" i="34" s="1" a="1"/>
  <c r="F262" i="34" s="1"/>
  <c r="A478" i="34"/>
  <c r="A510" i="34"/>
  <c r="F510" i="34" s="1" a="1"/>
  <c r="F510" i="34" s="1"/>
  <c r="M510" i="34" s="1"/>
  <c r="A550" i="34"/>
  <c r="F550" i="34" s="1" a="1"/>
  <c r="F550" i="34" s="1"/>
  <c r="A582" i="34"/>
  <c r="A614" i="34"/>
  <c r="F614" i="34" s="1" a="1"/>
  <c r="F614" i="34" s="1"/>
  <c r="A718" i="34"/>
  <c r="F718" i="34" s="1" a="1"/>
  <c r="F718" i="34" s="1"/>
  <c r="A790" i="34"/>
  <c r="F790" i="34" s="1" a="1"/>
  <c r="F790" i="34" s="1"/>
  <c r="K790" i="34" s="1"/>
  <c r="A822" i="34"/>
  <c r="A950" i="34"/>
  <c r="G950" i="34" s="1" a="1"/>
  <c r="G950" i="34" s="1"/>
  <c r="C54" i="34" a="1"/>
  <c r="C54" i="34" s="1"/>
  <c r="C118" i="34" a="1"/>
  <c r="C118" i="34" s="1"/>
  <c r="A158" i="34"/>
  <c r="F158" i="34" s="1" a="1"/>
  <c r="F158" i="34" s="1"/>
  <c r="A254" i="34"/>
  <c r="F254" i="34" s="1" a="1"/>
  <c r="F254" i="34" s="1"/>
  <c r="A294" i="34"/>
  <c r="G294" i="34" s="1" a="1"/>
  <c r="G294" i="34" s="1"/>
  <c r="A326" i="34"/>
  <c r="A358" i="34"/>
  <c r="A542" i="34"/>
  <c r="A646" i="34"/>
  <c r="F646" i="34" s="1" a="1"/>
  <c r="F646" i="34" s="1"/>
  <c r="K646" i="34" s="1"/>
  <c r="A750" i="34"/>
  <c r="A854" i="34"/>
  <c r="A886" i="34"/>
  <c r="A926" i="34"/>
  <c r="F926" i="34" s="1" a="1"/>
  <c r="F926" i="34" s="1"/>
  <c r="A406" i="34"/>
  <c r="F406" i="34" s="1" a="1"/>
  <c r="F406" i="34" s="1"/>
  <c r="I406" i="34" s="1"/>
  <c r="A470" i="34"/>
  <c r="A638" i="34"/>
  <c r="F638" i="34" s="1" a="1"/>
  <c r="F638" i="34" s="1"/>
  <c r="C38" i="34" a="1"/>
  <c r="C38" i="34" s="1"/>
  <c r="C142" i="34" a="1"/>
  <c r="C142" i="34" s="1"/>
  <c r="C246" i="34" a="1"/>
  <c r="C246" i="34" s="1"/>
  <c r="A286" i="34"/>
  <c r="A318" i="34"/>
  <c r="A350" i="34"/>
  <c r="F350" i="34" s="1" a="1"/>
  <c r="F350" i="34" s="1"/>
  <c r="I350" i="34" s="1"/>
  <c r="A398" i="34"/>
  <c r="F398" i="34" s="1" a="1"/>
  <c r="F398" i="34" s="1"/>
  <c r="K398" i="34" s="1"/>
  <c r="A694" i="34"/>
  <c r="A742" i="34"/>
  <c r="F742" i="34" s="1" a="1"/>
  <c r="F742" i="34" s="1"/>
  <c r="I742" i="34" s="1"/>
  <c r="A918" i="34"/>
  <c r="F918" i="34" s="1" a="1"/>
  <c r="F918" i="34" s="1"/>
  <c r="K918" i="34" s="1"/>
  <c r="A30" i="34"/>
  <c r="A94" i="34"/>
  <c r="C102" i="34" a="1"/>
  <c r="C102" i="34" s="1"/>
  <c r="A22" i="34"/>
  <c r="F22" i="34" s="1" a="1"/>
  <c r="F22" i="34" s="1"/>
  <c r="M22" i="34" s="1"/>
  <c r="A86" i="34"/>
  <c r="A494" i="34"/>
  <c r="A566" i="34"/>
  <c r="A598" i="34"/>
  <c r="G598" i="34" s="1" a="1"/>
  <c r="G598" i="34" s="1"/>
  <c r="A630" i="34"/>
  <c r="F630" i="34" s="1" a="1"/>
  <c r="F630" i="34" s="1"/>
  <c r="I630" i="34" s="1"/>
  <c r="A686" i="34"/>
  <c r="A798" i="34"/>
  <c r="F798" i="34" s="1" a="1"/>
  <c r="F798" i="34" s="1"/>
  <c r="A830" i="34"/>
  <c r="A958" i="34"/>
  <c r="G958" i="34" s="1" a="1"/>
  <c r="G958" i="34" s="1"/>
  <c r="A78" i="34"/>
  <c r="A222" i="34"/>
  <c r="F222" i="34" s="1" a="1"/>
  <c r="F222" i="34" s="1"/>
  <c r="A278" i="34"/>
  <c r="A310" i="34"/>
  <c r="A382" i="34"/>
  <c r="A446" i="34"/>
  <c r="A526" i="34"/>
  <c r="A862" i="34"/>
  <c r="A894" i="34"/>
  <c r="G894" i="34" s="1" a="1"/>
  <c r="G894" i="34" s="1"/>
  <c r="A477" i="34"/>
  <c r="F477" i="34" s="1" a="1"/>
  <c r="F477" i="34" s="1"/>
  <c r="A733" i="34"/>
  <c r="F733" i="34" s="1" a="1"/>
  <c r="F733" i="34" s="1"/>
  <c r="I733" i="34" s="1"/>
  <c r="A741" i="34"/>
  <c r="F741" i="34" s="1" a="1"/>
  <c r="F741" i="34" s="1"/>
  <c r="A933" i="34"/>
  <c r="A938" i="34"/>
  <c r="G938" i="34" s="1" a="1"/>
  <c r="G938" i="34" s="1"/>
  <c r="A946" i="34"/>
  <c r="G946" i="34" s="1" a="1"/>
  <c r="G946" i="34" s="1"/>
  <c r="A954" i="34"/>
  <c r="A962" i="34"/>
  <c r="F962" i="34" s="1" a="1"/>
  <c r="F962" i="34" s="1"/>
  <c r="A485" i="34"/>
  <c r="A493" i="34"/>
  <c r="A509" i="34"/>
  <c r="A517" i="34"/>
  <c r="A749" i="34"/>
  <c r="F749" i="34" s="1" a="1"/>
  <c r="F749" i="34" s="1"/>
  <c r="I749" i="34" s="1"/>
  <c r="A757" i="34"/>
  <c r="A941" i="34"/>
  <c r="A949" i="34"/>
  <c r="A957" i="34"/>
  <c r="A965" i="34"/>
  <c r="G965" i="34" s="1" a="1"/>
  <c r="G965" i="34" s="1"/>
  <c r="G524" i="34" a="1"/>
  <c r="G524" i="34" s="1"/>
  <c r="N524" i="34" s="1"/>
  <c r="A765" i="34"/>
  <c r="F765" i="34" s="1" a="1"/>
  <c r="F765" i="34" s="1"/>
  <c r="A773" i="34"/>
  <c r="F773" i="34" s="1" a="1"/>
  <c r="F773" i="34" s="1"/>
  <c r="M773" i="34" s="1"/>
  <c r="A781" i="34"/>
  <c r="A525" i="34"/>
  <c r="A533" i="34"/>
  <c r="F533" i="34" s="1" a="1"/>
  <c r="F533" i="34" s="1"/>
  <c r="A541" i="34"/>
  <c r="F541" i="34" s="1" a="1"/>
  <c r="F541" i="34" s="1"/>
  <c r="I541" i="34" s="1"/>
  <c r="A794" i="34"/>
  <c r="A802" i="34"/>
  <c r="A810" i="34"/>
  <c r="A818" i="34"/>
  <c r="A826" i="34"/>
  <c r="A269" i="34"/>
  <c r="A277" i="34"/>
  <c r="A549" i="34"/>
  <c r="A557" i="34"/>
  <c r="A573" i="34"/>
  <c r="A589" i="34"/>
  <c r="A597" i="34"/>
  <c r="A605" i="34"/>
  <c r="F605" i="34" s="1" a="1"/>
  <c r="F605" i="34" s="1"/>
  <c r="A613" i="34"/>
  <c r="A621" i="34"/>
  <c r="F621" i="34" s="1" a="1"/>
  <c r="F621" i="34" s="1"/>
  <c r="A629" i="34"/>
  <c r="F629" i="34" s="1" a="1"/>
  <c r="F629" i="34" s="1"/>
  <c r="A637" i="34"/>
  <c r="A789" i="34"/>
  <c r="A797" i="34"/>
  <c r="F797" i="34" s="1" a="1"/>
  <c r="F797" i="34" s="1"/>
  <c r="K797" i="34" s="1"/>
  <c r="A805" i="34"/>
  <c r="A813" i="34"/>
  <c r="F813" i="34" s="1" a="1"/>
  <c r="F813" i="34" s="1"/>
  <c r="A821" i="34"/>
  <c r="F821" i="34" s="1" a="1"/>
  <c r="F821" i="34" s="1"/>
  <c r="A829" i="34"/>
  <c r="F829" i="34" s="1" a="1"/>
  <c r="F829" i="34" s="1"/>
  <c r="A834" i="34"/>
  <c r="A842" i="34"/>
  <c r="A850" i="34"/>
  <c r="A858" i="34"/>
  <c r="A866" i="34"/>
  <c r="A874" i="34"/>
  <c r="A882" i="34"/>
  <c r="F882" i="34" s="1" a="1"/>
  <c r="F882" i="34" s="1"/>
  <c r="A890" i="34"/>
  <c r="G890" i="34" s="1" a="1"/>
  <c r="G890" i="34" s="1"/>
  <c r="A898" i="34"/>
  <c r="G898" i="34" s="1" a="1"/>
  <c r="G898" i="34" s="1"/>
  <c r="A906" i="34"/>
  <c r="A285" i="34"/>
  <c r="A293" i="34"/>
  <c r="A301" i="34"/>
  <c r="A309" i="34"/>
  <c r="F309" i="34" s="1" a="1"/>
  <c r="F309" i="34" s="1"/>
  <c r="I309" i="34" s="1"/>
  <c r="A317" i="34"/>
  <c r="G317" i="34" s="1" a="1"/>
  <c r="G317" i="34" s="1"/>
  <c r="A333" i="34"/>
  <c r="G333" i="34" s="1" a="1"/>
  <c r="G333" i="34" s="1"/>
  <c r="A341" i="34"/>
  <c r="A349" i="34"/>
  <c r="A357" i="34"/>
  <c r="F357" i="34" s="1" a="1"/>
  <c r="F357" i="34" s="1"/>
  <c r="A365" i="34"/>
  <c r="A645" i="34"/>
  <c r="F645" i="34" s="1" a="1"/>
  <c r="F645" i="34" s="1"/>
  <c r="K645" i="34" s="1"/>
  <c r="A653" i="34"/>
  <c r="F653" i="34" s="1" a="1"/>
  <c r="F653" i="34" s="1"/>
  <c r="A837" i="34"/>
  <c r="F837" i="34" s="1" a="1"/>
  <c r="F837" i="34" s="1"/>
  <c r="A845" i="34"/>
  <c r="A853" i="34"/>
  <c r="F853" i="34" s="1" a="1"/>
  <c r="F853" i="34" s="1"/>
  <c r="A861" i="34"/>
  <c r="G861" i="34" s="1" a="1"/>
  <c r="G861" i="34" s="1"/>
  <c r="A869" i="34"/>
  <c r="A877" i="34"/>
  <c r="F877" i="34" s="1" a="1"/>
  <c r="F877" i="34" s="1"/>
  <c r="A885" i="34"/>
  <c r="A893" i="34"/>
  <c r="F893" i="34" s="1" a="1"/>
  <c r="F893" i="34" s="1"/>
  <c r="A901" i="34"/>
  <c r="A909" i="34"/>
  <c r="A914" i="34"/>
  <c r="G426" i="34" a="1"/>
  <c r="G426" i="34" s="1"/>
  <c r="G370" i="34" a="1"/>
  <c r="G370" i="34" s="1"/>
  <c r="G416" i="34" a="1"/>
  <c r="G416" i="34" s="1"/>
  <c r="N416" i="34" s="1"/>
  <c r="G730" i="34" a="1"/>
  <c r="G730" i="34" s="1"/>
  <c r="N730" i="34" s="1"/>
  <c r="G715" i="34" a="1"/>
  <c r="G715" i="34" s="1"/>
  <c r="G40" i="34" a="1"/>
  <c r="G40" i="34" s="1"/>
  <c r="G233" i="34" a="1"/>
  <c r="G233" i="34" s="1"/>
  <c r="M747" i="34"/>
  <c r="G828" i="34" a="1"/>
  <c r="G828" i="34" s="1"/>
  <c r="N828" i="34" s="1"/>
  <c r="G240" i="34" a="1"/>
  <c r="G240" i="34" s="1"/>
  <c r="G466" i="34" a="1"/>
  <c r="G466" i="34" s="1"/>
  <c r="G418" i="34" a="1"/>
  <c r="G418" i="34" s="1"/>
  <c r="G536" i="34" a="1"/>
  <c r="G536" i="34" s="1"/>
  <c r="N536" i="34" s="1"/>
  <c r="G88" i="34" a="1"/>
  <c r="G88" i="34" s="1"/>
  <c r="G161" i="34" a="1"/>
  <c r="G161" i="34" s="1"/>
  <c r="N161" i="34" s="1"/>
  <c r="G225" i="34" a="1"/>
  <c r="G225" i="34" s="1"/>
  <c r="N225" i="34" s="1"/>
  <c r="K321" i="34"/>
  <c r="G328" i="34" a="1"/>
  <c r="G328" i="34" s="1"/>
  <c r="N328" i="34" s="1"/>
  <c r="G352" i="34" a="1"/>
  <c r="G352" i="34" s="1"/>
  <c r="N352" i="34" s="1"/>
  <c r="G394" i="34" a="1"/>
  <c r="G394" i="34" s="1"/>
  <c r="N394" i="34" s="1"/>
  <c r="G568" i="34" a="1"/>
  <c r="G568" i="34" s="1"/>
  <c r="G689" i="34" a="1"/>
  <c r="G689" i="34" s="1"/>
  <c r="G281" i="34" a="1"/>
  <c r="G281" i="34" s="1"/>
  <c r="G434" i="34" a="1"/>
  <c r="G434" i="34" s="1"/>
  <c r="G657" i="34" a="1"/>
  <c r="G657" i="34" s="1"/>
  <c r="G759" i="34" a="1"/>
  <c r="G759" i="34" s="1"/>
  <c r="N296" i="34"/>
  <c r="G48" i="34" a="1"/>
  <c r="G48" i="34" s="1"/>
  <c r="G143" i="34" a="1"/>
  <c r="G143" i="34" s="1"/>
  <c r="G199" i="34" a="1"/>
  <c r="G199" i="34" s="1"/>
  <c r="G224" i="34" a="1"/>
  <c r="G224" i="34" s="1"/>
  <c r="G232" i="34" a="1"/>
  <c r="G232" i="34" s="1"/>
  <c r="G312" i="34" a="1"/>
  <c r="G312" i="34" s="1"/>
  <c r="N354" i="34"/>
  <c r="N385" i="34"/>
  <c r="G72" i="34" a="1"/>
  <c r="G72" i="34" s="1"/>
  <c r="G96" i="34" a="1"/>
  <c r="G96" i="34" s="1"/>
  <c r="G778" i="34" a="1"/>
  <c r="G778" i="34" s="1"/>
  <c r="N425" i="34"/>
  <c r="G841" i="34" a="1"/>
  <c r="G841" i="34" s="1"/>
  <c r="G873" i="34" a="1"/>
  <c r="G873" i="34" s="1"/>
  <c r="G141" i="34" a="1"/>
  <c r="G141" i="34" s="1"/>
  <c r="G329" i="34" a="1"/>
  <c r="G329" i="34" s="1"/>
  <c r="G514" i="34" a="1"/>
  <c r="G514" i="34" s="1"/>
  <c r="G208" i="34" a="1"/>
  <c r="G208" i="34" s="1"/>
  <c r="G279" i="34" a="1"/>
  <c r="G279" i="34" s="1"/>
  <c r="G313" i="34" a="1"/>
  <c r="G313" i="34" s="1"/>
  <c r="G343" i="34" a="1"/>
  <c r="G343" i="34" s="1"/>
  <c r="G191" i="34" a="1"/>
  <c r="G191" i="34" s="1"/>
  <c r="G223" i="34" a="1"/>
  <c r="G223" i="34" s="1"/>
  <c r="G248" i="34" a="1"/>
  <c r="G248" i="34" s="1"/>
  <c r="G265" i="34" a="1"/>
  <c r="G265" i="34" s="1"/>
  <c r="G295" i="34" a="1"/>
  <c r="G295" i="34" s="1"/>
  <c r="G200" i="34" a="1"/>
  <c r="G200" i="34" s="1"/>
  <c r="G215" i="34" a="1"/>
  <c r="G215" i="34" s="1"/>
  <c r="G320" i="34" a="1"/>
  <c r="G320" i="34" s="1"/>
  <c r="G237" i="34" a="1"/>
  <c r="G237" i="34" s="1"/>
  <c r="G527" i="34" a="1"/>
  <c r="G527" i="34" s="1"/>
  <c r="G272" i="34" a="1"/>
  <c r="G272" i="34" s="1"/>
  <c r="G159" i="34" a="1"/>
  <c r="G159" i="34" s="1"/>
  <c r="G247" i="34" a="1"/>
  <c r="G247" i="34" s="1"/>
  <c r="G253" i="34" a="1"/>
  <c r="G253" i="34" s="1"/>
  <c r="G305" i="34" a="1"/>
  <c r="G305" i="34" s="1"/>
  <c r="G400" i="34" a="1"/>
  <c r="G400" i="34" s="1"/>
  <c r="G553" i="34" a="1"/>
  <c r="G553" i="34" s="1"/>
  <c r="G602" i="34" a="1"/>
  <c r="G602" i="34" s="1"/>
  <c r="K602" i="34"/>
  <c r="G433" i="34" a="1"/>
  <c r="G433" i="34" s="1"/>
  <c r="G463" i="34" a="1"/>
  <c r="G463" i="34" s="1"/>
  <c r="G561" i="34" a="1"/>
  <c r="G561" i="34" s="1"/>
  <c r="G584" i="34" a="1"/>
  <c r="G584" i="34" s="1"/>
  <c r="G616" i="34" a="1"/>
  <c r="G616" i="34" s="1"/>
  <c r="G476" i="34" a="1"/>
  <c r="G476" i="34" s="1"/>
  <c r="G327" i="34" a="1"/>
  <c r="G327" i="34" s="1"/>
  <c r="G402" i="34" a="1"/>
  <c r="G402" i="34" s="1"/>
  <c r="G578" i="34" a="1"/>
  <c r="G578" i="34" s="1"/>
  <c r="G386" i="34" a="1"/>
  <c r="G386" i="34" s="1"/>
  <c r="G475" i="34" a="1"/>
  <c r="G475" i="34" s="1"/>
  <c r="G519" i="34" a="1"/>
  <c r="G519" i="34" s="1"/>
  <c r="G545" i="34" a="1"/>
  <c r="G545" i="34" s="1"/>
  <c r="K679" i="34"/>
  <c r="G714" i="34" a="1"/>
  <c r="G714" i="34" s="1"/>
  <c r="G685" i="34" a="1"/>
  <c r="G685" i="34" s="1"/>
  <c r="G695" i="34" a="1"/>
  <c r="G695" i="34" s="1"/>
  <c r="G783" i="34" a="1"/>
  <c r="G783" i="34" s="1"/>
  <c r="G713" i="34" a="1"/>
  <c r="G713" i="34" s="1"/>
  <c r="G844" i="34" a="1"/>
  <c r="G844" i="34" s="1"/>
  <c r="G849" i="34" a="1"/>
  <c r="G849" i="34" s="1"/>
  <c r="G580" i="34" a="1"/>
  <c r="G580" i="34" s="1"/>
  <c r="G687" i="34" a="1"/>
  <c r="G687" i="34" s="1"/>
  <c r="G69" i="34" a="1"/>
  <c r="G69" i="34" s="1"/>
  <c r="G145" i="34" a="1"/>
  <c r="G145" i="34" s="1"/>
  <c r="G201" i="34" a="1"/>
  <c r="G201" i="34" s="1"/>
  <c r="G55" i="34" a="1"/>
  <c r="G55" i="34" s="1"/>
  <c r="G71" i="34" a="1"/>
  <c r="G71" i="34" s="1"/>
  <c r="G149" i="34" a="1"/>
  <c r="G149" i="34" s="1"/>
  <c r="G175" i="34" a="1"/>
  <c r="G175" i="34" s="1"/>
  <c r="G9" i="34" a="1"/>
  <c r="G9" i="34" s="1"/>
  <c r="G25" i="34" a="1"/>
  <c r="G25" i="34" s="1"/>
  <c r="G41" i="34" a="1"/>
  <c r="G41" i="34" s="1"/>
  <c r="G73" i="34" a="1"/>
  <c r="G73" i="34" s="1"/>
  <c r="G89" i="34" a="1"/>
  <c r="G89" i="34" s="1"/>
  <c r="G105" i="34" a="1"/>
  <c r="G105" i="34" s="1"/>
  <c r="G137" i="34" a="1"/>
  <c r="G137" i="34" s="1"/>
  <c r="G168" i="34" a="1"/>
  <c r="G168" i="34" s="1"/>
  <c r="G193" i="34" a="1"/>
  <c r="G193" i="34" s="1"/>
  <c r="G27" i="34" a="1"/>
  <c r="G27" i="34" s="1"/>
  <c r="G87" i="34" a="1"/>
  <c r="G87" i="34" s="1"/>
  <c r="G103" i="34" a="1"/>
  <c r="G103" i="34" s="1"/>
  <c r="G119" i="34" a="1"/>
  <c r="G119" i="34" s="1"/>
  <c r="G135" i="34" a="1"/>
  <c r="G135" i="34" s="1"/>
  <c r="G185" i="34" a="1"/>
  <c r="G185" i="34" s="1"/>
  <c r="G21" i="34" a="1"/>
  <c r="G21" i="34" s="1"/>
  <c r="G133" i="34" a="1"/>
  <c r="G133" i="34" s="1"/>
  <c r="G23" i="34" a="1"/>
  <c r="G23" i="34" s="1"/>
  <c r="G31" i="34" a="1"/>
  <c r="G31" i="34" s="1"/>
  <c r="G47" i="34" a="1"/>
  <c r="G47" i="34" s="1"/>
  <c r="G63" i="34" a="1"/>
  <c r="G63" i="34" s="1"/>
  <c r="G197" i="34" a="1"/>
  <c r="G197" i="34" s="1"/>
  <c r="G39" i="34" a="1"/>
  <c r="G39" i="34" s="1"/>
  <c r="G17" i="34" a="1"/>
  <c r="G17" i="34" s="1"/>
  <c r="G33" i="34" a="1"/>
  <c r="G33" i="34" s="1"/>
  <c r="G49" i="34" a="1"/>
  <c r="G49" i="34" s="1"/>
  <c r="G65" i="34" a="1"/>
  <c r="G65" i="34" s="1"/>
  <c r="G81" i="34" a="1"/>
  <c r="G81" i="34" s="1"/>
  <c r="G97" i="34" a="1"/>
  <c r="G97" i="34" s="1"/>
  <c r="G113" i="34" a="1"/>
  <c r="G113" i="34" s="1"/>
  <c r="G129" i="34" a="1"/>
  <c r="G129" i="34" s="1"/>
  <c r="G160" i="34" a="1"/>
  <c r="G160" i="34" s="1"/>
  <c r="G144" i="34" a="1"/>
  <c r="G144" i="34" s="1"/>
  <c r="G15" i="34" a="1"/>
  <c r="G15" i="34" s="1"/>
  <c r="G79" i="34" a="1"/>
  <c r="G79" i="34" s="1"/>
  <c r="G95" i="34" a="1"/>
  <c r="G95" i="34" s="1"/>
  <c r="G111" i="34" a="1"/>
  <c r="G111" i="34" s="1"/>
  <c r="G127" i="34" a="1"/>
  <c r="G127" i="34" s="1"/>
  <c r="G157" i="34" a="1"/>
  <c r="G157" i="34" s="1"/>
  <c r="G297" i="34" a="1"/>
  <c r="G297" i="34" s="1"/>
  <c r="G275" i="34" a="1"/>
  <c r="G275" i="34" s="1"/>
  <c r="G255" i="34" a="1"/>
  <c r="G255" i="34" s="1"/>
  <c r="G271" i="34" a="1"/>
  <c r="G271" i="34" s="1"/>
  <c r="G218" i="34" a="1"/>
  <c r="G218" i="34" s="1"/>
  <c r="G287" i="34" a="1"/>
  <c r="G287" i="34" s="1"/>
  <c r="G364" i="34" a="1"/>
  <c r="G364" i="34" s="1"/>
  <c r="G383" i="34" a="1"/>
  <c r="G383" i="34" s="1"/>
  <c r="G380" i="34" a="1"/>
  <c r="G380" i="34" s="1"/>
  <c r="G415" i="34" a="1"/>
  <c r="G415" i="34" s="1"/>
  <c r="G450" i="34" a="1"/>
  <c r="G450" i="34" s="1"/>
  <c r="G464" i="34" a="1"/>
  <c r="G464" i="34" s="1"/>
  <c r="G424" i="34" a="1"/>
  <c r="G424" i="34" s="1"/>
  <c r="G367" i="34" a="1"/>
  <c r="G367" i="34" s="1"/>
  <c r="G384" i="34" a="1"/>
  <c r="G384" i="34" s="1"/>
  <c r="G444" i="34" a="1"/>
  <c r="G444" i="34" s="1"/>
  <c r="G408" i="34" a="1"/>
  <c r="G408" i="34" s="1"/>
  <c r="G339" i="34" a="1"/>
  <c r="G339" i="34" s="1"/>
  <c r="G465" i="34" a="1"/>
  <c r="G465" i="34" s="1"/>
  <c r="G436" i="34" a="1"/>
  <c r="G436" i="34" s="1"/>
  <c r="G460" i="34" a="1"/>
  <c r="G460" i="34" s="1"/>
  <c r="G396" i="34" a="1"/>
  <c r="G396" i="34" s="1"/>
  <c r="G440" i="34" a="1"/>
  <c r="G440" i="34" s="1"/>
  <c r="G503" i="34" a="1"/>
  <c r="G503" i="34" s="1"/>
  <c r="G497" i="34" a="1"/>
  <c r="G497" i="34" s="1"/>
  <c r="G481" i="34" a="1"/>
  <c r="G481" i="34" s="1"/>
  <c r="G480" i="34" a="1"/>
  <c r="G480" i="34" s="1"/>
  <c r="G508" i="34" a="1"/>
  <c r="G508" i="34" s="1"/>
  <c r="G554" i="34" a="1"/>
  <c r="G554" i="34" s="1"/>
  <c r="G538" i="34" a="1"/>
  <c r="G538" i="34" s="1"/>
  <c r="K564" i="34"/>
  <c r="G562" i="34" a="1"/>
  <c r="G562" i="34" s="1"/>
  <c r="G620" i="34" a="1"/>
  <c r="G620" i="34" s="1"/>
  <c r="G537" i="34" a="1"/>
  <c r="G537" i="34" s="1"/>
  <c r="G570" i="34" a="1"/>
  <c r="G570" i="34" s="1"/>
  <c r="G540" i="34" a="1"/>
  <c r="G540" i="34" s="1"/>
  <c r="G572" i="34" a="1"/>
  <c r="G572" i="34" s="1"/>
  <c r="G571" i="34" a="1"/>
  <c r="G571" i="34" s="1"/>
  <c r="G610" i="34" a="1"/>
  <c r="G610" i="34" s="1"/>
  <c r="G588" i="34" a="1"/>
  <c r="G588" i="34" s="1"/>
  <c r="G604" i="34" a="1"/>
  <c r="G604" i="34" s="1"/>
  <c r="K747" i="34"/>
  <c r="K743" i="34"/>
  <c r="G785" i="34" a="1"/>
  <c r="G785" i="34" s="1"/>
  <c r="K786" i="34"/>
  <c r="G817" i="34" a="1"/>
  <c r="G817" i="34" s="1"/>
  <c r="G863" i="34" a="1"/>
  <c r="G863" i="34" s="1"/>
  <c r="G498" i="34" l="1" a="1"/>
  <c r="G498" i="34" s="1"/>
  <c r="G775" i="34" a="1"/>
  <c r="G775" i="34" s="1"/>
  <c r="H775" i="34" s="1"/>
  <c r="J775" i="34" s="1"/>
  <c r="F344" i="34" a="1"/>
  <c r="F344" i="34" s="1"/>
  <c r="K344" i="34" s="1"/>
  <c r="F516" i="34" a="1"/>
  <c r="F516" i="34" s="1"/>
  <c r="I516" i="34" s="1"/>
  <c r="F75" i="34" a="1"/>
  <c r="F75" i="34" s="1"/>
  <c r="G548" i="34" a="1"/>
  <c r="G548" i="34" s="1"/>
  <c r="G599" i="34" a="1"/>
  <c r="G599" i="34" s="1"/>
  <c r="N599" i="34" s="1"/>
  <c r="F356" i="34" a="1"/>
  <c r="F356" i="34" s="1"/>
  <c r="F471" i="34" a="1"/>
  <c r="F471" i="34" s="1"/>
  <c r="F474" i="34" a="1"/>
  <c r="F474" i="34" s="1"/>
  <c r="K474" i="34" s="1"/>
  <c r="F64" i="34" a="1"/>
  <c r="F64" i="34" s="1"/>
  <c r="K64" i="34" s="1"/>
  <c r="F489" i="34" a="1"/>
  <c r="F489" i="34" s="1"/>
  <c r="I489" i="34" s="1"/>
  <c r="G747" i="34" a="1"/>
  <c r="G747" i="34" s="1"/>
  <c r="H747" i="34" s="1"/>
  <c r="J747" i="34" s="1"/>
  <c r="I370" i="34"/>
  <c r="M370" i="34"/>
  <c r="K370" i="34"/>
  <c r="M426" i="34"/>
  <c r="F423" i="34" a="1"/>
  <c r="F423" i="34" s="1"/>
  <c r="H423" i="34" s="1"/>
  <c r="J423" i="34" s="1"/>
  <c r="M618" i="34"/>
  <c r="F448" i="34" a="1"/>
  <c r="F448" i="34" s="1"/>
  <c r="K448" i="34" s="1"/>
  <c r="K541" i="34"/>
  <c r="F7" i="34" a="1"/>
  <c r="F7" i="34" s="1"/>
  <c r="G336" i="34" a="1"/>
  <c r="G336" i="34" s="1"/>
  <c r="G311" i="34" a="1"/>
  <c r="G311" i="34" s="1"/>
  <c r="G668" i="34" a="1"/>
  <c r="G668" i="34" s="1"/>
  <c r="H668" i="34" s="1"/>
  <c r="J668" i="34" s="1"/>
  <c r="G625" i="34" a="1"/>
  <c r="G625" i="34" s="1"/>
  <c r="N625" i="34" s="1"/>
  <c r="G170" i="34" a="1"/>
  <c r="G170" i="34" s="1"/>
  <c r="G441" i="34" a="1"/>
  <c r="G441" i="34" s="1"/>
  <c r="N441" i="34" s="1"/>
  <c r="G90" i="34" a="1"/>
  <c r="G90" i="34" s="1"/>
  <c r="G815" i="34" a="1"/>
  <c r="G815" i="34" s="1"/>
  <c r="H815" i="34" s="1"/>
  <c r="J815" i="34" s="1"/>
  <c r="F181" i="34" a="1"/>
  <c r="F181" i="34" s="1"/>
  <c r="F492" i="34" a="1"/>
  <c r="F492" i="34" s="1"/>
  <c r="K492" i="34" s="1"/>
  <c r="F712" i="34" a="1"/>
  <c r="F712" i="34" s="1"/>
  <c r="I712" i="34" s="1"/>
  <c r="G276" i="34" a="1"/>
  <c r="G276" i="34" s="1"/>
  <c r="H276" i="34" s="1"/>
  <c r="J276" i="34" s="1"/>
  <c r="K544" i="34"/>
  <c r="G117" i="34" a="1"/>
  <c r="G117" i="34" s="1"/>
  <c r="H117" i="34" s="1"/>
  <c r="J117" i="34" s="1"/>
  <c r="I828" i="34"/>
  <c r="H545" i="34"/>
  <c r="J545" i="34" s="1"/>
  <c r="K489" i="34"/>
  <c r="G146" i="34" a="1"/>
  <c r="G146" i="34" s="1"/>
  <c r="K232" i="34"/>
  <c r="G732" i="34" a="1"/>
  <c r="G732" i="34" s="1"/>
  <c r="N732" i="34" s="1"/>
  <c r="F665" i="34" a="1"/>
  <c r="F665" i="34" s="1"/>
  <c r="K665" i="34" s="1"/>
  <c r="H577" i="34"/>
  <c r="J577" i="34" s="1"/>
  <c r="F628" i="34" a="1"/>
  <c r="F628" i="34" s="1"/>
  <c r="K628" i="34" s="1"/>
  <c r="H666" i="34"/>
  <c r="J666" i="34" s="1"/>
  <c r="G314" i="34" a="1"/>
  <c r="G314" i="34" s="1"/>
  <c r="N314" i="34" s="1"/>
  <c r="F151" i="34" a="1"/>
  <c r="F151" i="34" s="1"/>
  <c r="K151" i="34" s="1"/>
  <c r="G692" i="34" a="1"/>
  <c r="G692" i="34" s="1"/>
  <c r="N692" i="34" s="1"/>
  <c r="F511" i="34" a="1"/>
  <c r="F511" i="34" s="1"/>
  <c r="H511" i="34" s="1"/>
  <c r="J511" i="34" s="1"/>
  <c r="M541" i="34"/>
  <c r="G833" i="34" a="1"/>
  <c r="G833" i="34" s="1"/>
  <c r="N833" i="34" s="1"/>
  <c r="G836" i="34" a="1"/>
  <c r="G836" i="34" s="1"/>
  <c r="H836" i="34" s="1"/>
  <c r="J836" i="34" s="1"/>
  <c r="K659" i="34"/>
  <c r="G357" i="34" a="1"/>
  <c r="G357" i="34" s="1"/>
  <c r="H357" i="34" s="1"/>
  <c r="J357" i="34" s="1"/>
  <c r="G101" i="34" a="1"/>
  <c r="G101" i="34" s="1"/>
  <c r="I394" i="34"/>
  <c r="M466" i="34"/>
  <c r="H466" i="34"/>
  <c r="J466" i="34" s="1"/>
  <c r="K466" i="34"/>
  <c r="K394" i="34"/>
  <c r="F631" i="34" a="1"/>
  <c r="F631" i="34" s="1"/>
  <c r="I631" i="34" s="1"/>
  <c r="K303" i="34"/>
  <c r="M303" i="34"/>
  <c r="I303" i="34"/>
  <c r="K775" i="34"/>
  <c r="G258" i="34" a="1"/>
  <c r="G258" i="34" s="1"/>
  <c r="N258" i="34" s="1"/>
  <c r="G83" i="34" a="1"/>
  <c r="G83" i="34" s="1"/>
  <c r="N83" i="34" s="1"/>
  <c r="G563" i="34" a="1"/>
  <c r="G563" i="34" s="1"/>
  <c r="H563" i="34" s="1"/>
  <c r="J563" i="34" s="1"/>
  <c r="K384" i="34"/>
  <c r="K36" i="34"/>
  <c r="G661" i="34" a="1"/>
  <c r="G661" i="34" s="1"/>
  <c r="N661" i="34" s="1"/>
  <c r="I775" i="34"/>
  <c r="F766" i="34" a="1"/>
  <c r="F766" i="34" s="1"/>
  <c r="K766" i="34" s="1"/>
  <c r="I48" i="34"/>
  <c r="F512" i="34" a="1"/>
  <c r="F512" i="34" s="1"/>
  <c r="M512" i="34" s="1"/>
  <c r="F543" i="34" a="1"/>
  <c r="F543" i="34" s="1"/>
  <c r="K543" i="34" s="1"/>
  <c r="G452" i="34" a="1"/>
  <c r="G452" i="34" s="1"/>
  <c r="H452" i="34" s="1"/>
  <c r="J452" i="34" s="1"/>
  <c r="I40" i="34"/>
  <c r="H426" i="34"/>
  <c r="J426" i="34" s="1"/>
  <c r="F556" i="34" a="1"/>
  <c r="F556" i="34" s="1"/>
  <c r="H556" i="34" s="1"/>
  <c r="J556" i="34" s="1"/>
  <c r="F455" i="34" a="1"/>
  <c r="F455" i="34" s="1"/>
  <c r="I455" i="34" s="1"/>
  <c r="G705" i="34" a="1"/>
  <c r="G705" i="34" s="1"/>
  <c r="N705" i="34" s="1"/>
  <c r="F812" i="34" a="1"/>
  <c r="F812" i="34" s="1"/>
  <c r="I812" i="34" s="1"/>
  <c r="F16" i="34" a="1"/>
  <c r="F16" i="34" s="1"/>
  <c r="H16" i="34" s="1"/>
  <c r="J16" i="34" s="1"/>
  <c r="F216" i="34" a="1"/>
  <c r="F216" i="34" s="1"/>
  <c r="I216" i="34" s="1"/>
  <c r="F42" i="34" a="1"/>
  <c r="F42" i="34" s="1"/>
  <c r="G369" i="34" a="1"/>
  <c r="G369" i="34" s="1"/>
  <c r="G603" i="34" a="1"/>
  <c r="G603" i="34" s="1"/>
  <c r="N603" i="34" s="1"/>
  <c r="G303" i="34" a="1"/>
  <c r="G303" i="34" s="1"/>
  <c r="N303" i="34" s="1"/>
  <c r="M384" i="34"/>
  <c r="F372" i="34" a="1"/>
  <c r="F372" i="34" s="1"/>
  <c r="K372" i="34" s="1"/>
  <c r="G699" i="34" a="1"/>
  <c r="G699" i="34" s="1"/>
  <c r="N699" i="34" s="1"/>
  <c r="G660" i="34" a="1"/>
  <c r="G660" i="34" s="1"/>
  <c r="N660" i="34" s="1"/>
  <c r="G19" i="34" a="1"/>
  <c r="G19" i="34" s="1"/>
  <c r="M244" i="34"/>
  <c r="K40" i="34"/>
  <c r="K619" i="34"/>
  <c r="H40" i="34"/>
  <c r="J40" i="34" s="1"/>
  <c r="G619" i="34" a="1"/>
  <c r="G619" i="34" s="1"/>
  <c r="N619" i="34" s="1"/>
  <c r="H143" i="34"/>
  <c r="J143" i="34" s="1"/>
  <c r="G839" i="34" a="1"/>
  <c r="G839" i="34" s="1"/>
  <c r="H839" i="34" s="1"/>
  <c r="J839" i="34" s="1"/>
  <c r="F56" i="34" a="1"/>
  <c r="F56" i="34" s="1"/>
  <c r="M56" i="34" s="1"/>
  <c r="G164" i="34" a="1"/>
  <c r="G164" i="34" s="1"/>
  <c r="N164" i="34" s="1"/>
  <c r="I198" i="34"/>
  <c r="G198" i="34" a="1"/>
  <c r="G198" i="34" s="1"/>
  <c r="N198" i="34" s="1"/>
  <c r="F412" i="34" a="1"/>
  <c r="F412" i="34" s="1"/>
  <c r="H412" i="34" s="1"/>
  <c r="J412" i="34" s="1"/>
  <c r="G719" i="34" a="1"/>
  <c r="G719" i="34" s="1"/>
  <c r="H719" i="34" s="1"/>
  <c r="J719" i="34" s="1"/>
  <c r="G701" i="34" a="1"/>
  <c r="G701" i="34" s="1"/>
  <c r="G675" i="34" a="1"/>
  <c r="G675" i="34" s="1"/>
  <c r="H675" i="34" s="1"/>
  <c r="J675" i="34" s="1"/>
  <c r="G544" i="34" a="1"/>
  <c r="G544" i="34" s="1"/>
  <c r="N544" i="34" s="1"/>
  <c r="I719" i="34"/>
  <c r="K719" i="34"/>
  <c r="M719" i="34"/>
  <c r="G633" i="34" a="1"/>
  <c r="G633" i="34" s="1"/>
  <c r="H633" i="34" s="1"/>
  <c r="J633" i="34" s="1"/>
  <c r="F796" i="34" a="1"/>
  <c r="F796" i="34" s="1"/>
  <c r="H796" i="34" s="1"/>
  <c r="J796" i="34" s="1"/>
  <c r="F723" i="34" a="1"/>
  <c r="F723" i="34" s="1"/>
  <c r="I723" i="34" s="1"/>
  <c r="G868" i="34" a="1"/>
  <c r="G868" i="34" s="1"/>
  <c r="N868" i="34" s="1"/>
  <c r="M224" i="34"/>
  <c r="F391" i="34" a="1"/>
  <c r="F391" i="34" s="1"/>
  <c r="I391" i="34" s="1"/>
  <c r="G227" i="34" a="1"/>
  <c r="G227" i="34" s="1"/>
  <c r="N227" i="34" s="1"/>
  <c r="G268" i="34" a="1"/>
  <c r="G268" i="34" s="1"/>
  <c r="N268" i="34" s="1"/>
  <c r="H351" i="34"/>
  <c r="J351" i="34" s="1"/>
  <c r="F353" i="34" a="1"/>
  <c r="F353" i="34" s="1"/>
  <c r="K353" i="34" s="1"/>
  <c r="G558" i="34" a="1"/>
  <c r="G558" i="34" s="1"/>
  <c r="F700" i="34" a="1"/>
  <c r="F700" i="34" s="1"/>
  <c r="I700" i="34" s="1"/>
  <c r="G180" i="34" a="1"/>
  <c r="G180" i="34" s="1"/>
  <c r="H180" i="34" s="1"/>
  <c r="J180" i="34" s="1"/>
  <c r="G506" i="34" a="1"/>
  <c r="G506" i="34" s="1"/>
  <c r="N506" i="34" s="1"/>
  <c r="F673" i="34" a="1"/>
  <c r="F673" i="34" s="1"/>
  <c r="K673" i="34" s="1"/>
  <c r="G374" i="34" a="1"/>
  <c r="G374" i="34" s="1"/>
  <c r="H374" i="34" s="1"/>
  <c r="J374" i="34" s="1"/>
  <c r="K754" i="34"/>
  <c r="H327" i="34"/>
  <c r="J327" i="34" s="1"/>
  <c r="G779" i="34" a="1"/>
  <c r="G779" i="34" s="1"/>
  <c r="K275" i="34"/>
  <c r="G552" i="34" a="1"/>
  <c r="G552" i="34" s="1"/>
  <c r="N552" i="34" s="1"/>
  <c r="G405" i="34" a="1"/>
  <c r="G405" i="34" s="1"/>
  <c r="F405" i="34" a="1"/>
  <c r="F405" i="34" s="1"/>
  <c r="K405" i="34" s="1"/>
  <c r="K442" i="34"/>
  <c r="I442" i="34"/>
  <c r="M442" i="34"/>
  <c r="G337" i="34" a="1"/>
  <c r="G337" i="34" s="1"/>
  <c r="F337" i="34" a="1"/>
  <c r="F337" i="34" s="1"/>
  <c r="G431" i="34" a="1"/>
  <c r="G431" i="34" s="1"/>
  <c r="N431" i="34" s="1"/>
  <c r="F431" i="34" a="1"/>
  <c r="F431" i="34" s="1"/>
  <c r="M431" i="34" s="1"/>
  <c r="G605" i="34" a="1"/>
  <c r="G605" i="34" s="1"/>
  <c r="N605" i="34" s="1"/>
  <c r="G771" i="34" a="1"/>
  <c r="G771" i="34" s="1"/>
  <c r="N771" i="34" s="1"/>
  <c r="G186" i="34" a="1"/>
  <c r="G186" i="34" s="1"/>
  <c r="H186" i="34" s="1"/>
  <c r="J186" i="34" s="1"/>
  <c r="K88" i="34"/>
  <c r="G442" i="34" a="1"/>
  <c r="G442" i="34" s="1"/>
  <c r="N442" i="34" s="1"/>
  <c r="M88" i="34"/>
  <c r="A910" i="34"/>
  <c r="F910" i="34" s="1" a="1"/>
  <c r="F910" i="34" s="1"/>
  <c r="A342" i="34"/>
  <c r="G342" i="34" s="1" a="1"/>
  <c r="G342" i="34" s="1"/>
  <c r="N342" i="34" s="1"/>
  <c r="A814" i="34"/>
  <c r="F814" i="34" s="1" a="1"/>
  <c r="F814" i="34" s="1"/>
  <c r="M814" i="34" s="1"/>
  <c r="A454" i="34"/>
  <c r="F454" i="34" s="1" a="1"/>
  <c r="F454" i="34" s="1"/>
  <c r="M454" i="34" s="1"/>
  <c r="A782" i="34"/>
  <c r="G782" i="34" s="1" a="1"/>
  <c r="G782" i="34" s="1"/>
  <c r="N782" i="34" s="1"/>
  <c r="A710" i="34"/>
  <c r="G710" i="34" s="1" a="1"/>
  <c r="G710" i="34" s="1"/>
  <c r="N710" i="34" s="1"/>
  <c r="F697" i="34" a="1"/>
  <c r="F697" i="34" s="1"/>
  <c r="I697" i="34" s="1"/>
  <c r="F740" i="34" a="1"/>
  <c r="F740" i="34" s="1"/>
  <c r="K740" i="34" s="1"/>
  <c r="F751" i="34" a="1"/>
  <c r="F751" i="34" s="1"/>
  <c r="K751" i="34" s="1"/>
  <c r="E431" i="34"/>
  <c r="A266" i="34"/>
  <c r="A274" i="34"/>
  <c r="A34" i="34"/>
  <c r="A122" i="34"/>
  <c r="A721" i="34"/>
  <c r="A865" i="34"/>
  <c r="K56" i="34"/>
  <c r="F596" i="34" a="1"/>
  <c r="F596" i="34" s="1"/>
  <c r="M596" i="34" s="1"/>
  <c r="A727" i="34"/>
  <c r="G727" i="34" s="1" a="1"/>
  <c r="G727" i="34" s="1"/>
  <c r="N727" i="34" s="1"/>
  <c r="A298" i="34"/>
  <c r="G298" i="34" s="1" a="1"/>
  <c r="G298" i="34" s="1"/>
  <c r="N298" i="34" s="1"/>
  <c r="K691" i="34"/>
  <c r="G679" i="34" a="1"/>
  <c r="G679" i="34" s="1"/>
  <c r="H679" i="34" s="1"/>
  <c r="J679" i="34" s="1"/>
  <c r="I56" i="34"/>
  <c r="A878" i="34"/>
  <c r="F878" i="34" s="1" a="1"/>
  <c r="F878" i="34" s="1"/>
  <c r="I878" i="34" s="1"/>
  <c r="F650" i="34" a="1"/>
  <c r="F650" i="34" s="1"/>
  <c r="H650" i="34" s="1"/>
  <c r="J650" i="34" s="1"/>
  <c r="F532" i="34" a="1"/>
  <c r="F532" i="34" s="1"/>
  <c r="K532" i="34" s="1"/>
  <c r="F290" i="34" a="1"/>
  <c r="F290" i="34" s="1"/>
  <c r="I290" i="34" s="1"/>
  <c r="A154" i="34"/>
  <c r="A50" i="34"/>
  <c r="G50" i="34" s="1" a="1"/>
  <c r="G50" i="34" s="1"/>
  <c r="N50" i="34" s="1"/>
  <c r="A306" i="34"/>
  <c r="H56" i="34"/>
  <c r="J56" i="34" s="1"/>
  <c r="K215" i="34"/>
  <c r="M868" i="34"/>
  <c r="A678" i="34"/>
  <c r="G678" i="34" s="1" a="1"/>
  <c r="G678" i="34" s="1"/>
  <c r="N678" i="34" s="1"/>
  <c r="A414" i="34"/>
  <c r="F414" i="34" s="1" a="1"/>
  <c r="F414" i="34" s="1"/>
  <c r="K414" i="34" s="1"/>
  <c r="F13" i="34" a="1"/>
  <c r="F13" i="34" s="1"/>
  <c r="H13" i="34" s="1"/>
  <c r="J13" i="34" s="1"/>
  <c r="F420" i="34" a="1"/>
  <c r="F420" i="34" s="1"/>
  <c r="I420" i="34" s="1"/>
  <c r="A226" i="34"/>
  <c r="A26" i="34"/>
  <c r="E337" i="34"/>
  <c r="A373" i="34"/>
  <c r="F373" i="34" s="1" a="1"/>
  <c r="F373" i="34" s="1"/>
  <c r="M373" i="34" s="1"/>
  <c r="G267" i="34" a="1"/>
  <c r="G267" i="34" s="1"/>
  <c r="H267" i="34" s="1"/>
  <c r="J267" i="34" s="1"/>
  <c r="G533" i="34" a="1"/>
  <c r="G533" i="34" s="1"/>
  <c r="H533" i="34" s="1"/>
  <c r="J533" i="34" s="1"/>
  <c r="M687" i="34"/>
  <c r="A846" i="34"/>
  <c r="F846" i="34" s="1" a="1"/>
  <c r="F846" i="34" s="1"/>
  <c r="K846" i="34" s="1"/>
  <c r="A162" i="34"/>
  <c r="A130" i="34"/>
  <c r="G867" i="34" a="1"/>
  <c r="G867" i="34" s="1"/>
  <c r="N867" i="34" s="1"/>
  <c r="G615" i="34" a="1"/>
  <c r="G615" i="34" s="1"/>
  <c r="H615" i="34" s="1"/>
  <c r="J615" i="34" s="1"/>
  <c r="G955" i="34" a="1"/>
  <c r="G955" i="34" s="1"/>
  <c r="N955" i="34" s="1"/>
  <c r="K687" i="34"/>
  <c r="G647" i="34" a="1"/>
  <c r="G647" i="34" s="1"/>
  <c r="N647" i="34" s="1"/>
  <c r="M679" i="34"/>
  <c r="A501" i="34"/>
  <c r="H498" i="34"/>
  <c r="J498" i="34" s="1"/>
  <c r="G82" i="34" a="1"/>
  <c r="G82" i="34" s="1"/>
  <c r="N82" i="34" s="1"/>
  <c r="E405" i="34"/>
  <c r="E57" i="34"/>
  <c r="E234" i="34"/>
  <c r="A74" i="34"/>
  <c r="A192" i="34"/>
  <c r="E27" i="34"/>
  <c r="K868" i="34"/>
  <c r="I215" i="34"/>
  <c r="M281" i="34"/>
  <c r="A942" i="34"/>
  <c r="F942" i="34" s="1" a="1"/>
  <c r="F942" i="34" s="1"/>
  <c r="I942" i="34" s="1"/>
  <c r="A330" i="34"/>
  <c r="A461" i="34"/>
  <c r="I681" i="34"/>
  <c r="M681" i="34"/>
  <c r="K681" i="34"/>
  <c r="G595" i="34" a="1"/>
  <c r="G595" i="34" s="1"/>
  <c r="N595" i="34" s="1"/>
  <c r="F595" i="34" a="1"/>
  <c r="F595" i="34" s="1"/>
  <c r="K595" i="34" s="1"/>
  <c r="F591" i="34" a="1"/>
  <c r="F591" i="34" s="1"/>
  <c r="I591" i="34" s="1"/>
  <c r="G591" i="34" a="1"/>
  <c r="G591" i="34" s="1"/>
  <c r="N591" i="34" s="1"/>
  <c r="G795" i="34" a="1"/>
  <c r="G795" i="34" s="1"/>
  <c r="F795" i="34" a="1"/>
  <c r="F795" i="34" s="1"/>
  <c r="K795" i="34" s="1"/>
  <c r="G575" i="34" a="1"/>
  <c r="G575" i="34" s="1"/>
  <c r="F575" i="34" a="1"/>
  <c r="F575" i="34" s="1"/>
  <c r="M575" i="34" s="1"/>
  <c r="F819" i="34" a="1"/>
  <c r="F819" i="34" s="1"/>
  <c r="K819" i="34" s="1"/>
  <c r="G819" i="34" a="1"/>
  <c r="G819" i="34" s="1"/>
  <c r="N819" i="34" s="1"/>
  <c r="I319" i="34"/>
  <c r="K319" i="34"/>
  <c r="M319" i="34"/>
  <c r="F823" i="34" a="1"/>
  <c r="F823" i="34" s="1"/>
  <c r="K823" i="34" s="1"/>
  <c r="G823" i="34" a="1"/>
  <c r="G823" i="34" s="1"/>
  <c r="F649" i="34" a="1"/>
  <c r="F649" i="34" s="1"/>
  <c r="I649" i="34" s="1"/>
  <c r="G649" i="34" a="1"/>
  <c r="G649" i="34" s="1"/>
  <c r="N649" i="34" s="1"/>
  <c r="G739" i="34" a="1"/>
  <c r="G739" i="34" s="1"/>
  <c r="N739" i="34" s="1"/>
  <c r="F739" i="34" a="1"/>
  <c r="F739" i="34" s="1"/>
  <c r="I739" i="34" s="1"/>
  <c r="N372" i="34"/>
  <c r="G57" i="34" a="1"/>
  <c r="G57" i="34" s="1"/>
  <c r="N57" i="34" s="1"/>
  <c r="F57" i="34" a="1"/>
  <c r="F57" i="34" s="1"/>
  <c r="F467" i="34" a="1"/>
  <c r="F467" i="34" s="1"/>
  <c r="K467" i="34" s="1"/>
  <c r="G467" i="34" a="1"/>
  <c r="G467" i="34" s="1"/>
  <c r="N467" i="34" s="1"/>
  <c r="F360" i="34" a="1"/>
  <c r="F360" i="34" s="1"/>
  <c r="I360" i="34" s="1"/>
  <c r="G360" i="34" a="1"/>
  <c r="G360" i="34" s="1"/>
  <c r="N360" i="34" s="1"/>
  <c r="F807" i="34" a="1"/>
  <c r="F807" i="34" s="1"/>
  <c r="I807" i="34" s="1"/>
  <c r="G807" i="34" a="1"/>
  <c r="G807" i="34" s="1"/>
  <c r="N807" i="34" s="1"/>
  <c r="I10" i="34"/>
  <c r="K10" i="34"/>
  <c r="G872" i="34" a="1"/>
  <c r="G872" i="34" s="1"/>
  <c r="N872" i="34" s="1"/>
  <c r="F872" i="34" a="1"/>
  <c r="F872" i="34" s="1"/>
  <c r="K872" i="34" s="1"/>
  <c r="G592" i="34" a="1"/>
  <c r="G592" i="34" s="1"/>
  <c r="N592" i="34" s="1"/>
  <c r="F592" i="34" a="1"/>
  <c r="F592" i="34" s="1"/>
  <c r="K592" i="34" s="1"/>
  <c r="F234" i="34" a="1"/>
  <c r="F234" i="34" s="1"/>
  <c r="I234" i="34" s="1"/>
  <c r="G234" i="34" a="1"/>
  <c r="G234" i="34" s="1"/>
  <c r="G656" i="34" a="1"/>
  <c r="G656" i="34" s="1"/>
  <c r="N656" i="34" s="1"/>
  <c r="F656" i="34" a="1"/>
  <c r="F656" i="34" s="1"/>
  <c r="K669" i="34"/>
  <c r="I669" i="34"/>
  <c r="M669" i="34"/>
  <c r="G427" i="34" a="1"/>
  <c r="G427" i="34" s="1"/>
  <c r="N427" i="34" s="1"/>
  <c r="F427" i="34" a="1"/>
  <c r="F427" i="34" s="1"/>
  <c r="I427" i="34" s="1"/>
  <c r="F720" i="34" a="1"/>
  <c r="F720" i="34" s="1"/>
  <c r="M720" i="34" s="1"/>
  <c r="G720" i="34" a="1"/>
  <c r="G720" i="34" s="1"/>
  <c r="N720" i="34" s="1"/>
  <c r="G587" i="34" a="1"/>
  <c r="G587" i="34" s="1"/>
  <c r="F587" i="34" a="1"/>
  <c r="F587" i="34" s="1"/>
  <c r="K587" i="34" s="1"/>
  <c r="G680" i="34" a="1"/>
  <c r="G680" i="34" s="1"/>
  <c r="F680" i="34" a="1"/>
  <c r="F680" i="34" s="1"/>
  <c r="G753" i="34" a="1"/>
  <c r="G753" i="34" s="1"/>
  <c r="N753" i="34" s="1"/>
  <c r="F753" i="34" a="1"/>
  <c r="F753" i="34" s="1"/>
  <c r="I753" i="34" s="1"/>
  <c r="F763" i="34" a="1"/>
  <c r="F763" i="34" s="1"/>
  <c r="I763" i="34" s="1"/>
  <c r="G763" i="34" a="1"/>
  <c r="G763" i="34" s="1"/>
  <c r="N763" i="34" s="1"/>
  <c r="G535" i="34" a="1"/>
  <c r="G535" i="34" s="1"/>
  <c r="F535" i="34" a="1"/>
  <c r="F535" i="34" s="1"/>
  <c r="M535" i="34" s="1"/>
  <c r="M645" i="34"/>
  <c r="G361" i="34" a="1"/>
  <c r="G361" i="34" s="1"/>
  <c r="N361" i="34" s="1"/>
  <c r="K48" i="34"/>
  <c r="G681" i="34" a="1"/>
  <c r="G681" i="34" s="1"/>
  <c r="H681" i="34" s="1"/>
  <c r="J681" i="34" s="1"/>
  <c r="G319" i="34" a="1"/>
  <c r="G319" i="34" s="1"/>
  <c r="H319" i="34" s="1"/>
  <c r="J319" i="34" s="1"/>
  <c r="H48" i="34"/>
  <c r="J48" i="34" s="1"/>
  <c r="G669" i="34" a="1"/>
  <c r="G669" i="34" s="1"/>
  <c r="N669" i="34" s="1"/>
  <c r="M233" i="34"/>
  <c r="I645" i="34"/>
  <c r="A606" i="34"/>
  <c r="F606" i="34" s="1" a="1"/>
  <c r="F606" i="34" s="1"/>
  <c r="K606" i="34" s="1"/>
  <c r="A870" i="34"/>
  <c r="F870" i="34" s="1" a="1"/>
  <c r="F870" i="34" s="1"/>
  <c r="K870" i="34" s="1"/>
  <c r="H407" i="34"/>
  <c r="J407" i="34" s="1"/>
  <c r="F729" i="34" a="1"/>
  <c r="F729" i="34" s="1"/>
  <c r="K729" i="34" s="1"/>
  <c r="E322" i="34"/>
  <c r="A322" i="34"/>
  <c r="A403" i="34"/>
  <c r="A491" i="34"/>
  <c r="A651" i="34"/>
  <c r="A456" i="34"/>
  <c r="A600" i="34"/>
  <c r="A776" i="34"/>
  <c r="A769" i="34"/>
  <c r="A413" i="34"/>
  <c r="G10" i="34" a="1"/>
  <c r="G10" i="34" s="1"/>
  <c r="H10" i="34" s="1"/>
  <c r="J10" i="34" s="1"/>
  <c r="G652" i="34" a="1"/>
  <c r="G652" i="34" s="1"/>
  <c r="N652" i="34" s="1"/>
  <c r="I233" i="34"/>
  <c r="A581" i="34"/>
  <c r="G581" i="34" s="1" a="1"/>
  <c r="G581" i="34" s="1"/>
  <c r="N581" i="34" s="1"/>
  <c r="A574" i="34"/>
  <c r="F574" i="34" s="1" a="1"/>
  <c r="F574" i="34" s="1"/>
  <c r="E680" i="34"/>
  <c r="F106" i="34" a="1"/>
  <c r="F106" i="34" s="1"/>
  <c r="K106" i="34" s="1"/>
  <c r="H80" i="34"/>
  <c r="J80" i="34" s="1"/>
  <c r="E807" i="34"/>
  <c r="A210" i="34"/>
  <c r="A58" i="34"/>
  <c r="A194" i="34"/>
  <c r="A430" i="34"/>
  <c r="E430" i="34"/>
  <c r="K828" i="34"/>
  <c r="G645" i="34" a="1"/>
  <c r="G645" i="34" s="1"/>
  <c r="H645" i="34" s="1"/>
  <c r="J645" i="34" s="1"/>
  <c r="G447" i="34" a="1"/>
  <c r="G447" i="34" s="1"/>
  <c r="H447" i="34" s="1"/>
  <c r="J447" i="34" s="1"/>
  <c r="N426" i="34"/>
  <c r="A502" i="34"/>
  <c r="F502" i="34" s="1" a="1"/>
  <c r="F502" i="34" s="1"/>
  <c r="K502" i="34" s="1"/>
  <c r="A838" i="34"/>
  <c r="F838" i="34" s="1" a="1"/>
  <c r="F838" i="34" s="1"/>
  <c r="K838" i="34" s="1"/>
  <c r="A806" i="34"/>
  <c r="F806" i="34" s="1" a="1"/>
  <c r="F806" i="34" s="1"/>
  <c r="M806" i="34" s="1"/>
  <c r="A422" i="34"/>
  <c r="F422" i="34" s="1" a="1"/>
  <c r="F422" i="34" s="1"/>
  <c r="K422" i="34" s="1"/>
  <c r="H207" i="34"/>
  <c r="J207" i="34" s="1"/>
  <c r="F624" i="34" a="1"/>
  <c r="F624" i="34" s="1"/>
  <c r="E467" i="34"/>
  <c r="E138" i="34"/>
  <c r="A138" i="34"/>
  <c r="A507" i="34"/>
  <c r="A683" i="34"/>
  <c r="A389" i="34"/>
  <c r="E221" i="34"/>
  <c r="A221" i="34"/>
  <c r="G205" i="34" a="1"/>
  <c r="G205" i="34" s="1"/>
  <c r="K374" i="34"/>
  <c r="A565" i="34"/>
  <c r="G565" i="34" s="1" a="1"/>
  <c r="G565" i="34" s="1"/>
  <c r="N565" i="34" s="1"/>
  <c r="A774" i="34"/>
  <c r="F774" i="34" s="1" a="1"/>
  <c r="F774" i="34" s="1"/>
  <c r="K774" i="34" s="1"/>
  <c r="A390" i="34"/>
  <c r="G390" i="34" s="1" a="1"/>
  <c r="G390" i="34" s="1"/>
  <c r="N390" i="34" s="1"/>
  <c r="E595" i="34"/>
  <c r="E360" i="34"/>
  <c r="E592" i="34"/>
  <c r="A768" i="34"/>
  <c r="F768" i="34" s="1" a="1"/>
  <c r="F768" i="34" s="1"/>
  <c r="K768" i="34" s="1"/>
  <c r="A98" i="34"/>
  <c r="F98" i="34" s="1" a="1"/>
  <c r="F98" i="34" s="1"/>
  <c r="I98" i="34" s="1"/>
  <c r="A249" i="34"/>
  <c r="A202" i="34"/>
  <c r="A504" i="34"/>
  <c r="E504" i="34"/>
  <c r="A366" i="34"/>
  <c r="E366" i="34"/>
  <c r="M374" i="34"/>
  <c r="H233" i="34"/>
  <c r="J233" i="34" s="1"/>
  <c r="A734" i="34"/>
  <c r="F734" i="34" s="1" a="1"/>
  <c r="F734" i="34" s="1"/>
  <c r="I734" i="34" s="1"/>
  <c r="A534" i="34"/>
  <c r="G534" i="34" s="1" a="1"/>
  <c r="G534" i="34" s="1"/>
  <c r="F636" i="34" a="1"/>
  <c r="F636" i="34" s="1"/>
  <c r="K636" i="34" s="1"/>
  <c r="A18" i="34"/>
  <c r="E338" i="34"/>
  <c r="A338" i="34"/>
  <c r="A451" i="34"/>
  <c r="A744" i="34"/>
  <c r="A663" i="34"/>
  <c r="A518" i="34"/>
  <c r="A590" i="34"/>
  <c r="A622" i="34"/>
  <c r="G529" i="34" a="1"/>
  <c r="G529" i="34" s="1"/>
  <c r="H529" i="34" s="1"/>
  <c r="J529" i="34" s="1"/>
  <c r="A670" i="34"/>
  <c r="A462" i="34"/>
  <c r="E856" i="34"/>
  <c r="A934" i="34"/>
  <c r="G934" i="34" s="1" a="1"/>
  <c r="G934" i="34" s="1"/>
  <c r="N934" i="34" s="1"/>
  <c r="A66" i="34"/>
  <c r="G66" i="34" s="1" a="1"/>
  <c r="G66" i="34" s="1"/>
  <c r="N66" i="34" s="1"/>
  <c r="A5" i="34"/>
  <c r="G5" i="34" s="1" a="1"/>
  <c r="G5" i="34" s="1"/>
  <c r="N5" i="34" s="1"/>
  <c r="E313" i="34"/>
  <c r="A114" i="34"/>
  <c r="A242" i="34"/>
  <c r="E520" i="34"/>
  <c r="A520" i="34"/>
  <c r="A437" i="34"/>
  <c r="A421" i="34"/>
  <c r="E421" i="34"/>
  <c r="G121" i="34" a="1"/>
  <c r="G121" i="34" s="1"/>
  <c r="N121" i="34" s="1"/>
  <c r="A702" i="34"/>
  <c r="G702" i="34" s="1" a="1"/>
  <c r="G702" i="34" s="1"/>
  <c r="A902" i="34"/>
  <c r="F902" i="34" s="1" a="1"/>
  <c r="F902" i="34" s="1"/>
  <c r="M902" i="34" s="1"/>
  <c r="A693" i="34"/>
  <c r="G693" i="34" s="1" a="1"/>
  <c r="G693" i="34" s="1"/>
  <c r="E282" i="34"/>
  <c r="A282" i="34"/>
  <c r="A746" i="34"/>
  <c r="A662" i="34"/>
  <c r="A453" i="34"/>
  <c r="K675" i="34"/>
  <c r="H289" i="34"/>
  <c r="J289" i="34" s="1"/>
  <c r="K297" i="34"/>
  <c r="K244" i="34"/>
  <c r="G784" i="34" a="1"/>
  <c r="G784" i="34" s="1"/>
  <c r="H784" i="34" s="1"/>
  <c r="J784" i="34" s="1"/>
  <c r="H657" i="34"/>
  <c r="J657" i="34" s="1"/>
  <c r="M580" i="34"/>
  <c r="H468" i="34"/>
  <c r="J468" i="34" s="1"/>
  <c r="F612" i="34" a="1"/>
  <c r="F612" i="34" s="1"/>
  <c r="K612" i="34" s="1"/>
  <c r="F128" i="34" a="1"/>
  <c r="F128" i="34" s="1"/>
  <c r="K657" i="34"/>
  <c r="K72" i="34"/>
  <c r="M220" i="34"/>
  <c r="M225" i="34"/>
  <c r="I580" i="34"/>
  <c r="I100" i="34"/>
  <c r="M835" i="34"/>
  <c r="F53" i="34" a="1"/>
  <c r="F53" i="34" s="1"/>
  <c r="I53" i="34" s="1"/>
  <c r="K835" i="34"/>
  <c r="G787" i="34" a="1"/>
  <c r="G787" i="34" s="1"/>
  <c r="H787" i="34" s="1"/>
  <c r="J787" i="34" s="1"/>
  <c r="G153" i="34" a="1"/>
  <c r="G153" i="34" s="1"/>
  <c r="H153" i="34" s="1"/>
  <c r="J153" i="34" s="1"/>
  <c r="G731" i="34" a="1"/>
  <c r="G731" i="34" s="1"/>
  <c r="N731" i="34" s="1"/>
  <c r="G530" i="34" a="1"/>
  <c r="G530" i="34" s="1"/>
  <c r="N530" i="34" s="1"/>
  <c r="H72" i="34"/>
  <c r="J72" i="34" s="1"/>
  <c r="M790" i="34"/>
  <c r="I220" i="34"/>
  <c r="I225" i="34"/>
  <c r="F716" i="34" a="1"/>
  <c r="F716" i="34" s="1"/>
  <c r="M716" i="34" s="1"/>
  <c r="F684" i="34" a="1"/>
  <c r="F684" i="34" s="1"/>
  <c r="M684" i="34" s="1"/>
  <c r="F484" i="34" a="1"/>
  <c r="F484" i="34" s="1"/>
  <c r="H484" i="34" s="1"/>
  <c r="J484" i="34" s="1"/>
  <c r="G793" i="34" a="1"/>
  <c r="G793" i="34" s="1"/>
  <c r="N793" i="34" s="1"/>
  <c r="G355" i="34" a="1"/>
  <c r="G355" i="34" s="1"/>
  <c r="H355" i="34" s="1"/>
  <c r="J355" i="34" s="1"/>
  <c r="K327" i="34"/>
  <c r="G85" i="34" a="1"/>
  <c r="G85" i="34" s="1"/>
  <c r="H136" i="34"/>
  <c r="J136" i="34" s="1"/>
  <c r="K100" i="34"/>
  <c r="G835" i="34" a="1"/>
  <c r="G835" i="34" s="1"/>
  <c r="H835" i="34" s="1"/>
  <c r="J835" i="34" s="1"/>
  <c r="G790" i="34" a="1"/>
  <c r="G790" i="34" s="1"/>
  <c r="H790" i="34" s="1"/>
  <c r="J790" i="34" s="1"/>
  <c r="G961" i="34" a="1"/>
  <c r="G961" i="34" s="1"/>
  <c r="H961" i="34" s="1"/>
  <c r="J961" i="34" s="1"/>
  <c r="G857" i="34" a="1"/>
  <c r="G857" i="34" s="1"/>
  <c r="H857" i="34" s="1"/>
  <c r="J857" i="34" s="1"/>
  <c r="I790" i="34"/>
  <c r="G100" i="34" a="1"/>
  <c r="G100" i="34" s="1"/>
  <c r="N100" i="34" s="1"/>
  <c r="M327" i="34"/>
  <c r="G59" i="34" a="1"/>
  <c r="G59" i="34" s="1"/>
  <c r="H59" i="34" s="1"/>
  <c r="J59" i="34" s="1"/>
  <c r="F831" i="34" a="1"/>
  <c r="F831" i="34" s="1"/>
  <c r="I831" i="34" s="1"/>
  <c r="G244" i="34" a="1"/>
  <c r="G244" i="34" s="1"/>
  <c r="N244" i="34" s="1"/>
  <c r="G611" i="34" a="1"/>
  <c r="G611" i="34" s="1"/>
  <c r="N611" i="34" s="1"/>
  <c r="N80" i="34"/>
  <c r="H828" i="34"/>
  <c r="J828" i="34" s="1"/>
  <c r="G428" i="34" a="1"/>
  <c r="G428" i="34" s="1"/>
  <c r="G220" i="34" a="1"/>
  <c r="G220" i="34" s="1"/>
  <c r="G495" i="34" a="1"/>
  <c r="G495" i="34" s="1"/>
  <c r="H495" i="34" s="1"/>
  <c r="J495" i="34" s="1"/>
  <c r="G499" i="34" a="1"/>
  <c r="G499" i="34" s="1"/>
  <c r="H499" i="34" s="1"/>
  <c r="J499" i="34" s="1"/>
  <c r="G768" i="34" a="1"/>
  <c r="G768" i="34" s="1"/>
  <c r="N768" i="34" s="1"/>
  <c r="G725" i="34" a="1"/>
  <c r="G725" i="34" s="1"/>
  <c r="H725" i="34" s="1"/>
  <c r="J725" i="34" s="1"/>
  <c r="G884" i="34" a="1"/>
  <c r="G884" i="34" s="1"/>
  <c r="H884" i="34" s="1"/>
  <c r="J884" i="34" s="1"/>
  <c r="M72" i="34"/>
  <c r="M675" i="34"/>
  <c r="I657" i="34"/>
  <c r="M297" i="34"/>
  <c r="F860" i="34" a="1"/>
  <c r="F860" i="34" s="1"/>
  <c r="H860" i="34" s="1"/>
  <c r="J860" i="34" s="1"/>
  <c r="G262" i="34" a="1"/>
  <c r="G262" i="34" s="1"/>
  <c r="N262" i="34" s="1"/>
  <c r="H580" i="34"/>
  <c r="J580" i="34" s="1"/>
  <c r="G711" i="34" a="1"/>
  <c r="G711" i="34" s="1"/>
  <c r="N711" i="34" s="1"/>
  <c r="G704" i="34" a="1"/>
  <c r="G704" i="34" s="1"/>
  <c r="N704" i="34" s="1"/>
  <c r="K426" i="34"/>
  <c r="K685" i="34"/>
  <c r="I685" i="34"/>
  <c r="K510" i="34"/>
  <c r="K309" i="34"/>
  <c r="M700" i="34"/>
  <c r="K568" i="34"/>
  <c r="M352" i="34"/>
  <c r="M725" i="34"/>
  <c r="H42" i="34"/>
  <c r="J42" i="34" s="1"/>
  <c r="M759" i="34"/>
  <c r="M568" i="34"/>
  <c r="I759" i="34"/>
  <c r="K22" i="34"/>
  <c r="K186" i="34"/>
  <c r="N498" i="34"/>
  <c r="M275" i="34"/>
  <c r="I619" i="34"/>
  <c r="M726" i="34"/>
  <c r="M186" i="34"/>
  <c r="M544" i="34"/>
  <c r="K42" i="34"/>
  <c r="H553" i="34"/>
  <c r="J553" i="34" s="1"/>
  <c r="H161" i="34"/>
  <c r="J161" i="34" s="1"/>
  <c r="H183" i="34"/>
  <c r="J183" i="34" s="1"/>
  <c r="H96" i="34"/>
  <c r="J96" i="34" s="1"/>
  <c r="M207" i="34"/>
  <c r="I207" i="34"/>
  <c r="I144" i="34"/>
  <c r="M143" i="34"/>
  <c r="H586" i="34"/>
  <c r="J586" i="34" s="1"/>
  <c r="H169" i="34"/>
  <c r="J169" i="34" s="1"/>
  <c r="K630" i="34"/>
  <c r="K207" i="34"/>
  <c r="I143" i="34"/>
  <c r="K96" i="34"/>
  <c r="I22" i="34"/>
  <c r="H762" i="34"/>
  <c r="J762" i="34" s="1"/>
  <c r="M96" i="34"/>
  <c r="K198" i="34"/>
  <c r="H489" i="34"/>
  <c r="J489" i="34" s="1"/>
  <c r="G773" i="34" a="1"/>
  <c r="G773" i="34" s="1"/>
  <c r="N773" i="34" s="1"/>
  <c r="G755" i="34" a="1"/>
  <c r="G755" i="34" s="1"/>
  <c r="N755" i="34" s="1"/>
  <c r="G918" i="34" a="1"/>
  <c r="G918" i="34" s="1"/>
  <c r="N918" i="34" s="1"/>
  <c r="K240" i="34"/>
  <c r="K169" i="34"/>
  <c r="F429" i="34" a="1"/>
  <c r="F429" i="34" s="1"/>
  <c r="K429" i="34" s="1"/>
  <c r="F250" i="34" a="1"/>
  <c r="F250" i="34" s="1"/>
  <c r="H250" i="34" s="1"/>
  <c r="J250" i="34" s="1"/>
  <c r="K773" i="34"/>
  <c r="M240" i="34"/>
  <c r="H240" i="34"/>
  <c r="J240" i="34" s="1"/>
  <c r="I236" i="34"/>
  <c r="K199" i="34"/>
  <c r="N351" i="34"/>
  <c r="K730" i="34"/>
  <c r="H311" i="34"/>
  <c r="J311" i="34" s="1"/>
  <c r="N666" i="34"/>
  <c r="G801" i="34" a="1"/>
  <c r="G801" i="34" s="1"/>
  <c r="N801" i="34" s="1"/>
  <c r="H713" i="34"/>
  <c r="J713" i="34" s="1"/>
  <c r="G107" i="34" a="1"/>
  <c r="G107" i="34" s="1"/>
  <c r="H107" i="34" s="1"/>
  <c r="J107" i="34" s="1"/>
  <c r="K936" i="34"/>
  <c r="K732" i="34"/>
  <c r="G292" i="34" a="1"/>
  <c r="G292" i="34" s="1"/>
  <c r="N292" i="34" s="1"/>
  <c r="G593" i="34" a="1"/>
  <c r="G593" i="34" s="1"/>
  <c r="N593" i="34" s="1"/>
  <c r="K824" i="34"/>
  <c r="G880" i="34" a="1"/>
  <c r="G880" i="34" s="1"/>
  <c r="H880" i="34" s="1"/>
  <c r="J880" i="34" s="1"/>
  <c r="M199" i="34"/>
  <c r="M754" i="34"/>
  <c r="H584" i="34"/>
  <c r="J584" i="34" s="1"/>
  <c r="K416" i="34"/>
  <c r="G67" i="34" a="1"/>
  <c r="G67" i="34" s="1"/>
  <c r="N67" i="34" s="1"/>
  <c r="G691" i="34" a="1"/>
  <c r="G691" i="34" s="1"/>
  <c r="H691" i="34" s="1"/>
  <c r="J691" i="34" s="1"/>
  <c r="K749" i="34"/>
  <c r="M732" i="34"/>
  <c r="M489" i="34"/>
  <c r="M516" i="34"/>
  <c r="G546" i="34" a="1"/>
  <c r="G546" i="34" s="1"/>
  <c r="H546" i="34" s="1"/>
  <c r="J546" i="34" s="1"/>
  <c r="K516" i="34"/>
  <c r="G51" i="34" a="1"/>
  <c r="G51" i="34" s="1"/>
  <c r="N51" i="34" s="1"/>
  <c r="H516" i="34"/>
  <c r="J516" i="34" s="1"/>
  <c r="H199" i="34"/>
  <c r="J199" i="34" s="1"/>
  <c r="G36" i="34" a="1"/>
  <c r="G36" i="34" s="1"/>
  <c r="H490" i="34"/>
  <c r="J490" i="34" s="1"/>
  <c r="F736" i="34" a="1"/>
  <c r="F736" i="34" s="1"/>
  <c r="I736" i="34" s="1"/>
  <c r="H410" i="34"/>
  <c r="J410" i="34" s="1"/>
  <c r="G621" i="34" a="1"/>
  <c r="G621" i="34" s="1"/>
  <c r="H621" i="34" s="1"/>
  <c r="J621" i="34" s="1"/>
  <c r="K312" i="34"/>
  <c r="G928" i="34" a="1"/>
  <c r="G928" i="34" s="1"/>
  <c r="N928" i="34" s="1"/>
  <c r="K779" i="34"/>
  <c r="G947" i="34" a="1"/>
  <c r="G947" i="34" s="1"/>
  <c r="N947" i="34" s="1"/>
  <c r="M588" i="34"/>
  <c r="I312" i="34"/>
  <c r="I726" i="34"/>
  <c r="I232" i="34"/>
  <c r="I725" i="34"/>
  <c r="K652" i="34"/>
  <c r="K588" i="34"/>
  <c r="H394" i="34"/>
  <c r="J394" i="34" s="1"/>
  <c r="G922" i="34" a="1"/>
  <c r="G922" i="34" s="1"/>
  <c r="H922" i="34" s="1"/>
  <c r="J922" i="34" s="1"/>
  <c r="H177" i="34"/>
  <c r="J177" i="34" s="1"/>
  <c r="H215" i="34"/>
  <c r="J215" i="34" s="1"/>
  <c r="I779" i="34"/>
  <c r="M633" i="34"/>
  <c r="H376" i="34"/>
  <c r="J376" i="34" s="1"/>
  <c r="K731" i="34"/>
  <c r="G640" i="34" a="1"/>
  <c r="G640" i="34" s="1"/>
  <c r="H640" i="34" s="1"/>
  <c r="J640" i="34" s="1"/>
  <c r="G222" i="34" a="1"/>
  <c r="G222" i="34" s="1"/>
  <c r="N222" i="34" s="1"/>
  <c r="N40" i="34"/>
  <c r="H312" i="34"/>
  <c r="J312" i="34" s="1"/>
  <c r="G749" i="34" a="1"/>
  <c r="G749" i="34" s="1"/>
  <c r="H749" i="34" s="1"/>
  <c r="J749" i="34" s="1"/>
  <c r="G722" i="34" a="1"/>
  <c r="G722" i="34" s="1"/>
  <c r="N722" i="34" s="1"/>
  <c r="I691" i="34"/>
  <c r="I633" i="34"/>
  <c r="I84" i="34"/>
  <c r="K817" i="34"/>
  <c r="K555" i="34"/>
  <c r="H24" i="34"/>
  <c r="J24" i="34" s="1"/>
  <c r="G347" i="34" a="1"/>
  <c r="G347" i="34" s="1"/>
  <c r="H347" i="34" s="1"/>
  <c r="J347" i="34" s="1"/>
  <c r="G733" i="34" a="1"/>
  <c r="G733" i="34" s="1"/>
  <c r="N733" i="34" s="1"/>
  <c r="N468" i="34"/>
  <c r="G541" i="34" a="1"/>
  <c r="G541" i="34" s="1"/>
  <c r="N541" i="34" s="1"/>
  <c r="I510" i="34"/>
  <c r="M817" i="34"/>
  <c r="I731" i="34"/>
  <c r="M701" i="34"/>
  <c r="N178" i="34"/>
  <c r="N752" i="34"/>
  <c r="I218" i="34"/>
  <c r="M218" i="34"/>
  <c r="K218" i="34"/>
  <c r="I745" i="34"/>
  <c r="M745" i="34"/>
  <c r="K745" i="34"/>
  <c r="F724" i="34" a="1"/>
  <c r="F724" i="34" s="1"/>
  <c r="H724" i="34" s="1"/>
  <c r="J724" i="34" s="1"/>
  <c r="F458" i="34" a="1"/>
  <c r="F458" i="34" s="1"/>
  <c r="H458" i="34" s="1"/>
  <c r="J458" i="34" s="1"/>
  <c r="G550" i="34" a="1"/>
  <c r="G550" i="34" s="1"/>
  <c r="N550" i="34" s="1"/>
  <c r="H378" i="34"/>
  <c r="J378" i="34" s="1"/>
  <c r="G77" i="34" a="1"/>
  <c r="G77" i="34" s="1"/>
  <c r="N77" i="34" s="1"/>
  <c r="G745" i="34" a="1"/>
  <c r="G745" i="34" s="1"/>
  <c r="H745" i="34" s="1"/>
  <c r="J745" i="34" s="1"/>
  <c r="G893" i="34" a="1"/>
  <c r="G893" i="34" s="1"/>
  <c r="N893" i="34" s="1"/>
  <c r="M492" i="34"/>
  <c r="M630" i="34"/>
  <c r="M652" i="34"/>
  <c r="F752" i="34" a="1"/>
  <c r="F752" i="34" s="1"/>
  <c r="H752" i="34" s="1"/>
  <c r="J752" i="34" s="1"/>
  <c r="H354" i="34"/>
  <c r="J354" i="34" s="1"/>
  <c r="F178" i="34" a="1"/>
  <c r="F178" i="34" s="1"/>
  <c r="H178" i="34" s="1"/>
  <c r="J178" i="34" s="1"/>
  <c r="F688" i="34" a="1"/>
  <c r="F688" i="34" s="1"/>
  <c r="K688" i="34" s="1"/>
  <c r="F560" i="34" a="1"/>
  <c r="F560" i="34" s="1"/>
  <c r="K560" i="34" s="1"/>
  <c r="F469" i="34" a="1"/>
  <c r="F469" i="34" s="1"/>
  <c r="M469" i="34" s="1"/>
  <c r="G875" i="34" a="1"/>
  <c r="G875" i="34" s="1"/>
  <c r="N875" i="34" s="1"/>
  <c r="G877" i="34" a="1"/>
  <c r="G877" i="34" s="1"/>
  <c r="N877" i="34" s="1"/>
  <c r="H723" i="34"/>
  <c r="J723" i="34" s="1"/>
  <c r="H208" i="34"/>
  <c r="J208" i="34" s="1"/>
  <c r="N376" i="34"/>
  <c r="I492" i="34"/>
  <c r="M682" i="34"/>
  <c r="F848" i="34" a="1"/>
  <c r="F848" i="34" s="1"/>
  <c r="K848" i="34" s="1"/>
  <c r="K410" i="34"/>
  <c r="K723" i="34"/>
  <c r="G559" i="34" a="1"/>
  <c r="G559" i="34" s="1"/>
  <c r="H559" i="34" s="1"/>
  <c r="J559" i="34" s="1"/>
  <c r="G350" i="34" a="1"/>
  <c r="G350" i="34" s="1"/>
  <c r="H350" i="34" s="1"/>
  <c r="J350" i="34" s="1"/>
  <c r="H418" i="34"/>
  <c r="J418" i="34" s="1"/>
  <c r="H231" i="34"/>
  <c r="J231" i="34" s="1"/>
  <c r="H176" i="34"/>
  <c r="J176" i="34" s="1"/>
  <c r="K350" i="34"/>
  <c r="H225" i="34"/>
  <c r="J225" i="34" s="1"/>
  <c r="H669" i="34"/>
  <c r="J669" i="34" s="1"/>
  <c r="M350" i="34"/>
  <c r="H362" i="34"/>
  <c r="J362" i="34" s="1"/>
  <c r="K352" i="34"/>
  <c r="M723" i="34"/>
  <c r="H715" i="34"/>
  <c r="J715" i="34" s="1"/>
  <c r="H425" i="34"/>
  <c r="J425" i="34" s="1"/>
  <c r="F756" i="34" a="1"/>
  <c r="F756" i="34" s="1"/>
  <c r="K756" i="34" s="1"/>
  <c r="G11" i="34" a="1"/>
  <c r="G11" i="34" s="1"/>
  <c r="N11" i="34" s="1"/>
  <c r="I567" i="34"/>
  <c r="M567" i="34"/>
  <c r="K567" i="34"/>
  <c r="N766" i="34"/>
  <c r="N375" i="34"/>
  <c r="G260" i="34" a="1"/>
  <c r="G260" i="34" s="1"/>
  <c r="N260" i="34" s="1"/>
  <c r="K281" i="34"/>
  <c r="G742" i="34" a="1"/>
  <c r="G742" i="34" s="1"/>
  <c r="H742" i="34" s="1"/>
  <c r="J742" i="34" s="1"/>
  <c r="M416" i="34"/>
  <c r="F583" i="34" a="1"/>
  <c r="F583" i="34" s="1"/>
  <c r="K583" i="34" s="1"/>
  <c r="F417" i="34" a="1"/>
  <c r="F417" i="34" s="1"/>
  <c r="H417" i="34" s="1"/>
  <c r="J417" i="34" s="1"/>
  <c r="G567" i="34" a="1"/>
  <c r="G567" i="34" s="1"/>
  <c r="H567" i="34" s="1"/>
  <c r="J567" i="34" s="1"/>
  <c r="K715" i="34"/>
  <c r="K594" i="34"/>
  <c r="G91" i="34" a="1"/>
  <c r="G91" i="34" s="1"/>
  <c r="N91" i="34" s="1"/>
  <c r="K144" i="34"/>
  <c r="G936" i="34" a="1"/>
  <c r="G936" i="34" s="1"/>
  <c r="H936" i="34" s="1"/>
  <c r="J936" i="34" s="1"/>
  <c r="K707" i="34"/>
  <c r="G829" i="34" a="1"/>
  <c r="G829" i="34" s="1"/>
  <c r="H829" i="34" s="1"/>
  <c r="J829" i="34" s="1"/>
  <c r="G707" i="34" a="1"/>
  <c r="G707" i="34" s="1"/>
  <c r="H707" i="34" s="1"/>
  <c r="J707" i="34" s="1"/>
  <c r="G765" i="34" a="1"/>
  <c r="G765" i="34" s="1"/>
  <c r="N765" i="34" s="1"/>
  <c r="K695" i="34"/>
  <c r="G348" i="34" a="1"/>
  <c r="G348" i="34" s="1"/>
  <c r="H348" i="34" s="1"/>
  <c r="J348" i="34" s="1"/>
  <c r="G630" i="34" a="1"/>
  <c r="G630" i="34" s="1"/>
  <c r="H630" i="34" s="1"/>
  <c r="J630" i="34" s="1"/>
  <c r="G641" i="34" a="1"/>
  <c r="G641" i="34" s="1"/>
  <c r="N641" i="34" s="1"/>
  <c r="I36" i="34"/>
  <c r="M528" i="34"/>
  <c r="M259" i="34"/>
  <c r="M749" i="34"/>
  <c r="G726" i="34" a="1"/>
  <c r="G726" i="34" s="1"/>
  <c r="F748" i="34" a="1"/>
  <c r="F748" i="34" s="1"/>
  <c r="K748" i="34" s="1"/>
  <c r="F791" i="34" a="1"/>
  <c r="F791" i="34" s="1"/>
  <c r="H791" i="34" s="1"/>
  <c r="J791" i="34" s="1"/>
  <c r="H695" i="34"/>
  <c r="J695" i="34" s="1"/>
  <c r="H528" i="34"/>
  <c r="J528" i="34" s="1"/>
  <c r="G368" i="34" a="1"/>
  <c r="G368" i="34" s="1"/>
  <c r="N368" i="34" s="1"/>
  <c r="H241" i="34"/>
  <c r="J241" i="34" s="1"/>
  <c r="G798" i="34" a="1"/>
  <c r="G798" i="34" s="1"/>
  <c r="N798" i="34" s="1"/>
  <c r="G671" i="34" a="1"/>
  <c r="G671" i="34" s="1"/>
  <c r="H671" i="34" s="1"/>
  <c r="J671" i="34" s="1"/>
  <c r="H578" i="34"/>
  <c r="J578" i="34" s="1"/>
  <c r="I528" i="34"/>
  <c r="F832" i="34" a="1"/>
  <c r="F832" i="34" s="1"/>
  <c r="H832" i="34" s="1"/>
  <c r="J832" i="34" s="1"/>
  <c r="F375" i="34" a="1"/>
  <c r="F375" i="34" s="1"/>
  <c r="K375" i="34" s="1"/>
  <c r="G629" i="34" a="1"/>
  <c r="G629" i="34" s="1"/>
  <c r="N629" i="34" s="1"/>
  <c r="G709" i="34" a="1"/>
  <c r="G709" i="34" s="1"/>
  <c r="N709" i="34" s="1"/>
  <c r="G837" i="34" a="1"/>
  <c r="G837" i="34" s="1"/>
  <c r="N837" i="34" s="1"/>
  <c r="M661" i="34"/>
  <c r="M695" i="34"/>
  <c r="F404" i="34" a="1"/>
  <c r="F404" i="34" s="1"/>
  <c r="K404" i="34" s="1"/>
  <c r="H393" i="34"/>
  <c r="J393" i="34" s="1"/>
  <c r="K661" i="34"/>
  <c r="G259" i="34" a="1"/>
  <c r="G259" i="34" s="1"/>
  <c r="N259" i="34" s="1"/>
  <c r="G254" i="34" a="1"/>
  <c r="G254" i="34" s="1"/>
  <c r="H254" i="34" s="1"/>
  <c r="J254" i="34" s="1"/>
  <c r="G891" i="34" a="1"/>
  <c r="G891" i="34" s="1"/>
  <c r="H891" i="34" s="1"/>
  <c r="J891" i="34" s="1"/>
  <c r="G754" i="34" a="1"/>
  <c r="G754" i="34" s="1"/>
  <c r="M742" i="34"/>
  <c r="G510" i="34" a="1"/>
  <c r="G510" i="34" s="1"/>
  <c r="N510" i="34" s="1"/>
  <c r="G824" i="34" a="1"/>
  <c r="G824" i="34" s="1"/>
  <c r="H824" i="34" s="1"/>
  <c r="J824" i="34" s="1"/>
  <c r="M786" i="34"/>
  <c r="F654" i="34" a="1"/>
  <c r="F654" i="34" s="1"/>
  <c r="I654" i="34" s="1"/>
  <c r="H682" i="34"/>
  <c r="J682" i="34" s="1"/>
  <c r="K742" i="34"/>
  <c r="G617" i="34" a="1"/>
  <c r="G617" i="34" s="1"/>
  <c r="N617" i="34" s="1"/>
  <c r="K259" i="34"/>
  <c r="M594" i="34"/>
  <c r="M715" i="34"/>
  <c r="G786" i="34" a="1"/>
  <c r="G786" i="34" s="1"/>
  <c r="N786" i="34" s="1"/>
  <c r="H416" i="34"/>
  <c r="J416" i="34" s="1"/>
  <c r="K362" i="34"/>
  <c r="G594" i="34" a="1"/>
  <c r="G594" i="34" s="1"/>
  <c r="H594" i="34" s="1"/>
  <c r="J594" i="34" s="1"/>
  <c r="G371" i="34" a="1"/>
  <c r="G371" i="34" s="1"/>
  <c r="G236" i="34" a="1"/>
  <c r="G236" i="34" s="1"/>
  <c r="N236" i="34" s="1"/>
  <c r="K236" i="34"/>
  <c r="M936" i="34"/>
  <c r="I386" i="34"/>
  <c r="I707" i="34"/>
  <c r="I824" i="34"/>
  <c r="H618" i="34"/>
  <c r="J618" i="34" s="1"/>
  <c r="N438" i="34"/>
  <c r="K346" i="34"/>
  <c r="I346" i="34"/>
  <c r="M346" i="34"/>
  <c r="H564" i="34"/>
  <c r="J564" i="34" s="1"/>
  <c r="K406" i="34"/>
  <c r="G309" i="34" a="1"/>
  <c r="G309" i="34" s="1"/>
  <c r="N309" i="34" s="1"/>
  <c r="G346" i="34" a="1"/>
  <c r="G346" i="34" s="1"/>
  <c r="H346" i="34" s="1"/>
  <c r="J346" i="34" s="1"/>
  <c r="N42" i="34"/>
  <c r="G20" i="34" a="1"/>
  <c r="G20" i="34" s="1"/>
  <c r="H20" i="34" s="1"/>
  <c r="J20" i="34" s="1"/>
  <c r="N715" i="34"/>
  <c r="N231" i="34"/>
  <c r="G676" i="34" a="1"/>
  <c r="G676" i="34" s="1"/>
  <c r="H676" i="34" s="1"/>
  <c r="J676" i="34" s="1"/>
  <c r="M10" i="34"/>
  <c r="I773" i="34"/>
  <c r="I224" i="34"/>
  <c r="M406" i="34"/>
  <c r="H8" i="34"/>
  <c r="J8" i="34" s="1"/>
  <c r="K783" i="34"/>
  <c r="H328" i="34"/>
  <c r="J328" i="34" s="1"/>
  <c r="K328" i="34"/>
  <c r="G708" i="34" a="1"/>
  <c r="G708" i="34" s="1"/>
  <c r="H708" i="34" s="1"/>
  <c r="J708" i="34" s="1"/>
  <c r="M309" i="34"/>
  <c r="F438" i="34" a="1"/>
  <c r="F438" i="34" s="1"/>
  <c r="K438" i="34" s="1"/>
  <c r="F522" i="34" a="1"/>
  <c r="F522" i="34" s="1"/>
  <c r="K522" i="34" s="1"/>
  <c r="F551" i="34" a="1"/>
  <c r="F551" i="34" s="1"/>
  <c r="H551" i="34" s="1"/>
  <c r="J551" i="34" s="1"/>
  <c r="K902" i="34"/>
  <c r="G813" i="34" a="1"/>
  <c r="G813" i="34" s="1"/>
  <c r="H813" i="34" s="1"/>
  <c r="J813" i="34" s="1"/>
  <c r="N665" i="34"/>
  <c r="N832" i="34"/>
  <c r="K434" i="34"/>
  <c r="G555" i="34" a="1"/>
  <c r="G555" i="34" s="1"/>
  <c r="H555" i="34" s="1"/>
  <c r="J555" i="34" s="1"/>
  <c r="M730" i="34"/>
  <c r="H167" i="34"/>
  <c r="J167" i="34" s="1"/>
  <c r="I743" i="34"/>
  <c r="H780" i="34"/>
  <c r="J780" i="34" s="1"/>
  <c r="G646" i="34" a="1"/>
  <c r="G646" i="34" s="1"/>
  <c r="H646" i="34" s="1"/>
  <c r="J646" i="34" s="1"/>
  <c r="K873" i="34"/>
  <c r="G743" i="34" a="1"/>
  <c r="G743" i="34" s="1"/>
  <c r="H743" i="34" s="1"/>
  <c r="J743" i="34" s="1"/>
  <c r="M328" i="34"/>
  <c r="M783" i="34"/>
  <c r="I60" i="34"/>
  <c r="I659" i="34"/>
  <c r="H505" i="34"/>
  <c r="J505" i="34" s="1"/>
  <c r="F482" i="34" a="1"/>
  <c r="F482" i="34" s="1"/>
  <c r="K482" i="34" s="1"/>
  <c r="F569" i="34" a="1"/>
  <c r="F569" i="34" s="1"/>
  <c r="K569" i="34" s="1"/>
  <c r="F609" i="34" a="1"/>
  <c r="F609" i="34" s="1"/>
  <c r="I609" i="34" s="1"/>
  <c r="H873" i="34"/>
  <c r="J873" i="34" s="1"/>
  <c r="M434" i="34"/>
  <c r="M873" i="34"/>
  <c r="H442" i="34"/>
  <c r="J442" i="34" s="1"/>
  <c r="G291" i="34" a="1"/>
  <c r="G291" i="34" s="1"/>
  <c r="N291" i="34" s="1"/>
  <c r="H439" i="34"/>
  <c r="J439" i="34" s="1"/>
  <c r="G902" i="34" a="1"/>
  <c r="G902" i="34" s="1"/>
  <c r="H902" i="34" s="1"/>
  <c r="J902" i="34" s="1"/>
  <c r="K733" i="34"/>
  <c r="G406" i="34" a="1"/>
  <c r="G406" i="34" s="1"/>
  <c r="N406" i="34" s="1"/>
  <c r="G398" i="34" a="1"/>
  <c r="G398" i="34" s="1"/>
  <c r="H398" i="34" s="1"/>
  <c r="J398" i="34" s="1"/>
  <c r="H224" i="34"/>
  <c r="J224" i="34" s="1"/>
  <c r="G22" i="34" a="1"/>
  <c r="G22" i="34" s="1"/>
  <c r="M733" i="34"/>
  <c r="H120" i="34"/>
  <c r="J120" i="34" s="1"/>
  <c r="I486" i="34"/>
  <c r="M486" i="34"/>
  <c r="K486" i="34"/>
  <c r="G449" i="34" a="1"/>
  <c r="G449" i="34" s="1"/>
  <c r="H449" i="34" s="1"/>
  <c r="J449" i="34" s="1"/>
  <c r="G496" i="34" a="1"/>
  <c r="G496" i="34" s="1"/>
  <c r="H496" i="34" s="1"/>
  <c r="J496" i="34" s="1"/>
  <c r="H500" i="34"/>
  <c r="J500" i="34" s="1"/>
  <c r="G399" i="34" a="1"/>
  <c r="G399" i="34" s="1"/>
  <c r="N399" i="34" s="1"/>
  <c r="H685" i="34"/>
  <c r="J685" i="34" s="1"/>
  <c r="G300" i="34" a="1"/>
  <c r="G300" i="34" s="1"/>
  <c r="N300" i="34" s="1"/>
  <c r="G251" i="34" a="1"/>
  <c r="G251" i="34" s="1"/>
  <c r="H251" i="34" s="1"/>
  <c r="J251" i="34" s="1"/>
  <c r="K418" i="34"/>
  <c r="N682" i="34"/>
  <c r="M524" i="34"/>
  <c r="M797" i="34"/>
  <c r="I701" i="34"/>
  <c r="G132" i="34" a="1"/>
  <c r="G132" i="34" s="1"/>
  <c r="A37" i="34"/>
  <c r="H359" i="34"/>
  <c r="J359" i="34" s="1"/>
  <c r="F585" i="34" a="1"/>
  <c r="F585" i="34" s="1"/>
  <c r="K585" i="34" s="1"/>
  <c r="K8" i="34"/>
  <c r="G816" i="34" a="1"/>
  <c r="G816" i="34" s="1"/>
  <c r="N816" i="34" s="1"/>
  <c r="G667" i="34" a="1"/>
  <c r="G667" i="34" s="1"/>
  <c r="N667" i="34" s="1"/>
  <c r="K177" i="34"/>
  <c r="H257" i="34"/>
  <c r="J257" i="34" s="1"/>
  <c r="K558" i="34"/>
  <c r="M182" i="34"/>
  <c r="M555" i="34"/>
  <c r="M299" i="34"/>
  <c r="I797" i="34"/>
  <c r="F35" i="34" a="1"/>
  <c r="F35" i="34" s="1"/>
  <c r="I35" i="34" s="1"/>
  <c r="G926" i="34" a="1"/>
  <c r="G926" i="34" s="1"/>
  <c r="H926" i="34" s="1"/>
  <c r="J926" i="34" s="1"/>
  <c r="G252" i="34" a="1"/>
  <c r="G252" i="34" s="1"/>
  <c r="H252" i="34" s="1"/>
  <c r="J252" i="34" s="1"/>
  <c r="K576" i="34"/>
  <c r="G659" i="34" a="1"/>
  <c r="G659" i="34" s="1"/>
  <c r="H659" i="34" s="1"/>
  <c r="J659" i="34" s="1"/>
  <c r="K610" i="34"/>
  <c r="K386" i="34"/>
  <c r="G315" i="34" a="1"/>
  <c r="G315" i="34" s="1"/>
  <c r="H315" i="34" s="1"/>
  <c r="J315" i="34" s="1"/>
  <c r="N505" i="34"/>
  <c r="G803" i="34" a="1"/>
  <c r="G803" i="34" s="1"/>
  <c r="G718" i="34" a="1"/>
  <c r="G718" i="34" s="1"/>
  <c r="N718" i="34" s="1"/>
  <c r="I182" i="34"/>
  <c r="I299" i="34"/>
  <c r="M697" i="34"/>
  <c r="A46" i="34"/>
  <c r="G46" i="34" s="1" a="1"/>
  <c r="G46" i="34" s="1"/>
  <c r="H128" i="34"/>
  <c r="J128" i="34" s="1"/>
  <c r="F644" i="34" a="1"/>
  <c r="F644" i="34" s="1"/>
  <c r="I644" i="34" s="1"/>
  <c r="K432" i="34"/>
  <c r="K354" i="34"/>
  <c r="G182" i="34" a="1"/>
  <c r="G182" i="34" s="1"/>
  <c r="N182" i="34" s="1"/>
  <c r="G797" i="34" a="1"/>
  <c r="G797" i="34" s="1"/>
  <c r="H797" i="34" s="1"/>
  <c r="J797" i="34" s="1"/>
  <c r="K697" i="34"/>
  <c r="G84" i="34" a="1"/>
  <c r="G84" i="34" s="1"/>
  <c r="H84" i="34" s="1"/>
  <c r="J84" i="34" s="1"/>
  <c r="G486" i="34" a="1"/>
  <c r="G486" i="34" s="1"/>
  <c r="M432" i="34"/>
  <c r="M132" i="34"/>
  <c r="H524" i="34"/>
  <c r="J524" i="34" s="1"/>
  <c r="H697" i="34"/>
  <c r="J697" i="34" s="1"/>
  <c r="G158" i="34" a="1"/>
  <c r="G158" i="34" s="1"/>
  <c r="N158" i="34" s="1"/>
  <c r="K20" i="34"/>
  <c r="G959" i="34" a="1"/>
  <c r="G959" i="34" s="1"/>
  <c r="N959" i="34" s="1"/>
  <c r="G896" i="34" a="1"/>
  <c r="G896" i="34" s="1"/>
  <c r="N896" i="34" s="1"/>
  <c r="H295" i="34"/>
  <c r="J295" i="34" s="1"/>
  <c r="G196" i="34" a="1"/>
  <c r="G196" i="34" s="1"/>
  <c r="N196" i="34" s="1"/>
  <c r="K84" i="34"/>
  <c r="M576" i="34"/>
  <c r="M20" i="34"/>
  <c r="I132" i="34"/>
  <c r="A230" i="34"/>
  <c r="F230" i="34" s="1" a="1"/>
  <c r="F230" i="34" s="1"/>
  <c r="I230" i="34" s="1"/>
  <c r="A134" i="34"/>
  <c r="G299" i="34" a="1"/>
  <c r="G299" i="34" s="1"/>
  <c r="N299" i="34" s="1"/>
  <c r="K60" i="34"/>
  <c r="G664" i="34" a="1"/>
  <c r="G664" i="34" s="1"/>
  <c r="N664" i="34" s="1"/>
  <c r="H217" i="34"/>
  <c r="J217" i="34" s="1"/>
  <c r="G576" i="34" a="1"/>
  <c r="G576" i="34" s="1"/>
  <c r="M610" i="34"/>
  <c r="M418" i="34"/>
  <c r="M558" i="34"/>
  <c r="F626" i="34" a="1"/>
  <c r="F626" i="34" s="1"/>
  <c r="K524" i="34"/>
  <c r="G123" i="34" a="1"/>
  <c r="G123" i="34" s="1"/>
  <c r="N123" i="34" s="1"/>
  <c r="K713" i="34"/>
  <c r="G140" i="34" a="1"/>
  <c r="G140" i="34" s="1"/>
  <c r="H140" i="34" s="1"/>
  <c r="J140" i="34" s="1"/>
  <c r="G948" i="34" a="1"/>
  <c r="G948" i="34" s="1"/>
  <c r="H948" i="34" s="1"/>
  <c r="J948" i="34" s="1"/>
  <c r="G677" i="34" a="1"/>
  <c r="G677" i="34" s="1"/>
  <c r="H677" i="34" s="1"/>
  <c r="J677" i="34" s="1"/>
  <c r="G60" i="34" a="1"/>
  <c r="G60" i="34" s="1"/>
  <c r="H60" i="34" s="1"/>
  <c r="J60" i="34" s="1"/>
  <c r="N176" i="34"/>
  <c r="M713" i="34"/>
  <c r="A6" i="34"/>
  <c r="G6" i="34" s="1" a="1"/>
  <c r="G6" i="34" s="1"/>
  <c r="N6" i="34" s="1"/>
  <c r="A38" i="34"/>
  <c r="F854" i="34" a="1"/>
  <c r="F854" i="34" s="1"/>
  <c r="G854" i="34" a="1"/>
  <c r="G854" i="34" s="1"/>
  <c r="N854" i="34" s="1"/>
  <c r="F358" i="34" a="1"/>
  <c r="F358" i="34" s="1"/>
  <c r="I358" i="34" s="1"/>
  <c r="G358" i="34" a="1"/>
  <c r="G358" i="34" s="1"/>
  <c r="N358" i="34" s="1"/>
  <c r="E245" i="34"/>
  <c r="A245" i="34"/>
  <c r="E325" i="34"/>
  <c r="A325" i="34"/>
  <c r="E174" i="34"/>
  <c r="A174" i="34"/>
  <c r="I778" i="34"/>
  <c r="M778" i="34"/>
  <c r="K778" i="34"/>
  <c r="M705" i="34"/>
  <c r="I705" i="34"/>
  <c r="K705" i="34"/>
  <c r="F78" i="34" a="1"/>
  <c r="F78" i="34" s="1"/>
  <c r="I78" i="34" s="1"/>
  <c r="E142" i="34"/>
  <c r="A142" i="34"/>
  <c r="I402" i="34"/>
  <c r="H402" i="34"/>
  <c r="J402" i="34" s="1"/>
  <c r="M402" i="34"/>
  <c r="K402" i="34"/>
  <c r="F301" i="34" a="1"/>
  <c r="F301" i="34" s="1"/>
  <c r="K301" i="34" s="1"/>
  <c r="F866" i="34" a="1"/>
  <c r="F866" i="34" s="1"/>
  <c r="K866" i="34" s="1"/>
  <c r="G866" i="34" a="1"/>
  <c r="G866" i="34" s="1"/>
  <c r="N866" i="34" s="1"/>
  <c r="F805" i="34" a="1"/>
  <c r="F805" i="34" s="1"/>
  <c r="K805" i="34" s="1"/>
  <c r="G805" i="34" a="1"/>
  <c r="G805" i="34" s="1"/>
  <c r="N805" i="34" s="1"/>
  <c r="G597" i="34" a="1"/>
  <c r="G597" i="34" s="1"/>
  <c r="N597" i="34" s="1"/>
  <c r="F597" i="34" a="1"/>
  <c r="F597" i="34" s="1"/>
  <c r="I597" i="34" s="1"/>
  <c r="F269" i="34" a="1"/>
  <c r="F269" i="34" s="1"/>
  <c r="G269" i="34" a="1"/>
  <c r="G269" i="34" s="1"/>
  <c r="N269" i="34" s="1"/>
  <c r="F525" i="34" a="1"/>
  <c r="F525" i="34" s="1"/>
  <c r="G525" i="34" a="1"/>
  <c r="G525" i="34" s="1"/>
  <c r="N525" i="34" s="1"/>
  <c r="G949" i="34" a="1"/>
  <c r="G949" i="34" s="1"/>
  <c r="F949" i="34" a="1"/>
  <c r="F949" i="34" s="1"/>
  <c r="K949" i="34" s="1"/>
  <c r="F485" i="34" a="1"/>
  <c r="F485" i="34" s="1"/>
  <c r="G485" i="34" a="1"/>
  <c r="G485" i="34" s="1"/>
  <c r="N485" i="34" s="1"/>
  <c r="F526" i="34" a="1"/>
  <c r="F526" i="34" s="1"/>
  <c r="K526" i="34" s="1"/>
  <c r="E109" i="34"/>
  <c r="A109" i="34"/>
  <c r="E110" i="34"/>
  <c r="A110" i="34"/>
  <c r="K815" i="34"/>
  <c r="I815" i="34"/>
  <c r="M815" i="34"/>
  <c r="N568" i="34"/>
  <c r="H568" i="34"/>
  <c r="J568" i="34" s="1"/>
  <c r="F869" i="34" a="1"/>
  <c r="F869" i="34" s="1"/>
  <c r="I869" i="34" s="1"/>
  <c r="G869" i="34" a="1"/>
  <c r="G869" i="34" s="1"/>
  <c r="N869" i="34" s="1"/>
  <c r="F365" i="34" a="1"/>
  <c r="F365" i="34" s="1"/>
  <c r="M365" i="34" s="1"/>
  <c r="G365" i="34" a="1"/>
  <c r="G365" i="34" s="1"/>
  <c r="N365" i="34" s="1"/>
  <c r="F43" i="34" a="1"/>
  <c r="F43" i="34" s="1"/>
  <c r="G43" i="34" a="1"/>
  <c r="G43" i="34" s="1"/>
  <c r="N43" i="34" s="1"/>
  <c r="E14" i="34"/>
  <c r="A14" i="34"/>
  <c r="G14" i="34" s="1" a="1"/>
  <c r="G14" i="34" s="1"/>
  <c r="H345" i="34"/>
  <c r="J345" i="34" s="1"/>
  <c r="N345" i="34"/>
  <c r="N90" i="34"/>
  <c r="H90" i="34"/>
  <c r="J90" i="34" s="1"/>
  <c r="I863" i="34"/>
  <c r="M863" i="34"/>
  <c r="K863" i="34"/>
  <c r="E270" i="34"/>
  <c r="A270" i="34"/>
  <c r="E302" i="34"/>
  <c r="A302" i="34"/>
  <c r="E334" i="34"/>
  <c r="A334" i="34"/>
  <c r="F686" i="34" a="1"/>
  <c r="F686" i="34" s="1"/>
  <c r="I686" i="34" s="1"/>
  <c r="F694" i="34" a="1"/>
  <c r="F694" i="34" s="1"/>
  <c r="K694" i="34" s="1"/>
  <c r="N370" i="34"/>
  <c r="H370" i="34"/>
  <c r="J370" i="34" s="1"/>
  <c r="E45" i="34"/>
  <c r="A45" i="34"/>
  <c r="H104" i="34"/>
  <c r="J104" i="34" s="1"/>
  <c r="N104" i="34"/>
  <c r="E238" i="34"/>
  <c r="A238" i="34"/>
  <c r="H88" i="34"/>
  <c r="J88" i="34" s="1"/>
  <c r="N88" i="34"/>
  <c r="K550" i="34"/>
  <c r="I550" i="34"/>
  <c r="M550" i="34"/>
  <c r="F792" i="34" a="1"/>
  <c r="F792" i="34" s="1"/>
  <c r="K792" i="34" s="1"/>
  <c r="G792" i="34" a="1"/>
  <c r="G792" i="34" s="1"/>
  <c r="G690" i="34" a="1"/>
  <c r="G690" i="34" s="1"/>
  <c r="F690" i="34" a="1"/>
  <c r="F690" i="34" s="1"/>
  <c r="K690" i="34" s="1"/>
  <c r="G876" i="34" a="1"/>
  <c r="G876" i="34" s="1"/>
  <c r="N876" i="34" s="1"/>
  <c r="F876" i="34" a="1"/>
  <c r="F876" i="34" s="1"/>
  <c r="K876" i="34" s="1"/>
  <c r="F911" i="34" a="1"/>
  <c r="F911" i="34" s="1"/>
  <c r="G911" i="34" a="1"/>
  <c r="G911" i="34" s="1"/>
  <c r="N911" i="34" s="1"/>
  <c r="F943" i="34" a="1"/>
  <c r="F943" i="34" s="1"/>
  <c r="I943" i="34" s="1"/>
  <c r="G943" i="34" a="1"/>
  <c r="G943" i="34" s="1"/>
  <c r="N943" i="34" s="1"/>
  <c r="F960" i="34" a="1"/>
  <c r="F960" i="34" s="1"/>
  <c r="G960" i="34" a="1"/>
  <c r="G960" i="34" s="1"/>
  <c r="N960" i="34" s="1"/>
  <c r="G913" i="34" a="1"/>
  <c r="G913" i="34" s="1"/>
  <c r="F913" i="34" a="1"/>
  <c r="F913" i="34" s="1"/>
  <c r="M913" i="34" s="1"/>
  <c r="F945" i="34" a="1"/>
  <c r="F945" i="34" s="1"/>
  <c r="I945" i="34" s="1"/>
  <c r="G945" i="34" a="1"/>
  <c r="G945" i="34" s="1"/>
  <c r="N945" i="34" s="1"/>
  <c r="F811" i="34" a="1"/>
  <c r="F811" i="34" s="1"/>
  <c r="G811" i="34" a="1"/>
  <c r="G811" i="34" s="1"/>
  <c r="N811" i="34" s="1"/>
  <c r="F642" i="34" a="1"/>
  <c r="F642" i="34" s="1"/>
  <c r="G642" i="34" a="1"/>
  <c r="G642" i="34" s="1"/>
  <c r="N642" i="34" s="1"/>
  <c r="F881" i="34" a="1"/>
  <c r="F881" i="34" s="1"/>
  <c r="K881" i="34" s="1"/>
  <c r="G881" i="34" a="1"/>
  <c r="G881" i="34" s="1"/>
  <c r="G363" i="34" a="1"/>
  <c r="G363" i="34" s="1"/>
  <c r="F363" i="34" a="1"/>
  <c r="F363" i="34" s="1"/>
  <c r="K363" i="34" s="1"/>
  <c r="F827" i="34" a="1"/>
  <c r="F827" i="34" s="1"/>
  <c r="G827" i="34" a="1"/>
  <c r="G827" i="34" s="1"/>
  <c r="N827" i="34" s="1"/>
  <c r="F531" i="34" a="1"/>
  <c r="F531" i="34" s="1"/>
  <c r="K531" i="34" s="1"/>
  <c r="G531" i="34" a="1"/>
  <c r="G531" i="34" s="1"/>
  <c r="N531" i="34" s="1"/>
  <c r="G171" i="34" a="1"/>
  <c r="G171" i="34" s="1"/>
  <c r="N171" i="34" s="1"/>
  <c r="F171" i="34" a="1"/>
  <c r="F171" i="34" s="1"/>
  <c r="K171" i="34" s="1"/>
  <c r="F443" i="34" a="1"/>
  <c r="F443" i="34" s="1"/>
  <c r="K443" i="34" s="1"/>
  <c r="G443" i="34" a="1"/>
  <c r="G443" i="34" s="1"/>
  <c r="N443" i="34" s="1"/>
  <c r="F99" i="34" a="1"/>
  <c r="F99" i="34" s="1"/>
  <c r="I99" i="34" s="1"/>
  <c r="G99" i="34" a="1"/>
  <c r="G99" i="34" s="1"/>
  <c r="N99" i="34" s="1"/>
  <c r="F840" i="34" a="1"/>
  <c r="F840" i="34" s="1"/>
  <c r="G840" i="34" a="1"/>
  <c r="G840" i="34" s="1"/>
  <c r="N840" i="34" s="1"/>
  <c r="G648" i="34" a="1"/>
  <c r="G648" i="34" s="1"/>
  <c r="N648" i="34" s="1"/>
  <c r="F648" i="34" a="1"/>
  <c r="F648" i="34" s="1"/>
  <c r="K648" i="34" s="1"/>
  <c r="F717" i="34" a="1"/>
  <c r="F717" i="34" s="1"/>
  <c r="I717" i="34" s="1"/>
  <c r="G717" i="34" a="1"/>
  <c r="G717" i="34" s="1"/>
  <c r="N717" i="34" s="1"/>
  <c r="F12" i="34" a="1"/>
  <c r="F12" i="34" s="1"/>
  <c r="G12" i="34" a="1"/>
  <c r="G12" i="34" s="1"/>
  <c r="N12" i="34" s="1"/>
  <c r="F156" i="34" a="1"/>
  <c r="F156" i="34" s="1"/>
  <c r="K156" i="34" s="1"/>
  <c r="G156" i="34" a="1"/>
  <c r="G156" i="34" s="1"/>
  <c r="N156" i="34" s="1"/>
  <c r="F284" i="34" a="1"/>
  <c r="F284" i="34" s="1"/>
  <c r="M284" i="34" s="1"/>
  <c r="G284" i="34" a="1"/>
  <c r="G284" i="34" s="1"/>
  <c r="N284" i="34" s="1"/>
  <c r="F172" i="34" a="1"/>
  <c r="F172" i="34" s="1"/>
  <c r="I172" i="34" s="1"/>
  <c r="G172" i="34" a="1"/>
  <c r="G172" i="34" s="1"/>
  <c r="N172" i="34" s="1"/>
  <c r="G68" i="34" a="1"/>
  <c r="G68" i="34" s="1"/>
  <c r="F68" i="34" a="1"/>
  <c r="F68" i="34" s="1"/>
  <c r="I68" i="34" s="1"/>
  <c r="G204" i="34" a="1"/>
  <c r="G204" i="34" s="1"/>
  <c r="N204" i="34" s="1"/>
  <c r="F204" i="34" a="1"/>
  <c r="F204" i="34" s="1"/>
  <c r="I204" i="34" s="1"/>
  <c r="F332" i="34" a="1"/>
  <c r="F332" i="34" s="1"/>
  <c r="G332" i="34" a="1"/>
  <c r="G332" i="34" s="1"/>
  <c r="N332" i="34" s="1"/>
  <c r="F900" i="34" a="1"/>
  <c r="F900" i="34" s="1"/>
  <c r="I900" i="34" s="1"/>
  <c r="G900" i="34" a="1"/>
  <c r="G900" i="34" s="1"/>
  <c r="N900" i="34" s="1"/>
  <c r="F639" i="34" a="1"/>
  <c r="F639" i="34" s="1"/>
  <c r="G639" i="34" a="1"/>
  <c r="G639" i="34" s="1"/>
  <c r="N639" i="34" s="1"/>
  <c r="K698" i="34"/>
  <c r="H698" i="34"/>
  <c r="J698" i="34" s="1"/>
  <c r="I676" i="34"/>
  <c r="M676" i="34"/>
  <c r="K676" i="34"/>
  <c r="E206" i="34"/>
  <c r="A206" i="34"/>
  <c r="N688" i="34"/>
  <c r="I288" i="34"/>
  <c r="H288" i="34"/>
  <c r="J288" i="34" s="1"/>
  <c r="K288" i="34"/>
  <c r="N239" i="34"/>
  <c r="H239" i="34"/>
  <c r="J239" i="34" s="1"/>
  <c r="N112" i="34"/>
  <c r="H112" i="34"/>
  <c r="J112" i="34" s="1"/>
  <c r="K536" i="34"/>
  <c r="I536" i="34"/>
  <c r="G874" i="34" a="1"/>
  <c r="G874" i="34" s="1"/>
  <c r="N874" i="34" s="1"/>
  <c r="F874" i="34" a="1"/>
  <c r="F874" i="34" s="1"/>
  <c r="K874" i="34" s="1"/>
  <c r="G277" i="34" a="1"/>
  <c r="G277" i="34" s="1"/>
  <c r="N277" i="34" s="1"/>
  <c r="F277" i="34" a="1"/>
  <c r="F277" i="34" s="1"/>
  <c r="I277" i="34" s="1"/>
  <c r="G957" i="34" a="1"/>
  <c r="G957" i="34" s="1"/>
  <c r="F957" i="34" a="1"/>
  <c r="F957" i="34" s="1"/>
  <c r="K957" i="34" s="1"/>
  <c r="G493" i="34" a="1"/>
  <c r="G493" i="34" s="1"/>
  <c r="N493" i="34" s="1"/>
  <c r="F493" i="34" a="1"/>
  <c r="F493" i="34" s="1"/>
  <c r="K493" i="34" s="1"/>
  <c r="G670" i="34" a="1"/>
  <c r="G670" i="34" s="1"/>
  <c r="F670" i="34" a="1"/>
  <c r="F670" i="34" s="1"/>
  <c r="K670" i="34" s="1"/>
  <c r="G286" i="34" a="1"/>
  <c r="G286" i="34" s="1"/>
  <c r="N286" i="34" s="1"/>
  <c r="F286" i="34" a="1"/>
  <c r="F286" i="34" s="1"/>
  <c r="G582" i="34" a="1"/>
  <c r="G582" i="34" s="1"/>
  <c r="N582" i="34" s="1"/>
  <c r="F582" i="34" a="1"/>
  <c r="F582" i="34" s="1"/>
  <c r="M582" i="34" s="1"/>
  <c r="G859" i="34" a="1"/>
  <c r="G859" i="34" s="1"/>
  <c r="N859" i="34" s="1"/>
  <c r="F859" i="34" a="1"/>
  <c r="F859" i="34" s="1"/>
  <c r="I859" i="34" s="1"/>
  <c r="G758" i="34" a="1"/>
  <c r="G758" i="34" s="1"/>
  <c r="N758" i="34" s="1"/>
  <c r="F758" i="34" a="1"/>
  <c r="F758" i="34" s="1"/>
  <c r="M758" i="34" s="1"/>
  <c r="G856" i="34" a="1"/>
  <c r="G856" i="34" s="1"/>
  <c r="N856" i="34" s="1"/>
  <c r="F856" i="34" a="1"/>
  <c r="F856" i="34" s="1"/>
  <c r="I856" i="34" s="1"/>
  <c r="F864" i="34" a="1"/>
  <c r="F864" i="34" s="1"/>
  <c r="K864" i="34" s="1"/>
  <c r="F903" i="34" a="1"/>
  <c r="F903" i="34" s="1"/>
  <c r="I903" i="34" s="1"/>
  <c r="F855" i="34" a="1"/>
  <c r="F855" i="34" s="1"/>
  <c r="K855" i="34" s="1"/>
  <c r="G925" i="34" a="1"/>
  <c r="G925" i="34" s="1"/>
  <c r="N925" i="34" s="1"/>
  <c r="F925" i="34" a="1"/>
  <c r="F925" i="34" s="1"/>
  <c r="K925" i="34" s="1"/>
  <c r="G939" i="34" a="1"/>
  <c r="G939" i="34" s="1"/>
  <c r="N939" i="34" s="1"/>
  <c r="F939" i="34" a="1"/>
  <c r="F939" i="34" s="1"/>
  <c r="M939" i="34" s="1"/>
  <c r="G674" i="34" a="1"/>
  <c r="G674" i="34" s="1"/>
  <c r="F674" i="34" a="1"/>
  <c r="F674" i="34" s="1"/>
  <c r="K674" i="34" s="1"/>
  <c r="G387" i="34" a="1"/>
  <c r="G387" i="34" s="1"/>
  <c r="N387" i="34" s="1"/>
  <c r="F387" i="34" a="1"/>
  <c r="F387" i="34" s="1"/>
  <c r="K387" i="34" s="1"/>
  <c r="F851" i="34" a="1"/>
  <c r="F851" i="34" s="1"/>
  <c r="K851" i="34" s="1"/>
  <c r="F547" i="34" a="1"/>
  <c r="F547" i="34" s="1"/>
  <c r="K547" i="34" s="1"/>
  <c r="G187" i="34" a="1"/>
  <c r="G187" i="34" s="1"/>
  <c r="N187" i="34" s="1"/>
  <c r="F187" i="34" a="1"/>
  <c r="F187" i="34" s="1"/>
  <c r="I187" i="34" s="1"/>
  <c r="G243" i="34" a="1"/>
  <c r="G243" i="34" s="1"/>
  <c r="N243" i="34" s="1"/>
  <c r="F243" i="34" a="1"/>
  <c r="F243" i="34" s="1"/>
  <c r="M243" i="34" s="1"/>
  <c r="G483" i="34" a="1"/>
  <c r="G483" i="34" s="1"/>
  <c r="N483" i="34" s="1"/>
  <c r="F483" i="34" a="1"/>
  <c r="F483" i="34" s="1"/>
  <c r="G523" i="34" a="1"/>
  <c r="G523" i="34" s="1"/>
  <c r="N523" i="34" s="1"/>
  <c r="F523" i="34" a="1"/>
  <c r="F523" i="34" s="1"/>
  <c r="K523" i="34" s="1"/>
  <c r="G203" i="34" a="1"/>
  <c r="G203" i="34" s="1"/>
  <c r="N203" i="34" s="1"/>
  <c r="F203" i="34" a="1"/>
  <c r="F203" i="34" s="1"/>
  <c r="K203" i="34" s="1"/>
  <c r="F764" i="34" a="1"/>
  <c r="F764" i="34" s="1"/>
  <c r="I764" i="34" s="1"/>
  <c r="G696" i="34" a="1"/>
  <c r="G696" i="34" s="1"/>
  <c r="N696" i="34" s="1"/>
  <c r="F696" i="34" a="1"/>
  <c r="F696" i="34" s="1"/>
  <c r="K696" i="34" s="1"/>
  <c r="G658" i="34" a="1"/>
  <c r="G658" i="34" s="1"/>
  <c r="N658" i="34" s="1"/>
  <c r="F658" i="34" a="1"/>
  <c r="F658" i="34" s="1"/>
  <c r="I658" i="34" s="1"/>
  <c r="G760" i="34" a="1"/>
  <c r="G760" i="34" s="1"/>
  <c r="N760" i="34" s="1"/>
  <c r="F760" i="34" a="1"/>
  <c r="F760" i="34" s="1"/>
  <c r="K760" i="34" s="1"/>
  <c r="G316" i="34" a="1"/>
  <c r="G316" i="34" s="1"/>
  <c r="N316" i="34" s="1"/>
  <c r="F316" i="34" a="1"/>
  <c r="F316" i="34" s="1"/>
  <c r="I316" i="34" s="1"/>
  <c r="G479" i="34" a="1"/>
  <c r="G479" i="34" s="1"/>
  <c r="N479" i="34" s="1"/>
  <c r="F479" i="34" a="1"/>
  <c r="F479" i="34" s="1"/>
  <c r="I479" i="34" s="1"/>
  <c r="G116" i="34" a="1"/>
  <c r="G116" i="34" s="1"/>
  <c r="N116" i="34" s="1"/>
  <c r="F116" i="34" a="1"/>
  <c r="F116" i="34" s="1"/>
  <c r="K116" i="34" s="1"/>
  <c r="F228" i="34" a="1"/>
  <c r="F228" i="34" s="1"/>
  <c r="M228" i="34" s="1"/>
  <c r="G70" i="34" a="1"/>
  <c r="G70" i="34" s="1"/>
  <c r="F70" i="34" a="1"/>
  <c r="F70" i="34" s="1"/>
  <c r="I70" i="34" s="1"/>
  <c r="G102" i="34" a="1"/>
  <c r="G102" i="34" s="1"/>
  <c r="N102" i="34" s="1"/>
  <c r="F102" i="34" a="1"/>
  <c r="F102" i="34" s="1"/>
  <c r="K102" i="34" s="1"/>
  <c r="G179" i="34" a="1"/>
  <c r="G179" i="34" s="1"/>
  <c r="N179" i="34" s="1"/>
  <c r="F179" i="34" a="1"/>
  <c r="F179" i="34" s="1"/>
  <c r="I179" i="34" s="1"/>
  <c r="K538" i="34"/>
  <c r="M161" i="34"/>
  <c r="F861" i="34" a="1"/>
  <c r="F861" i="34" s="1"/>
  <c r="I861" i="34" s="1"/>
  <c r="G293" i="34" a="1"/>
  <c r="G293" i="34" s="1"/>
  <c r="N293" i="34" s="1"/>
  <c r="F293" i="34" a="1"/>
  <c r="F293" i="34" s="1"/>
  <c r="G858" i="34" a="1"/>
  <c r="G858" i="34" s="1"/>
  <c r="F858" i="34" a="1"/>
  <c r="F858" i="34" s="1"/>
  <c r="K858" i="34" s="1"/>
  <c r="G589" i="34" a="1"/>
  <c r="G589" i="34" s="1"/>
  <c r="N589" i="34" s="1"/>
  <c r="F589" i="34" a="1"/>
  <c r="F589" i="34" s="1"/>
  <c r="K589" i="34" s="1"/>
  <c r="F826" i="34" a="1"/>
  <c r="F826" i="34" s="1"/>
  <c r="I826" i="34" s="1"/>
  <c r="G941" i="34" a="1"/>
  <c r="G941" i="34" s="1"/>
  <c r="N941" i="34" s="1"/>
  <c r="F941" i="34" a="1"/>
  <c r="F941" i="34" s="1"/>
  <c r="M941" i="34" s="1"/>
  <c r="F446" i="34" a="1"/>
  <c r="F446" i="34" s="1"/>
  <c r="I446" i="34" s="1"/>
  <c r="G86" i="34" a="1"/>
  <c r="G86" i="34" s="1"/>
  <c r="N86" i="34" s="1"/>
  <c r="F86" i="34" a="1"/>
  <c r="F86" i="34" s="1"/>
  <c r="I86" i="34" s="1"/>
  <c r="G326" i="34" a="1"/>
  <c r="G326" i="34" s="1"/>
  <c r="N326" i="34" s="1"/>
  <c r="F326" i="34" a="1"/>
  <c r="F326" i="34" s="1"/>
  <c r="F950" i="34" a="1"/>
  <c r="F950" i="34" s="1"/>
  <c r="H950" i="34" s="1"/>
  <c r="J950" i="34" s="1"/>
  <c r="G887" i="34" a="1"/>
  <c r="G887" i="34" s="1"/>
  <c r="F887" i="34" a="1"/>
  <c r="F887" i="34" s="1"/>
  <c r="K887" i="34" s="1"/>
  <c r="G788" i="34" a="1"/>
  <c r="G788" i="34" s="1"/>
  <c r="F788" i="34" a="1"/>
  <c r="F788" i="34" s="1"/>
  <c r="K788" i="34" s="1"/>
  <c r="G915" i="34" a="1"/>
  <c r="G915" i="34" s="1"/>
  <c r="F915" i="34" a="1"/>
  <c r="F915" i="34" s="1"/>
  <c r="M915" i="34" s="1"/>
  <c r="F932" i="34" a="1"/>
  <c r="F932" i="34" s="1"/>
  <c r="H932" i="34" s="1"/>
  <c r="J932" i="34" s="1"/>
  <c r="F964" i="34" a="1"/>
  <c r="F964" i="34" s="1"/>
  <c r="H964" i="34" s="1"/>
  <c r="J964" i="34" s="1"/>
  <c r="G459" i="34" a="1"/>
  <c r="G459" i="34" s="1"/>
  <c r="N459" i="34" s="1"/>
  <c r="F459" i="34" a="1"/>
  <c r="F459" i="34" s="1"/>
  <c r="I459" i="34" s="1"/>
  <c r="G155" i="34" a="1"/>
  <c r="G155" i="34" s="1"/>
  <c r="F155" i="34" a="1"/>
  <c r="F155" i="34" s="1"/>
  <c r="G395" i="34" a="1"/>
  <c r="G395" i="34" s="1"/>
  <c r="F395" i="34" a="1"/>
  <c r="F395" i="34" s="1"/>
  <c r="I395" i="34" s="1"/>
  <c r="G324" i="34" a="1"/>
  <c r="G324" i="34" s="1"/>
  <c r="F324" i="34" a="1"/>
  <c r="F324" i="34" s="1"/>
  <c r="K324" i="34" s="1"/>
  <c r="G212" i="34" a="1"/>
  <c r="G212" i="34" s="1"/>
  <c r="F212" i="34" a="1"/>
  <c r="F212" i="34" s="1"/>
  <c r="K212" i="34" s="1"/>
  <c r="G92" i="34" a="1"/>
  <c r="G92" i="34" s="1"/>
  <c r="N92" i="34" s="1"/>
  <c r="F92" i="34" a="1"/>
  <c r="F92" i="34" s="1"/>
  <c r="I92" i="34" s="1"/>
  <c r="G607" i="34" a="1"/>
  <c r="G607" i="34" s="1"/>
  <c r="N607" i="34" s="1"/>
  <c r="F607" i="34" a="1"/>
  <c r="F607" i="34" s="1"/>
  <c r="M607" i="34" s="1"/>
  <c r="I161" i="34"/>
  <c r="F914" i="34" a="1"/>
  <c r="F914" i="34" s="1"/>
  <c r="I914" i="34" s="1"/>
  <c r="G349" i="34" a="1"/>
  <c r="G349" i="34" s="1"/>
  <c r="N349" i="34" s="1"/>
  <c r="F349" i="34" a="1"/>
  <c r="F349" i="34" s="1"/>
  <c r="I349" i="34" s="1"/>
  <c r="G285" i="34" a="1"/>
  <c r="G285" i="34" s="1"/>
  <c r="N285" i="34" s="1"/>
  <c r="F285" i="34" a="1"/>
  <c r="F285" i="34" s="1"/>
  <c r="I285" i="34" s="1"/>
  <c r="G850" i="34" a="1"/>
  <c r="G850" i="34" s="1"/>
  <c r="N850" i="34" s="1"/>
  <c r="F850" i="34" a="1"/>
  <c r="F850" i="34" s="1"/>
  <c r="K850" i="34" s="1"/>
  <c r="F789" i="34" a="1"/>
  <c r="F789" i="34" s="1"/>
  <c r="I789" i="34" s="1"/>
  <c r="G818" i="34" a="1"/>
  <c r="G818" i="34" s="1"/>
  <c r="N818" i="34" s="1"/>
  <c r="F818" i="34" a="1"/>
  <c r="F818" i="34" s="1"/>
  <c r="K818" i="34" s="1"/>
  <c r="F781" i="34" a="1"/>
  <c r="F781" i="34" s="1"/>
  <c r="I781" i="34" s="1"/>
  <c r="F757" i="34" a="1"/>
  <c r="F757" i="34" s="1"/>
  <c r="M757" i="34" s="1"/>
  <c r="F954" i="34" a="1"/>
  <c r="F954" i="34" s="1"/>
  <c r="I954" i="34" s="1"/>
  <c r="F894" i="34" a="1"/>
  <c r="F894" i="34" s="1"/>
  <c r="H894" i="34" s="1"/>
  <c r="J894" i="34" s="1"/>
  <c r="G382" i="34" a="1"/>
  <c r="G382" i="34" s="1"/>
  <c r="F382" i="34" a="1"/>
  <c r="F382" i="34" s="1"/>
  <c r="K382" i="34" s="1"/>
  <c r="F958" i="34" a="1"/>
  <c r="F958" i="34" s="1"/>
  <c r="H958" i="34" s="1"/>
  <c r="J958" i="34" s="1"/>
  <c r="F470" i="34" a="1"/>
  <c r="F470" i="34" s="1"/>
  <c r="I470" i="34" s="1"/>
  <c r="F294" i="34" a="1"/>
  <c r="F294" i="34" s="1"/>
  <c r="K294" i="34" s="1"/>
  <c r="G822" i="34" a="1"/>
  <c r="G822" i="34" s="1"/>
  <c r="N822" i="34" s="1"/>
  <c r="F822" i="34" a="1"/>
  <c r="F822" i="34" s="1"/>
  <c r="G478" i="34" a="1"/>
  <c r="G478" i="34" s="1"/>
  <c r="N478" i="34" s="1"/>
  <c r="F478" i="34" a="1"/>
  <c r="F478" i="34" s="1"/>
  <c r="K478" i="34" s="1"/>
  <c r="F888" i="34" a="1"/>
  <c r="F888" i="34" s="1"/>
  <c r="I888" i="34" s="1"/>
  <c r="F843" i="34" a="1"/>
  <c r="F843" i="34" s="1"/>
  <c r="I843" i="34" s="1"/>
  <c r="G889" i="34" a="1"/>
  <c r="G889" i="34" s="1"/>
  <c r="N889" i="34" s="1"/>
  <c r="F889" i="34" a="1"/>
  <c r="F889" i="34" s="1"/>
  <c r="M889" i="34" s="1"/>
  <c r="G951" i="34" a="1"/>
  <c r="G951" i="34" s="1"/>
  <c r="N951" i="34" s="1"/>
  <c r="F951" i="34" a="1"/>
  <c r="F951" i="34" s="1"/>
  <c r="F904" i="34" a="1"/>
  <c r="F904" i="34" s="1"/>
  <c r="K904" i="34" s="1"/>
  <c r="G770" i="34" a="1"/>
  <c r="G770" i="34" s="1"/>
  <c r="N770" i="34" s="1"/>
  <c r="F770" i="34" a="1"/>
  <c r="F770" i="34" s="1"/>
  <c r="K770" i="34" s="1"/>
  <c r="G921" i="34" a="1"/>
  <c r="G921" i="34" s="1"/>
  <c r="N921" i="34" s="1"/>
  <c r="F921" i="34" a="1"/>
  <c r="F921" i="34" s="1"/>
  <c r="K921" i="34" s="1"/>
  <c r="G953" i="34" a="1"/>
  <c r="G953" i="34" s="1"/>
  <c r="N953" i="34" s="1"/>
  <c r="F953" i="34" a="1"/>
  <c r="F953" i="34" s="1"/>
  <c r="K953" i="34" s="1"/>
  <c r="G825" i="34" a="1"/>
  <c r="G825" i="34" s="1"/>
  <c r="N825" i="34" s="1"/>
  <c r="F825" i="34" a="1"/>
  <c r="F825" i="34" s="1"/>
  <c r="I825" i="34" s="1"/>
  <c r="F930" i="34" a="1"/>
  <c r="F930" i="34" s="1"/>
  <c r="I930" i="34" s="1"/>
  <c r="F847" i="34" a="1"/>
  <c r="F847" i="34" s="1"/>
  <c r="I847" i="34" s="1"/>
  <c r="G923" i="34" a="1"/>
  <c r="G923" i="34" s="1"/>
  <c r="N923" i="34" s="1"/>
  <c r="F923" i="34" a="1"/>
  <c r="F923" i="34" s="1"/>
  <c r="K923" i="34" s="1"/>
  <c r="F908" i="34" a="1"/>
  <c r="F908" i="34" s="1"/>
  <c r="M908" i="34" s="1"/>
  <c r="F940" i="34" a="1"/>
  <c r="F940" i="34" s="1"/>
  <c r="M940" i="34" s="1"/>
  <c r="G435" i="34" a="1"/>
  <c r="G435" i="34" s="1"/>
  <c r="N435" i="34" s="1"/>
  <c r="F435" i="34" a="1"/>
  <c r="F435" i="34" s="1"/>
  <c r="I435" i="34" s="1"/>
  <c r="F643" i="34" a="1"/>
  <c r="F643" i="34" s="1"/>
  <c r="G379" i="34" a="1"/>
  <c r="G379" i="34" s="1"/>
  <c r="N379" i="34" s="1"/>
  <c r="F379" i="34" a="1"/>
  <c r="F379" i="34" s="1"/>
  <c r="M379" i="34" s="1"/>
  <c r="F655" i="34" a="1"/>
  <c r="F655" i="34" s="1"/>
  <c r="H655" i="34" s="1"/>
  <c r="J655" i="34" s="1"/>
  <c r="F735" i="34" a="1"/>
  <c r="F735" i="34" s="1"/>
  <c r="G728" i="34" a="1"/>
  <c r="G728" i="34" s="1"/>
  <c r="F728" i="34" a="1"/>
  <c r="F728" i="34" s="1"/>
  <c r="K728" i="34" s="1"/>
  <c r="G76" i="34" a="1"/>
  <c r="G76" i="34" s="1"/>
  <c r="F76" i="34" a="1"/>
  <c r="F76" i="34" s="1"/>
  <c r="K76" i="34" s="1"/>
  <c r="G188" i="34" a="1"/>
  <c r="G188" i="34" s="1"/>
  <c r="F188" i="34" a="1"/>
  <c r="F188" i="34" s="1"/>
  <c r="K188" i="34" s="1"/>
  <c r="G28" i="34" a="1"/>
  <c r="G28" i="34" s="1"/>
  <c r="N28" i="34" s="1"/>
  <c r="F28" i="34" a="1"/>
  <c r="F28" i="34" s="1"/>
  <c r="K28" i="34" s="1"/>
  <c r="G44" i="34" a="1"/>
  <c r="G44" i="34" s="1"/>
  <c r="N44" i="34" s="1"/>
  <c r="F44" i="34" a="1"/>
  <c r="F44" i="34" s="1"/>
  <c r="I44" i="34" s="1"/>
  <c r="G148" i="34" a="1"/>
  <c r="G148" i="34" s="1"/>
  <c r="F148" i="34" a="1"/>
  <c r="F148" i="34" s="1"/>
  <c r="K148" i="34" s="1"/>
  <c r="E261" i="34"/>
  <c r="A261" i="34"/>
  <c r="G235" i="34" a="1"/>
  <c r="G235" i="34" s="1"/>
  <c r="F235" i="34" a="1"/>
  <c r="F235" i="34" s="1"/>
  <c r="K235" i="34" s="1"/>
  <c r="M538" i="34"/>
  <c r="G909" i="34" a="1"/>
  <c r="G909" i="34" s="1"/>
  <c r="F909" i="34" a="1"/>
  <c r="F909" i="34" s="1"/>
  <c r="K909" i="34" s="1"/>
  <c r="G845" i="34" a="1"/>
  <c r="G845" i="34" s="1"/>
  <c r="N845" i="34" s="1"/>
  <c r="F845" i="34" a="1"/>
  <c r="F845" i="34" s="1"/>
  <c r="G341" i="34" a="1"/>
  <c r="G341" i="34" s="1"/>
  <c r="N341" i="34" s="1"/>
  <c r="F341" i="34" a="1"/>
  <c r="F341" i="34" s="1"/>
  <c r="M341" i="34" s="1"/>
  <c r="F906" i="34" a="1"/>
  <c r="F906" i="34" s="1"/>
  <c r="I906" i="34" s="1"/>
  <c r="G842" i="34" a="1"/>
  <c r="G842" i="34" s="1"/>
  <c r="N842" i="34" s="1"/>
  <c r="F842" i="34" a="1"/>
  <c r="F842" i="34" s="1"/>
  <c r="I842" i="34" s="1"/>
  <c r="F637" i="34" a="1"/>
  <c r="F637" i="34" s="1"/>
  <c r="I637" i="34" s="1"/>
  <c r="G573" i="34" a="1"/>
  <c r="G573" i="34" s="1"/>
  <c r="N573" i="34" s="1"/>
  <c r="F573" i="34" a="1"/>
  <c r="F573" i="34" s="1"/>
  <c r="M573" i="34" s="1"/>
  <c r="G810" i="34" a="1"/>
  <c r="G810" i="34" s="1"/>
  <c r="N810" i="34" s="1"/>
  <c r="F810" i="34" a="1"/>
  <c r="F810" i="34" s="1"/>
  <c r="K810" i="34" s="1"/>
  <c r="F946" i="34" a="1"/>
  <c r="F946" i="34" s="1"/>
  <c r="I946" i="34" s="1"/>
  <c r="F598" i="34" a="1"/>
  <c r="F598" i="34" s="1"/>
  <c r="H598" i="34" s="1"/>
  <c r="J598" i="34" s="1"/>
  <c r="G462" i="34" a="1"/>
  <c r="G462" i="34" s="1"/>
  <c r="N462" i="34" s="1"/>
  <c r="F462" i="34" a="1"/>
  <c r="F462" i="34" s="1"/>
  <c r="K462" i="34" s="1"/>
  <c r="G750" i="34" a="1"/>
  <c r="G750" i="34" s="1"/>
  <c r="F750" i="34" a="1"/>
  <c r="F750" i="34" s="1"/>
  <c r="I750" i="34" s="1"/>
  <c r="F799" i="34" a="1"/>
  <c r="F799" i="34" s="1"/>
  <c r="I799" i="34" s="1"/>
  <c r="G738" i="34" a="1"/>
  <c r="G738" i="34" s="1"/>
  <c r="N738" i="34" s="1"/>
  <c r="F738" i="34" a="1"/>
  <c r="F738" i="34" s="1"/>
  <c r="I738" i="34" s="1"/>
  <c r="F919" i="34" a="1"/>
  <c r="F919" i="34" s="1"/>
  <c r="H919" i="34" s="1"/>
  <c r="J919" i="34" s="1"/>
  <c r="G211" i="34" a="1"/>
  <c r="G211" i="34" s="1"/>
  <c r="N211" i="34" s="1"/>
  <c r="F211" i="34" a="1"/>
  <c r="F211" i="34" s="1"/>
  <c r="K211" i="34" s="1"/>
  <c r="G411" i="34" a="1"/>
  <c r="G411" i="34" s="1"/>
  <c r="N411" i="34" s="1"/>
  <c r="F411" i="34" a="1"/>
  <c r="F411" i="34" s="1"/>
  <c r="G515" i="34" a="1"/>
  <c r="G515" i="34" s="1"/>
  <c r="F515" i="34" a="1"/>
  <c r="F515" i="34" s="1"/>
  <c r="K515" i="34" s="1"/>
  <c r="F635" i="34" a="1"/>
  <c r="F635" i="34" s="1"/>
  <c r="H635" i="34" s="1"/>
  <c r="J635" i="34" s="1"/>
  <c r="G323" i="34" a="1"/>
  <c r="G323" i="34" s="1"/>
  <c r="F323" i="34" a="1"/>
  <c r="F323" i="34" s="1"/>
  <c r="M323" i="34" s="1"/>
  <c r="F472" i="34" a="1"/>
  <c r="F472" i="34" s="1"/>
  <c r="I472" i="34" s="1"/>
  <c r="G632" i="34" a="1"/>
  <c r="G632" i="34" s="1"/>
  <c r="F632" i="34" a="1"/>
  <c r="F632" i="34" s="1"/>
  <c r="K632" i="34" s="1"/>
  <c r="F672" i="34" a="1"/>
  <c r="F672" i="34" s="1"/>
  <c r="H672" i="34" s="1"/>
  <c r="J672" i="34" s="1"/>
  <c r="G52" i="34" a="1"/>
  <c r="G52" i="34" s="1"/>
  <c r="N52" i="34" s="1"/>
  <c r="F52" i="34" a="1"/>
  <c r="F52" i="34" s="1"/>
  <c r="F767" i="34" a="1"/>
  <c r="F767" i="34" s="1"/>
  <c r="I767" i="34" s="1"/>
  <c r="G108" i="34" a="1"/>
  <c r="G108" i="34" s="1"/>
  <c r="F108" i="34" a="1"/>
  <c r="F108" i="34" s="1"/>
  <c r="F340" i="34" a="1"/>
  <c r="F340" i="34" s="1"/>
  <c r="H340" i="34" s="1"/>
  <c r="J340" i="34" s="1"/>
  <c r="G124" i="34" a="1"/>
  <c r="G124" i="34" s="1"/>
  <c r="F124" i="34" a="1"/>
  <c r="F124" i="34" s="1"/>
  <c r="K124" i="34" s="1"/>
  <c r="A61" i="34"/>
  <c r="A125" i="34"/>
  <c r="A54" i="34"/>
  <c r="A118" i="34"/>
  <c r="A150" i="34"/>
  <c r="A214" i="34"/>
  <c r="A246" i="34"/>
  <c r="G901" i="34" a="1"/>
  <c r="G901" i="34" s="1"/>
  <c r="N901" i="34" s="1"/>
  <c r="F901" i="34" a="1"/>
  <c r="F901" i="34" s="1"/>
  <c r="K901" i="34" s="1"/>
  <c r="F333" i="34" a="1"/>
  <c r="F333" i="34" s="1"/>
  <c r="I333" i="34" s="1"/>
  <c r="F898" i="34" a="1"/>
  <c r="F898" i="34" s="1"/>
  <c r="G834" i="34" a="1"/>
  <c r="G834" i="34" s="1"/>
  <c r="F834" i="34" a="1"/>
  <c r="F834" i="34" s="1"/>
  <c r="M834" i="34" s="1"/>
  <c r="G802" i="34" a="1"/>
  <c r="G802" i="34" s="1"/>
  <c r="F802" i="34" a="1"/>
  <c r="F802" i="34" s="1"/>
  <c r="K802" i="34" s="1"/>
  <c r="G517" i="34" a="1"/>
  <c r="G517" i="34" s="1"/>
  <c r="N517" i="34" s="1"/>
  <c r="F517" i="34" a="1"/>
  <c r="F517" i="34" s="1"/>
  <c r="K517" i="34" s="1"/>
  <c r="F938" i="34" a="1"/>
  <c r="F938" i="34" s="1"/>
  <c r="I938" i="34" s="1"/>
  <c r="G862" i="34" a="1"/>
  <c r="G862" i="34" s="1"/>
  <c r="F862" i="34" a="1"/>
  <c r="F862" i="34" s="1"/>
  <c r="K862" i="34" s="1"/>
  <c r="G310" i="34" a="1"/>
  <c r="G310" i="34" s="1"/>
  <c r="N310" i="34" s="1"/>
  <c r="F310" i="34" a="1"/>
  <c r="F310" i="34" s="1"/>
  <c r="I310" i="34" s="1"/>
  <c r="G830" i="34" a="1"/>
  <c r="G830" i="34" s="1"/>
  <c r="N830" i="34" s="1"/>
  <c r="F830" i="34" a="1"/>
  <c r="F830" i="34" s="1"/>
  <c r="K830" i="34" s="1"/>
  <c r="G566" i="34" a="1"/>
  <c r="G566" i="34" s="1"/>
  <c r="N566" i="34" s="1"/>
  <c r="F566" i="34" a="1"/>
  <c r="F566" i="34" s="1"/>
  <c r="I566" i="34" s="1"/>
  <c r="G94" i="34" a="1"/>
  <c r="G94" i="34" s="1"/>
  <c r="N94" i="34" s="1"/>
  <c r="F94" i="34" a="1"/>
  <c r="F94" i="34" s="1"/>
  <c r="K94" i="34" s="1"/>
  <c r="G895" i="34" a="1"/>
  <c r="G895" i="34" s="1"/>
  <c r="F895" i="34" a="1"/>
  <c r="F895" i="34" s="1"/>
  <c r="K895" i="34" s="1"/>
  <c r="G927" i="34" a="1"/>
  <c r="G927" i="34" s="1"/>
  <c r="N927" i="34" s="1"/>
  <c r="F927" i="34" a="1"/>
  <c r="F927" i="34" s="1"/>
  <c r="K927" i="34" s="1"/>
  <c r="F912" i="34" a="1"/>
  <c r="F912" i="34" s="1"/>
  <c r="K912" i="34" s="1"/>
  <c r="F944" i="34" a="1"/>
  <c r="F944" i="34" s="1"/>
  <c r="H944" i="34" s="1"/>
  <c r="J944" i="34" s="1"/>
  <c r="G917" i="34" a="1"/>
  <c r="G917" i="34" s="1"/>
  <c r="N917" i="34" s="1"/>
  <c r="F917" i="34" a="1"/>
  <c r="F917" i="34" s="1"/>
  <c r="I917" i="34" s="1"/>
  <c r="F916" i="34" a="1"/>
  <c r="F916" i="34" s="1"/>
  <c r="H916" i="34" s="1"/>
  <c r="J916" i="34" s="1"/>
  <c r="G139" i="34" a="1"/>
  <c r="G139" i="34" s="1"/>
  <c r="F139" i="34" a="1"/>
  <c r="F139" i="34" s="1"/>
  <c r="K139" i="34" s="1"/>
  <c r="G331" i="34" a="1"/>
  <c r="G331" i="34" s="1"/>
  <c r="F331" i="34" a="1"/>
  <c r="F331" i="34" s="1"/>
  <c r="K331" i="34" s="1"/>
  <c r="G195" i="34" a="1"/>
  <c r="G195" i="34" s="1"/>
  <c r="N195" i="34" s="1"/>
  <c r="F195" i="34" a="1"/>
  <c r="F195" i="34" s="1"/>
  <c r="K195" i="34" s="1"/>
  <c r="F307" i="34" a="1"/>
  <c r="F307" i="34" s="1"/>
  <c r="H307" i="34" s="1"/>
  <c r="J307" i="34" s="1"/>
  <c r="F737" i="34" a="1"/>
  <c r="F737" i="34" s="1"/>
  <c r="I737" i="34" s="1"/>
  <c r="G601" i="34" a="1"/>
  <c r="G601" i="34" s="1"/>
  <c r="F601" i="34" a="1"/>
  <c r="F601" i="34" s="1"/>
  <c r="I601" i="34" s="1"/>
  <c r="G883" i="34" a="1"/>
  <c r="G883" i="34" s="1"/>
  <c r="F883" i="34" a="1"/>
  <c r="F883" i="34" s="1"/>
  <c r="K883" i="34" s="1"/>
  <c r="G308" i="34" a="1"/>
  <c r="G308" i="34" s="1"/>
  <c r="N308" i="34" s="1"/>
  <c r="F308" i="34" a="1"/>
  <c r="F308" i="34" s="1"/>
  <c r="I308" i="34" s="1"/>
  <c r="E62" i="34"/>
  <c r="A62" i="34"/>
  <c r="A126" i="34"/>
  <c r="E126" i="34"/>
  <c r="A190" i="34"/>
  <c r="E190" i="34"/>
  <c r="F890" i="34" a="1"/>
  <c r="F890" i="34" s="1"/>
  <c r="K890" i="34" s="1"/>
  <c r="G557" i="34" a="1"/>
  <c r="G557" i="34" s="1"/>
  <c r="N557" i="34" s="1"/>
  <c r="F557" i="34" a="1"/>
  <c r="F557" i="34" s="1"/>
  <c r="K557" i="34" s="1"/>
  <c r="F794" i="34" a="1"/>
  <c r="F794" i="34" s="1"/>
  <c r="I794" i="34" s="1"/>
  <c r="G509" i="34" a="1"/>
  <c r="G509" i="34" s="1"/>
  <c r="N509" i="34" s="1"/>
  <c r="F509" i="34" a="1"/>
  <c r="F509" i="34" s="1"/>
  <c r="G933" i="34" a="1"/>
  <c r="G933" i="34" s="1"/>
  <c r="F933" i="34" a="1"/>
  <c r="F933" i="34" s="1"/>
  <c r="K933" i="34" s="1"/>
  <c r="G278" i="34" a="1"/>
  <c r="G278" i="34" s="1"/>
  <c r="N278" i="34" s="1"/>
  <c r="F278" i="34" a="1"/>
  <c r="F278" i="34" s="1"/>
  <c r="I278" i="34" s="1"/>
  <c r="G494" i="34" a="1"/>
  <c r="G494" i="34" s="1"/>
  <c r="N494" i="34" s="1"/>
  <c r="F494" i="34" a="1"/>
  <c r="F494" i="34" s="1"/>
  <c r="K494" i="34" s="1"/>
  <c r="G30" i="34" a="1"/>
  <c r="G30" i="34" s="1"/>
  <c r="F30" i="34" a="1"/>
  <c r="F30" i="34" s="1"/>
  <c r="K30" i="34" s="1"/>
  <c r="F777" i="34" a="1"/>
  <c r="F777" i="34" s="1"/>
  <c r="I777" i="34" s="1"/>
  <c r="G820" i="34" a="1"/>
  <c r="G820" i="34" s="1"/>
  <c r="N820" i="34" s="1"/>
  <c r="F820" i="34" a="1"/>
  <c r="F820" i="34" s="1"/>
  <c r="K820" i="34" s="1"/>
  <c r="G929" i="34" a="1"/>
  <c r="G929" i="34" s="1"/>
  <c r="F929" i="34" a="1"/>
  <c r="F929" i="34" s="1"/>
  <c r="K929" i="34" s="1"/>
  <c r="F852" i="34" a="1"/>
  <c r="F852" i="34" s="1"/>
  <c r="I852" i="34" s="1"/>
  <c r="G899" i="34" a="1"/>
  <c r="G899" i="34" s="1"/>
  <c r="N899" i="34" s="1"/>
  <c r="F899" i="34" a="1"/>
  <c r="F899" i="34" s="1"/>
  <c r="I899" i="34" s="1"/>
  <c r="G931" i="34" a="1"/>
  <c r="G931" i="34" s="1"/>
  <c r="N931" i="34" s="1"/>
  <c r="F931" i="34" a="1"/>
  <c r="F931" i="34" s="1"/>
  <c r="K931" i="34" s="1"/>
  <c r="G963" i="34" a="1"/>
  <c r="G963" i="34" s="1"/>
  <c r="F963" i="34" a="1"/>
  <c r="F963" i="34" s="1"/>
  <c r="K963" i="34" s="1"/>
  <c r="G579" i="34" a="1"/>
  <c r="G579" i="34" s="1"/>
  <c r="F579" i="34" a="1"/>
  <c r="F579" i="34" s="1"/>
  <c r="I579" i="34" s="1"/>
  <c r="G163" i="34" a="1"/>
  <c r="G163" i="34" s="1"/>
  <c r="F163" i="34" a="1"/>
  <c r="F163" i="34" s="1"/>
  <c r="I163" i="34" s="1"/>
  <c r="G147" i="34" a="1"/>
  <c r="G147" i="34" s="1"/>
  <c r="N147" i="34" s="1"/>
  <c r="F147" i="34" a="1"/>
  <c r="F147" i="34" s="1"/>
  <c r="K147" i="34" s="1"/>
  <c r="F804" i="34" a="1"/>
  <c r="F804" i="34" s="1"/>
  <c r="I804" i="34" s="1"/>
  <c r="G457" i="34" a="1"/>
  <c r="G457" i="34" s="1"/>
  <c r="F457" i="34" a="1"/>
  <c r="F457" i="34" s="1"/>
  <c r="K457" i="34" s="1"/>
  <c r="G897" i="34" a="1"/>
  <c r="G897" i="34" s="1"/>
  <c r="F897" i="34" a="1"/>
  <c r="F897" i="34" s="1"/>
  <c r="I897" i="34" s="1"/>
  <c r="F703" i="34" a="1"/>
  <c r="F703" i="34" s="1"/>
  <c r="H703" i="34" s="1"/>
  <c r="J703" i="34" s="1"/>
  <c r="A29" i="34"/>
  <c r="A93" i="34"/>
  <c r="A189" i="34"/>
  <c r="G885" i="34" a="1"/>
  <c r="G885" i="34" s="1"/>
  <c r="N885" i="34" s="1"/>
  <c r="F885" i="34" a="1"/>
  <c r="F885" i="34" s="1"/>
  <c r="I885" i="34" s="1"/>
  <c r="F317" i="34" a="1"/>
  <c r="F317" i="34" s="1"/>
  <c r="I317" i="34" s="1"/>
  <c r="G613" i="34" a="1"/>
  <c r="G613" i="34" s="1"/>
  <c r="N613" i="34" s="1"/>
  <c r="F613" i="34" a="1"/>
  <c r="F613" i="34" s="1"/>
  <c r="F549" i="34" a="1"/>
  <c r="F549" i="34" s="1"/>
  <c r="K549" i="34" s="1"/>
  <c r="F965" i="34" a="1"/>
  <c r="F965" i="34" s="1"/>
  <c r="I965" i="34" s="1"/>
  <c r="G501" i="34" a="1"/>
  <c r="G501" i="34" s="1"/>
  <c r="N501" i="34" s="1"/>
  <c r="F501" i="34" a="1"/>
  <c r="F501" i="34" s="1"/>
  <c r="K501" i="34" s="1"/>
  <c r="G318" i="34" a="1"/>
  <c r="G318" i="34" s="1"/>
  <c r="F318" i="34" a="1"/>
  <c r="F318" i="34" s="1"/>
  <c r="K318" i="34" s="1"/>
  <c r="G886" i="34" a="1"/>
  <c r="G886" i="34" s="1"/>
  <c r="N886" i="34" s="1"/>
  <c r="F886" i="34" a="1"/>
  <c r="F886" i="34" s="1"/>
  <c r="K886" i="34" s="1"/>
  <c r="F542" i="34" a="1"/>
  <c r="F542" i="34" s="1"/>
  <c r="I542" i="34" s="1"/>
  <c r="F871" i="34" a="1"/>
  <c r="F871" i="34" s="1"/>
  <c r="I871" i="34" s="1"/>
  <c r="F920" i="34" a="1"/>
  <c r="F920" i="34" s="1"/>
  <c r="I920" i="34" s="1"/>
  <c r="F761" i="34" a="1"/>
  <c r="F761" i="34" s="1"/>
  <c r="K761" i="34" s="1"/>
  <c r="G905" i="34" a="1"/>
  <c r="G905" i="34" s="1"/>
  <c r="N905" i="34" s="1"/>
  <c r="F905" i="34" a="1"/>
  <c r="F905" i="34" s="1"/>
  <c r="M905" i="34" s="1"/>
  <c r="G937" i="34" a="1"/>
  <c r="G937" i="34" s="1"/>
  <c r="N937" i="34" s="1"/>
  <c r="F937" i="34" a="1"/>
  <c r="F937" i="34" s="1"/>
  <c r="I937" i="34" s="1"/>
  <c r="G706" i="34" a="1"/>
  <c r="G706" i="34" s="1"/>
  <c r="N706" i="34" s="1"/>
  <c r="F706" i="34" a="1"/>
  <c r="F706" i="34" s="1"/>
  <c r="K706" i="34" s="1"/>
  <c r="G907" i="34" a="1"/>
  <c r="G907" i="34" s="1"/>
  <c r="N907" i="34" s="1"/>
  <c r="F907" i="34" a="1"/>
  <c r="F907" i="34" s="1"/>
  <c r="K907" i="34" s="1"/>
  <c r="F956" i="34" a="1"/>
  <c r="F956" i="34" s="1"/>
  <c r="M956" i="34" s="1"/>
  <c r="F627" i="34" a="1"/>
  <c r="F627" i="34" s="1"/>
  <c r="M627" i="34" s="1"/>
  <c r="G219" i="34" a="1"/>
  <c r="G219" i="34" s="1"/>
  <c r="N219" i="34" s="1"/>
  <c r="F219" i="34" a="1"/>
  <c r="F219" i="34" s="1"/>
  <c r="K219" i="34" s="1"/>
  <c r="G283" i="34" a="1"/>
  <c r="G283" i="34" s="1"/>
  <c r="N283" i="34" s="1"/>
  <c r="F283" i="34" a="1"/>
  <c r="F283" i="34" s="1"/>
  <c r="M283" i="34" s="1"/>
  <c r="G115" i="34" a="1"/>
  <c r="G115" i="34" s="1"/>
  <c r="N115" i="34" s="1"/>
  <c r="F115" i="34" a="1"/>
  <c r="F115" i="34" s="1"/>
  <c r="M115" i="34" s="1"/>
  <c r="G800" i="34" a="1"/>
  <c r="G800" i="34" s="1"/>
  <c r="N800" i="34" s="1"/>
  <c r="F800" i="34" a="1"/>
  <c r="F800" i="34" s="1"/>
  <c r="M800" i="34" s="1"/>
  <c r="F892" i="34" a="1"/>
  <c r="F892" i="34" s="1"/>
  <c r="I892" i="34" s="1"/>
  <c r="E229" i="34"/>
  <c r="A229" i="34"/>
  <c r="E166" i="34"/>
  <c r="A166" i="34"/>
  <c r="G809" i="34" a="1"/>
  <c r="G809" i="34" s="1"/>
  <c r="N809" i="34" s="1"/>
  <c r="H165" i="34"/>
  <c r="J165" i="34" s="1"/>
  <c r="G637" i="34" a="1"/>
  <c r="G637" i="34" s="1"/>
  <c r="N637" i="34" s="1"/>
  <c r="N418" i="34"/>
  <c r="I228" i="34"/>
  <c r="M564" i="34"/>
  <c r="I682" i="34"/>
  <c r="G547" i="34" a="1"/>
  <c r="G547" i="34" s="1"/>
  <c r="G855" i="34" a="1"/>
  <c r="G855" i="34" s="1"/>
  <c r="N855" i="34" s="1"/>
  <c r="H714" i="34"/>
  <c r="J714" i="34" s="1"/>
  <c r="I618" i="34"/>
  <c r="H536" i="34"/>
  <c r="J536" i="34" s="1"/>
  <c r="G952" i="34" a="1"/>
  <c r="G952" i="34" s="1"/>
  <c r="H952" i="34" s="1"/>
  <c r="J952" i="34" s="1"/>
  <c r="G764" i="34" a="1"/>
  <c r="G764" i="34" s="1"/>
  <c r="N764" i="34" s="1"/>
  <c r="G446" i="34" a="1"/>
  <c r="G446" i="34" s="1"/>
  <c r="N446" i="34" s="1"/>
  <c r="G954" i="34" a="1"/>
  <c r="G954" i="34" s="1"/>
  <c r="N954" i="34" s="1"/>
  <c r="G906" i="34" a="1"/>
  <c r="G906" i="34" s="1"/>
  <c r="N906" i="34" s="1"/>
  <c r="K441" i="34"/>
  <c r="G757" i="34" a="1"/>
  <c r="G757" i="34" s="1"/>
  <c r="N757" i="34" s="1"/>
  <c r="M851" i="34"/>
  <c r="K468" i="34"/>
  <c r="G851" i="34" a="1"/>
  <c r="G851" i="34" s="1"/>
  <c r="G781" i="34" a="1"/>
  <c r="G781" i="34" s="1"/>
  <c r="K498" i="34"/>
  <c r="G627" i="34" a="1"/>
  <c r="G627" i="34" s="1"/>
  <c r="H409" i="34"/>
  <c r="J409" i="34" s="1"/>
  <c r="G879" i="34" a="1"/>
  <c r="G879" i="34" s="1"/>
  <c r="H879" i="34" s="1"/>
  <c r="J879" i="34" s="1"/>
  <c r="H561" i="34"/>
  <c r="J561" i="34" s="1"/>
  <c r="G935" i="34" a="1"/>
  <c r="G935" i="34" s="1"/>
  <c r="H935" i="34" s="1"/>
  <c r="J935" i="34" s="1"/>
  <c r="N693" i="34"/>
  <c r="H321" i="34"/>
  <c r="J321" i="34" s="1"/>
  <c r="H305" i="34"/>
  <c r="J305" i="34" s="1"/>
  <c r="K762" i="34"/>
  <c r="G638" i="34" a="1"/>
  <c r="G638" i="34" s="1"/>
  <c r="H638" i="34" s="1"/>
  <c r="J638" i="34" s="1"/>
  <c r="G920" i="34" a="1"/>
  <c r="G920" i="34" s="1"/>
  <c r="G924" i="34" a="1"/>
  <c r="G924" i="34" s="1"/>
  <c r="N924" i="34" s="1"/>
  <c r="N543" i="34"/>
  <c r="G539" i="34" a="1"/>
  <c r="G539" i="34" s="1"/>
  <c r="N539" i="34" s="1"/>
  <c r="K913" i="34"/>
  <c r="G131" i="34" a="1"/>
  <c r="G131" i="34" s="1"/>
  <c r="H131" i="34" s="1"/>
  <c r="J131" i="34" s="1"/>
  <c r="G686" i="34" a="1"/>
  <c r="G686" i="34" s="1"/>
  <c r="H772" i="34"/>
  <c r="J772" i="34" s="1"/>
  <c r="H730" i="34"/>
  <c r="J730" i="34" s="1"/>
  <c r="G614" i="34" a="1"/>
  <c r="G614" i="34" s="1"/>
  <c r="H614" i="34" s="1"/>
  <c r="J614" i="34" s="1"/>
  <c r="G956" i="34" a="1"/>
  <c r="G956" i="34" s="1"/>
  <c r="K176" i="34"/>
  <c r="H344" i="34"/>
  <c r="J344" i="34" s="1"/>
  <c r="K239" i="34"/>
  <c r="N233" i="34"/>
  <c r="M239" i="34"/>
  <c r="G470" i="34" a="1"/>
  <c r="G470" i="34" s="1"/>
  <c r="G549" i="34" a="1"/>
  <c r="G549" i="34" s="1"/>
  <c r="K231" i="34"/>
  <c r="H173" i="34"/>
  <c r="J173" i="34" s="1"/>
  <c r="G653" i="34" a="1"/>
  <c r="G653" i="34" s="1"/>
  <c r="N653" i="34" s="1"/>
  <c r="G882" i="34" a="1"/>
  <c r="G882" i="34" s="1"/>
  <c r="N882" i="34" s="1"/>
  <c r="N340" i="34"/>
  <c r="G843" i="34" a="1"/>
  <c r="G843" i="34" s="1"/>
  <c r="I239" i="34"/>
  <c r="G930" i="34" a="1"/>
  <c r="G930" i="34" s="1"/>
  <c r="N930" i="34" s="1"/>
  <c r="G821" i="34" a="1"/>
  <c r="G821" i="34" s="1"/>
  <c r="H821" i="34" s="1"/>
  <c r="J821" i="34" s="1"/>
  <c r="G847" i="34" a="1"/>
  <c r="G847" i="34" s="1"/>
  <c r="M288" i="34"/>
  <c r="G908" i="34" a="1"/>
  <c r="G908" i="34" s="1"/>
  <c r="N908" i="34" s="1"/>
  <c r="H141" i="34"/>
  <c r="J141" i="34" s="1"/>
  <c r="N673" i="34"/>
  <c r="H689" i="34"/>
  <c r="J689" i="34" s="1"/>
  <c r="G301" i="34" a="1"/>
  <c r="G301" i="34" s="1"/>
  <c r="H313" i="34"/>
  <c r="J313" i="34" s="1"/>
  <c r="G888" i="34" a="1"/>
  <c r="G888" i="34" s="1"/>
  <c r="H253" i="34"/>
  <c r="J253" i="34" s="1"/>
  <c r="N958" i="34"/>
  <c r="G794" i="34" a="1"/>
  <c r="G794" i="34" s="1"/>
  <c r="G789" i="34" a="1"/>
  <c r="G789" i="34" s="1"/>
  <c r="G526" i="34" a="1"/>
  <c r="G526" i="34" s="1"/>
  <c r="H151" i="34"/>
  <c r="J151" i="34" s="1"/>
  <c r="G542" i="34" a="1"/>
  <c r="G542" i="34" s="1"/>
  <c r="N542" i="34" s="1"/>
  <c r="H159" i="34"/>
  <c r="J159" i="34" s="1"/>
  <c r="N655" i="34"/>
  <c r="G78" i="34" a="1"/>
  <c r="G78" i="34" s="1"/>
  <c r="G694" i="34" a="1"/>
  <c r="G694" i="34" s="1"/>
  <c r="K217" i="34"/>
  <c r="G962" i="34" a="1"/>
  <c r="G962" i="34" s="1"/>
  <c r="H962" i="34" s="1"/>
  <c r="J962" i="34" s="1"/>
  <c r="G853" i="34" a="1"/>
  <c r="G853" i="34" s="1"/>
  <c r="H853" i="34" s="1"/>
  <c r="J853" i="34" s="1"/>
  <c r="K692" i="34"/>
  <c r="G914" i="34" a="1"/>
  <c r="G914" i="34" s="1"/>
  <c r="N633" i="34"/>
  <c r="K490" i="34"/>
  <c r="N689" i="34"/>
  <c r="G826" i="34" a="1"/>
  <c r="G826" i="34" s="1"/>
  <c r="H432" i="34"/>
  <c r="J432" i="34" s="1"/>
  <c r="H514" i="34"/>
  <c r="J514" i="34" s="1"/>
  <c r="K586" i="34"/>
  <c r="I487" i="34"/>
  <c r="H401" i="34"/>
  <c r="J401" i="34" s="1"/>
  <c r="H623" i="34"/>
  <c r="J623" i="34" s="1"/>
  <c r="G741" i="34" a="1"/>
  <c r="G741" i="34" s="1"/>
  <c r="H64" i="34"/>
  <c r="J64" i="34" s="1"/>
  <c r="K623" i="34"/>
  <c r="M623" i="34"/>
  <c r="H487" i="34"/>
  <c r="J487" i="34" s="1"/>
  <c r="K487" i="34"/>
  <c r="G477" i="34" a="1"/>
  <c r="G477" i="34" s="1"/>
  <c r="H808" i="34"/>
  <c r="J808" i="34" s="1"/>
  <c r="K539" i="34"/>
  <c r="H527" i="34"/>
  <c r="J527" i="34" s="1"/>
  <c r="H488" i="34"/>
  <c r="J488" i="34" s="1"/>
  <c r="H272" i="34"/>
  <c r="J272" i="34" s="1"/>
  <c r="H661" i="34"/>
  <c r="J661" i="34" s="1"/>
  <c r="N747" i="34"/>
  <c r="N466" i="34"/>
  <c r="H168" i="34"/>
  <c r="J168" i="34" s="1"/>
  <c r="K718" i="34"/>
  <c r="H955" i="34"/>
  <c r="J955" i="34" s="1"/>
  <c r="H628" i="34"/>
  <c r="J628" i="34" s="1"/>
  <c r="H474" i="34"/>
  <c r="J474" i="34" s="1"/>
  <c r="K656" i="34"/>
  <c r="K780" i="34"/>
  <c r="H296" i="34"/>
  <c r="J296" i="34" s="1"/>
  <c r="K955" i="34"/>
  <c r="K423" i="34"/>
  <c r="H602" i="34"/>
  <c r="J602" i="34" s="1"/>
  <c r="H237" i="34"/>
  <c r="J237" i="34" s="1"/>
  <c r="I605" i="34"/>
  <c r="M605" i="34"/>
  <c r="I449" i="34"/>
  <c r="M449" i="34"/>
  <c r="I512" i="34"/>
  <c r="I480" i="34"/>
  <c r="M480" i="34"/>
  <c r="I444" i="34"/>
  <c r="M444" i="34"/>
  <c r="I415" i="34"/>
  <c r="M415" i="34"/>
  <c r="I280" i="34"/>
  <c r="M280" i="34"/>
  <c r="I291" i="34"/>
  <c r="M291" i="34"/>
  <c r="I252" i="34"/>
  <c r="M252" i="34"/>
  <c r="I181" i="34"/>
  <c r="M181" i="34"/>
  <c r="I95" i="34"/>
  <c r="M95" i="34"/>
  <c r="I140" i="34"/>
  <c r="M140" i="34"/>
  <c r="I197" i="34"/>
  <c r="M197" i="34"/>
  <c r="I27" i="34"/>
  <c r="M27" i="34"/>
  <c r="I193" i="34"/>
  <c r="M193" i="34"/>
  <c r="I91" i="34"/>
  <c r="M91" i="34"/>
  <c r="I153" i="34"/>
  <c r="M153" i="34"/>
  <c r="I798" i="34"/>
  <c r="M798" i="34"/>
  <c r="I634" i="34"/>
  <c r="M634" i="34"/>
  <c r="I698" i="34"/>
  <c r="M698" i="34"/>
  <c r="I765" i="34"/>
  <c r="M765" i="34"/>
  <c r="I714" i="34"/>
  <c r="M714" i="34"/>
  <c r="I671" i="34"/>
  <c r="M671" i="34"/>
  <c r="I545" i="34"/>
  <c r="M545" i="34"/>
  <c r="I519" i="34"/>
  <c r="M519" i="34"/>
  <c r="I362" i="34"/>
  <c r="M362" i="34"/>
  <c r="I784" i="34"/>
  <c r="M784" i="34"/>
  <c r="I476" i="34"/>
  <c r="M476" i="34"/>
  <c r="I272" i="34"/>
  <c r="M272" i="34"/>
  <c r="I167" i="34"/>
  <c r="M167" i="34"/>
  <c r="I276" i="34"/>
  <c r="M276" i="34"/>
  <c r="I136" i="34"/>
  <c r="M136" i="34"/>
  <c r="I329" i="34"/>
  <c r="M329" i="34"/>
  <c r="I692" i="34"/>
  <c r="M692" i="34"/>
  <c r="I401" i="34"/>
  <c r="M401" i="34"/>
  <c r="I176" i="34"/>
  <c r="M176" i="34"/>
  <c r="I82" i="34"/>
  <c r="M82" i="34"/>
  <c r="I780" i="34"/>
  <c r="M780" i="34"/>
  <c r="I647" i="34"/>
  <c r="M647" i="34"/>
  <c r="I321" i="34"/>
  <c r="M321" i="34"/>
  <c r="I488" i="34"/>
  <c r="M488" i="34"/>
  <c r="I718" i="34"/>
  <c r="M718" i="34"/>
  <c r="I539" i="34"/>
  <c r="M539" i="34"/>
  <c r="I808" i="34"/>
  <c r="M808" i="34"/>
  <c r="I867" i="34"/>
  <c r="M867" i="34"/>
  <c r="I625" i="34"/>
  <c r="M625" i="34"/>
  <c r="I593" i="34"/>
  <c r="M593" i="34"/>
  <c r="I603" i="34"/>
  <c r="M603" i="34"/>
  <c r="I537" i="34"/>
  <c r="M537" i="34"/>
  <c r="I562" i="34"/>
  <c r="M562" i="34"/>
  <c r="I548" i="34"/>
  <c r="M548" i="34"/>
  <c r="I497" i="34"/>
  <c r="M497" i="34"/>
  <c r="I339" i="34"/>
  <c r="M339" i="34"/>
  <c r="I388" i="34"/>
  <c r="M388" i="34"/>
  <c r="I450" i="34"/>
  <c r="M450" i="34"/>
  <c r="I368" i="34"/>
  <c r="M368" i="34"/>
  <c r="I268" i="34"/>
  <c r="M268" i="34"/>
  <c r="I262" i="34"/>
  <c r="M262" i="34"/>
  <c r="I113" i="34"/>
  <c r="M113" i="34"/>
  <c r="I17" i="34"/>
  <c r="M17" i="34"/>
  <c r="I131" i="34"/>
  <c r="M131" i="34"/>
  <c r="I63" i="34"/>
  <c r="M63" i="34"/>
  <c r="I117" i="34"/>
  <c r="M117" i="34"/>
  <c r="I119" i="34"/>
  <c r="M119" i="34"/>
  <c r="I168" i="34"/>
  <c r="I89" i="34"/>
  <c r="M89" i="34"/>
  <c r="I25" i="34"/>
  <c r="M25" i="34"/>
  <c r="I175" i="34"/>
  <c r="M175" i="34"/>
  <c r="I853" i="34"/>
  <c r="M853" i="34"/>
  <c r="I755" i="34"/>
  <c r="M755" i="34"/>
  <c r="I918" i="34"/>
  <c r="M918" i="34"/>
  <c r="I425" i="34"/>
  <c r="M425" i="34"/>
  <c r="I347" i="34"/>
  <c r="M347" i="34"/>
  <c r="I578" i="34"/>
  <c r="M578" i="34"/>
  <c r="I616" i="34"/>
  <c r="M616" i="34"/>
  <c r="I527" i="34"/>
  <c r="M527" i="34"/>
  <c r="I237" i="34"/>
  <c r="M237" i="34"/>
  <c r="I152" i="34"/>
  <c r="M152" i="34"/>
  <c r="I295" i="34"/>
  <c r="M295" i="34"/>
  <c r="I279" i="34"/>
  <c r="M279" i="34"/>
  <c r="I514" i="34"/>
  <c r="M514" i="34"/>
  <c r="I315" i="34"/>
  <c r="M315" i="34"/>
  <c r="I260" i="34"/>
  <c r="M260" i="34"/>
  <c r="I241" i="34"/>
  <c r="M241" i="34"/>
  <c r="I837" i="34"/>
  <c r="M837" i="34"/>
  <c r="I468" i="34"/>
  <c r="M468" i="34"/>
  <c r="I409" i="34"/>
  <c r="M409" i="34"/>
  <c r="I80" i="34"/>
  <c r="M80" i="34"/>
  <c r="I359" i="34"/>
  <c r="M359" i="34"/>
  <c r="I803" i="34"/>
  <c r="M803" i="34"/>
  <c r="I668" i="34"/>
  <c r="M668" i="34"/>
  <c r="I8" i="34"/>
  <c r="M8" i="34"/>
  <c r="I924" i="34"/>
  <c r="M924" i="34"/>
  <c r="I615" i="34"/>
  <c r="M615" i="34"/>
  <c r="I445" i="34"/>
  <c r="M445" i="34"/>
  <c r="I508" i="34"/>
  <c r="M508" i="34"/>
  <c r="I381" i="34"/>
  <c r="M381" i="34"/>
  <c r="I385" i="34"/>
  <c r="M385" i="34"/>
  <c r="I19" i="34"/>
  <c r="M19" i="34"/>
  <c r="I59" i="34"/>
  <c r="M59" i="34"/>
  <c r="I123" i="34"/>
  <c r="M123" i="34"/>
  <c r="I75" i="34"/>
  <c r="M75" i="34"/>
  <c r="I145" i="34"/>
  <c r="M145" i="34"/>
  <c r="I948" i="34"/>
  <c r="M948" i="34"/>
  <c r="I928" i="34"/>
  <c r="M928" i="34"/>
  <c r="I821" i="34"/>
  <c r="M821" i="34"/>
  <c r="I667" i="34"/>
  <c r="M667" i="34"/>
  <c r="I640" i="34"/>
  <c r="M640" i="34"/>
  <c r="I563" i="34"/>
  <c r="M563" i="34"/>
  <c r="I32" i="34"/>
  <c r="M32" i="34"/>
  <c r="I128" i="34"/>
  <c r="M128" i="34"/>
  <c r="I348" i="34"/>
  <c r="M348" i="34"/>
  <c r="I196" i="34"/>
  <c r="M196" i="34"/>
  <c r="I141" i="34"/>
  <c r="M141" i="34"/>
  <c r="M648" i="34"/>
  <c r="I173" i="34"/>
  <c r="M173" i="34"/>
  <c r="I961" i="34"/>
  <c r="M961" i="34"/>
  <c r="I935" i="34"/>
  <c r="M935" i="34"/>
  <c r="I521" i="34"/>
  <c r="M521" i="34"/>
  <c r="I407" i="34"/>
  <c r="M407" i="34"/>
  <c r="I490" i="34"/>
  <c r="M490" i="34"/>
  <c r="I64" i="34"/>
  <c r="M64" i="34"/>
  <c r="I217" i="34"/>
  <c r="M217" i="34"/>
  <c r="I586" i="34"/>
  <c r="M586" i="34"/>
  <c r="I875" i="34"/>
  <c r="M875" i="34"/>
  <c r="I546" i="34"/>
  <c r="M546" i="34"/>
  <c r="I314" i="34"/>
  <c r="M314" i="34"/>
  <c r="I157" i="34"/>
  <c r="M157" i="34"/>
  <c r="I801" i="34"/>
  <c r="M801" i="34"/>
  <c r="I624" i="34"/>
  <c r="M624" i="34"/>
  <c r="I571" i="34"/>
  <c r="M571" i="34"/>
  <c r="I620" i="34"/>
  <c r="M620" i="34"/>
  <c r="I554" i="34"/>
  <c r="M554" i="34"/>
  <c r="I503" i="34"/>
  <c r="M503" i="34"/>
  <c r="I408" i="34"/>
  <c r="M408" i="34"/>
  <c r="I428" i="34"/>
  <c r="M428" i="34"/>
  <c r="I464" i="34"/>
  <c r="M464" i="34"/>
  <c r="I399" i="34"/>
  <c r="M399" i="34"/>
  <c r="I364" i="34"/>
  <c r="M364" i="34"/>
  <c r="I369" i="34"/>
  <c r="M369" i="34"/>
  <c r="I356" i="34"/>
  <c r="M356" i="34"/>
  <c r="I264" i="34"/>
  <c r="M264" i="34"/>
  <c r="I160" i="34"/>
  <c r="M160" i="34"/>
  <c r="I65" i="34"/>
  <c r="M65" i="34"/>
  <c r="I47" i="34"/>
  <c r="M47" i="34"/>
  <c r="I23" i="34"/>
  <c r="M23" i="34"/>
  <c r="I101" i="34"/>
  <c r="M101" i="34"/>
  <c r="I11" i="34"/>
  <c r="M11" i="34"/>
  <c r="I137" i="34"/>
  <c r="M137" i="34"/>
  <c r="I73" i="34"/>
  <c r="M73" i="34"/>
  <c r="I9" i="34"/>
  <c r="M9" i="34"/>
  <c r="I959" i="34"/>
  <c r="M959" i="34"/>
  <c r="I833" i="34"/>
  <c r="M833" i="34"/>
  <c r="I849" i="34"/>
  <c r="M849" i="34"/>
  <c r="I896" i="34"/>
  <c r="M896" i="34"/>
  <c r="M813" i="34"/>
  <c r="I813" i="34"/>
  <c r="I473" i="34"/>
  <c r="M473" i="34"/>
  <c r="I505" i="34"/>
  <c r="M505" i="34"/>
  <c r="I499" i="34"/>
  <c r="M499" i="34"/>
  <c r="I880" i="34"/>
  <c r="M880" i="34"/>
  <c r="I584" i="34"/>
  <c r="M584" i="34"/>
  <c r="I553" i="34"/>
  <c r="M553" i="34"/>
  <c r="I708" i="34"/>
  <c r="M708" i="34"/>
  <c r="I253" i="34"/>
  <c r="M253" i="34"/>
  <c r="I398" i="34"/>
  <c r="M398" i="34"/>
  <c r="I120" i="34"/>
  <c r="M120" i="34"/>
  <c r="I265" i="34"/>
  <c r="M265" i="34"/>
  <c r="I254" i="34"/>
  <c r="M254" i="34"/>
  <c r="I506" i="34"/>
  <c r="M506" i="34"/>
  <c r="I251" i="34"/>
  <c r="M251" i="34"/>
  <c r="H841" i="34"/>
  <c r="J841" i="34" s="1"/>
  <c r="I656" i="34"/>
  <c r="M656" i="34"/>
  <c r="I474" i="34"/>
  <c r="M474" i="34"/>
  <c r="I257" i="34"/>
  <c r="M257" i="34"/>
  <c r="I184" i="34"/>
  <c r="M184" i="34"/>
  <c r="I762" i="34"/>
  <c r="M762" i="34"/>
  <c r="I689" i="34"/>
  <c r="M689" i="34"/>
  <c r="I722" i="34"/>
  <c r="M722" i="34"/>
  <c r="I90" i="34"/>
  <c r="M90" i="34"/>
  <c r="I498" i="34"/>
  <c r="M498" i="34"/>
  <c r="I641" i="34"/>
  <c r="M641" i="34"/>
  <c r="I378" i="34"/>
  <c r="M378" i="34"/>
  <c r="I772" i="34"/>
  <c r="M772" i="34"/>
  <c r="I809" i="34"/>
  <c r="M809" i="34"/>
  <c r="I533" i="34"/>
  <c r="M533" i="34"/>
  <c r="I481" i="34"/>
  <c r="M481" i="34"/>
  <c r="I419" i="34"/>
  <c r="M419" i="34"/>
  <c r="I79" i="34"/>
  <c r="M79" i="34"/>
  <c r="I926" i="34"/>
  <c r="M926" i="34"/>
  <c r="I629" i="34"/>
  <c r="M629" i="34"/>
  <c r="I604" i="34"/>
  <c r="M604" i="34"/>
  <c r="I570" i="34"/>
  <c r="M570" i="34"/>
  <c r="I556" i="34"/>
  <c r="I513" i="34"/>
  <c r="M513" i="34"/>
  <c r="I436" i="34"/>
  <c r="M436" i="34"/>
  <c r="I377" i="34"/>
  <c r="M377" i="34"/>
  <c r="I424" i="34"/>
  <c r="M424" i="34"/>
  <c r="I380" i="34"/>
  <c r="M380" i="34"/>
  <c r="I336" i="34"/>
  <c r="M336" i="34"/>
  <c r="I361" i="34"/>
  <c r="M361" i="34"/>
  <c r="I271" i="34"/>
  <c r="M271" i="34"/>
  <c r="I256" i="34"/>
  <c r="M256" i="34"/>
  <c r="I146" i="34"/>
  <c r="M146" i="34"/>
  <c r="I127" i="34"/>
  <c r="M127" i="34"/>
  <c r="I67" i="34"/>
  <c r="M67" i="34"/>
  <c r="I15" i="34"/>
  <c r="M15" i="34"/>
  <c r="I97" i="34"/>
  <c r="M97" i="34"/>
  <c r="I103" i="34"/>
  <c r="M103" i="34"/>
  <c r="I170" i="34"/>
  <c r="M170" i="34"/>
  <c r="I71" i="34"/>
  <c r="M71" i="34"/>
  <c r="I77" i="34"/>
  <c r="M77" i="34"/>
  <c r="I816" i="34"/>
  <c r="M816" i="34"/>
  <c r="I844" i="34"/>
  <c r="M844" i="34"/>
  <c r="I922" i="34"/>
  <c r="M922" i="34"/>
  <c r="I448" i="34"/>
  <c r="M448" i="34"/>
  <c r="I638" i="34"/>
  <c r="M638" i="34"/>
  <c r="I495" i="34"/>
  <c r="M495" i="34"/>
  <c r="I354" i="34"/>
  <c r="M354" i="34"/>
  <c r="I768" i="34"/>
  <c r="M768" i="34"/>
  <c r="I463" i="34"/>
  <c r="M463" i="34"/>
  <c r="I882" i="34"/>
  <c r="M882" i="34"/>
  <c r="I300" i="34"/>
  <c r="M300" i="34"/>
  <c r="I180" i="34"/>
  <c r="M180" i="34"/>
  <c r="I344" i="34"/>
  <c r="M344" i="34"/>
  <c r="I320" i="34"/>
  <c r="M320" i="34"/>
  <c r="I191" i="34"/>
  <c r="M191" i="34"/>
  <c r="I841" i="34"/>
  <c r="M841" i="34"/>
  <c r="I891" i="34"/>
  <c r="M891" i="34"/>
  <c r="I441" i="34"/>
  <c r="M441" i="34"/>
  <c r="I169" i="34"/>
  <c r="M169" i="34"/>
  <c r="I664" i="34"/>
  <c r="M664" i="34"/>
  <c r="I289" i="34"/>
  <c r="M289" i="34"/>
  <c r="I660" i="34"/>
  <c r="M660" i="34"/>
  <c r="I471" i="34"/>
  <c r="M471" i="34"/>
  <c r="I376" i="34"/>
  <c r="M376" i="34"/>
  <c r="I49" i="34"/>
  <c r="M49" i="34"/>
  <c r="I31" i="34"/>
  <c r="M31" i="34"/>
  <c r="I164" i="34"/>
  <c r="M164" i="34"/>
  <c r="I85" i="34"/>
  <c r="M85" i="34"/>
  <c r="I205" i="34"/>
  <c r="M205" i="34"/>
  <c r="I121" i="34"/>
  <c r="M121" i="34"/>
  <c r="I57" i="34"/>
  <c r="M57" i="34"/>
  <c r="I107" i="34"/>
  <c r="M107" i="34"/>
  <c r="I201" i="34"/>
  <c r="M201" i="34"/>
  <c r="H844" i="34"/>
  <c r="J844" i="34" s="1"/>
  <c r="I955" i="34"/>
  <c r="M955" i="34"/>
  <c r="I447" i="34"/>
  <c r="M447" i="34"/>
  <c r="I351" i="34"/>
  <c r="M351" i="34"/>
  <c r="I561" i="34"/>
  <c r="M561" i="34"/>
  <c r="I551" i="34"/>
  <c r="I400" i="34"/>
  <c r="M400" i="34"/>
  <c r="I247" i="34"/>
  <c r="M247" i="34"/>
  <c r="I183" i="34"/>
  <c r="M183" i="34"/>
  <c r="I273" i="34"/>
  <c r="M273" i="34"/>
  <c r="I112" i="34"/>
  <c r="M112" i="34"/>
  <c r="I248" i="34"/>
  <c r="M248" i="34"/>
  <c r="I343" i="34"/>
  <c r="M343" i="34"/>
  <c r="I208" i="34"/>
  <c r="M208" i="34"/>
  <c r="I292" i="34"/>
  <c r="M292" i="34"/>
  <c r="N240" i="34"/>
  <c r="I439" i="34"/>
  <c r="M439" i="34"/>
  <c r="I165" i="34"/>
  <c r="M165" i="34"/>
  <c r="I884" i="34"/>
  <c r="M884" i="34"/>
  <c r="I857" i="34"/>
  <c r="M857" i="34"/>
  <c r="I500" i="34"/>
  <c r="M500" i="34"/>
  <c r="I345" i="34"/>
  <c r="M345" i="34"/>
  <c r="I227" i="34"/>
  <c r="M227" i="34"/>
  <c r="I711" i="34"/>
  <c r="M711" i="34"/>
  <c r="I393" i="34"/>
  <c r="M393" i="34"/>
  <c r="I621" i="34"/>
  <c r="M621" i="34"/>
  <c r="I529" i="34"/>
  <c r="M529" i="34"/>
  <c r="I367" i="34"/>
  <c r="M367" i="34"/>
  <c r="I355" i="34"/>
  <c r="M355" i="34"/>
  <c r="I787" i="34"/>
  <c r="M787" i="34"/>
  <c r="I793" i="34"/>
  <c r="M793" i="34"/>
  <c r="I785" i="34"/>
  <c r="M785" i="34"/>
  <c r="I599" i="34"/>
  <c r="M599" i="34"/>
  <c r="I614" i="34"/>
  <c r="M614" i="34"/>
  <c r="I572" i="34"/>
  <c r="M572" i="34"/>
  <c r="I460" i="34"/>
  <c r="M460" i="34"/>
  <c r="I392" i="34"/>
  <c r="M392" i="34"/>
  <c r="I452" i="34"/>
  <c r="M452" i="34"/>
  <c r="I258" i="34"/>
  <c r="M258" i="34"/>
  <c r="I209" i="34"/>
  <c r="M209" i="34"/>
  <c r="I111" i="34"/>
  <c r="M111" i="34"/>
  <c r="I51" i="34"/>
  <c r="M51" i="34"/>
  <c r="I129" i="34"/>
  <c r="M129" i="34"/>
  <c r="I39" i="34"/>
  <c r="M39" i="34"/>
  <c r="I7" i="34"/>
  <c r="M7" i="34"/>
  <c r="I21" i="34"/>
  <c r="M21" i="34"/>
  <c r="I158" i="34"/>
  <c r="M158" i="34"/>
  <c r="H32" i="34"/>
  <c r="J32" i="34" s="1"/>
  <c r="K32" i="34"/>
  <c r="I962" i="34"/>
  <c r="M962" i="34"/>
  <c r="I666" i="34"/>
  <c r="M666" i="34"/>
  <c r="I879" i="34"/>
  <c r="M879" i="34"/>
  <c r="I836" i="34"/>
  <c r="M836" i="34"/>
  <c r="I947" i="34"/>
  <c r="M947" i="34"/>
  <c r="I677" i="34"/>
  <c r="M677" i="34"/>
  <c r="I530" i="34"/>
  <c r="M530" i="34"/>
  <c r="I475" i="34"/>
  <c r="M475" i="34"/>
  <c r="M628" i="34"/>
  <c r="I709" i="34"/>
  <c r="M709" i="34"/>
  <c r="I433" i="34"/>
  <c r="M433" i="34"/>
  <c r="I611" i="34"/>
  <c r="M611" i="34"/>
  <c r="I104" i="34"/>
  <c r="M104" i="34"/>
  <c r="I200" i="34"/>
  <c r="M200" i="34"/>
  <c r="I223" i="34"/>
  <c r="M223" i="34"/>
  <c r="I151" i="34"/>
  <c r="M151" i="34"/>
  <c r="I296" i="34"/>
  <c r="M296" i="34"/>
  <c r="I893" i="34"/>
  <c r="M893" i="34"/>
  <c r="I699" i="34"/>
  <c r="M699" i="34"/>
  <c r="I263" i="34"/>
  <c r="M263" i="34"/>
  <c r="M877" i="34"/>
  <c r="I877" i="34"/>
  <c r="I540" i="34"/>
  <c r="M540" i="34"/>
  <c r="I496" i="34"/>
  <c r="M496" i="34"/>
  <c r="M412" i="34"/>
  <c r="I383" i="34"/>
  <c r="M383" i="34"/>
  <c r="I357" i="34"/>
  <c r="M357" i="34"/>
  <c r="I287" i="34"/>
  <c r="M287" i="34"/>
  <c r="I213" i="34"/>
  <c r="M213" i="34"/>
  <c r="I608" i="34"/>
  <c r="M608" i="34"/>
  <c r="I440" i="34"/>
  <c r="M440" i="34"/>
  <c r="I396" i="34"/>
  <c r="M396" i="34"/>
  <c r="I465" i="34"/>
  <c r="M465" i="34"/>
  <c r="I371" i="34"/>
  <c r="M371" i="34"/>
  <c r="I397" i="34"/>
  <c r="M397" i="34"/>
  <c r="I335" i="34"/>
  <c r="M335" i="34"/>
  <c r="I255" i="34"/>
  <c r="M255" i="34"/>
  <c r="I267" i="34"/>
  <c r="M267" i="34"/>
  <c r="I81" i="34"/>
  <c r="M81" i="34"/>
  <c r="I33" i="34"/>
  <c r="M33" i="34"/>
  <c r="I83" i="34"/>
  <c r="M83" i="34"/>
  <c r="I133" i="34"/>
  <c r="M133" i="34"/>
  <c r="I185" i="34"/>
  <c r="M185" i="34"/>
  <c r="I135" i="34"/>
  <c r="M135" i="34"/>
  <c r="I87" i="34"/>
  <c r="M87" i="34"/>
  <c r="I105" i="34"/>
  <c r="M105" i="34"/>
  <c r="I41" i="34"/>
  <c r="M41" i="34"/>
  <c r="I149" i="34"/>
  <c r="M149" i="34"/>
  <c r="I55" i="34"/>
  <c r="M55" i="34"/>
  <c r="I69" i="34"/>
  <c r="M69" i="34"/>
  <c r="I952" i="34"/>
  <c r="M952" i="34"/>
  <c r="M829" i="34"/>
  <c r="I829" i="34"/>
  <c r="I771" i="34"/>
  <c r="M771" i="34"/>
  <c r="I704" i="34"/>
  <c r="M704" i="34"/>
  <c r="I617" i="34"/>
  <c r="M617" i="34"/>
  <c r="I552" i="34"/>
  <c r="M552" i="34"/>
  <c r="I653" i="34"/>
  <c r="M653" i="34"/>
  <c r="I423" i="34"/>
  <c r="M423" i="34"/>
  <c r="I559" i="34"/>
  <c r="M559" i="34"/>
  <c r="I602" i="34"/>
  <c r="M602" i="34"/>
  <c r="I305" i="34"/>
  <c r="M305" i="34"/>
  <c r="I159" i="34"/>
  <c r="M159" i="34"/>
  <c r="I646" i="34"/>
  <c r="M646" i="34"/>
  <c r="I311" i="34"/>
  <c r="M311" i="34"/>
  <c r="I313" i="34"/>
  <c r="M313" i="34"/>
  <c r="I222" i="34"/>
  <c r="M222" i="34"/>
  <c r="I410" i="34"/>
  <c r="M410" i="34"/>
  <c r="I304" i="34"/>
  <c r="M304" i="34"/>
  <c r="I24" i="34"/>
  <c r="M24" i="34"/>
  <c r="I839" i="34"/>
  <c r="M839" i="34"/>
  <c r="I577" i="34"/>
  <c r="M577" i="34"/>
  <c r="I177" i="34"/>
  <c r="M177" i="34"/>
  <c r="I231" i="34"/>
  <c r="M231" i="34"/>
  <c r="H475" i="34"/>
  <c r="J475" i="34" s="1"/>
  <c r="H392" i="34"/>
  <c r="J392" i="34" s="1"/>
  <c r="K884" i="34"/>
  <c r="K521" i="34"/>
  <c r="H184" i="34"/>
  <c r="J184" i="34" s="1"/>
  <c r="K803" i="34"/>
  <c r="H634" i="34"/>
  <c r="J634" i="34" s="1"/>
  <c r="H471" i="34"/>
  <c r="J471" i="34" s="1"/>
  <c r="H352" i="34"/>
  <c r="J352" i="34" s="1"/>
  <c r="K709" i="34"/>
  <c r="H521" i="34"/>
  <c r="J521" i="34" s="1"/>
  <c r="H273" i="34"/>
  <c r="J273" i="34" s="1"/>
  <c r="H304" i="34"/>
  <c r="J304" i="34" s="1"/>
  <c r="K653" i="34"/>
  <c r="K499" i="34"/>
  <c r="K263" i="34"/>
  <c r="K24" i="34"/>
  <c r="K471" i="34"/>
  <c r="K552" i="34"/>
  <c r="K184" i="34"/>
  <c r="K893" i="34"/>
  <c r="K935" i="34"/>
  <c r="H263" i="34"/>
  <c r="J263" i="34" s="1"/>
  <c r="K879" i="34"/>
  <c r="N31" i="34"/>
  <c r="N193" i="34"/>
  <c r="N545" i="34"/>
  <c r="N279" i="34"/>
  <c r="N759" i="34"/>
  <c r="N434" i="34"/>
  <c r="N799" i="34"/>
  <c r="H736" i="34"/>
  <c r="J736" i="34" s="1"/>
  <c r="N604" i="34"/>
  <c r="N537" i="34"/>
  <c r="N562" i="34"/>
  <c r="N535" i="34"/>
  <c r="N548" i="34"/>
  <c r="H434" i="34"/>
  <c r="J434" i="34" s="1"/>
  <c r="N444" i="34"/>
  <c r="N275" i="34"/>
  <c r="K273" i="34"/>
  <c r="N181" i="34"/>
  <c r="N144" i="34"/>
  <c r="N81" i="34"/>
  <c r="N33" i="34"/>
  <c r="N21" i="34"/>
  <c r="N103" i="34"/>
  <c r="N137" i="34"/>
  <c r="N73" i="34"/>
  <c r="N9" i="34"/>
  <c r="N175" i="34"/>
  <c r="N916" i="34"/>
  <c r="N881" i="34"/>
  <c r="N701" i="34"/>
  <c r="N631" i="34"/>
  <c r="N575" i="34"/>
  <c r="N519" i="34"/>
  <c r="N402" i="34"/>
  <c r="N522" i="34"/>
  <c r="N650" i="34"/>
  <c r="N400" i="34"/>
  <c r="N200" i="34"/>
  <c r="N965" i="34"/>
  <c r="N596" i="34"/>
  <c r="N779" i="34"/>
  <c r="N420" i="34"/>
  <c r="N95" i="34"/>
  <c r="N940" i="34"/>
  <c r="N265" i="34"/>
  <c r="N635" i="34"/>
  <c r="N415" i="34"/>
  <c r="N333" i="34"/>
  <c r="K292" i="34"/>
  <c r="N228" i="34"/>
  <c r="N157" i="34"/>
  <c r="N79" i="34"/>
  <c r="N19" i="34"/>
  <c r="N133" i="34"/>
  <c r="N205" i="34"/>
  <c r="N170" i="34"/>
  <c r="N71" i="34"/>
  <c r="N145" i="34"/>
  <c r="N53" i="34"/>
  <c r="N903" i="34"/>
  <c r="N844" i="34"/>
  <c r="N643" i="34"/>
  <c r="N685" i="34"/>
  <c r="N796" i="34"/>
  <c r="N748" i="34"/>
  <c r="N714" i="34"/>
  <c r="N560" i="34"/>
  <c r="N516" i="34"/>
  <c r="N584" i="34"/>
  <c r="N248" i="34"/>
  <c r="N329" i="34"/>
  <c r="N894" i="34"/>
  <c r="N841" i="34"/>
  <c r="N458" i="34"/>
  <c r="N96" i="34"/>
  <c r="N823" i="34"/>
  <c r="N143" i="34"/>
  <c r="N657" i="34"/>
  <c r="N383" i="34"/>
  <c r="N460" i="34"/>
  <c r="N436" i="34"/>
  <c r="N339" i="34"/>
  <c r="N428" i="34"/>
  <c r="N871" i="34"/>
  <c r="H759" i="34"/>
  <c r="J759" i="34" s="1"/>
  <c r="N571" i="34"/>
  <c r="N540" i="34"/>
  <c r="N620" i="34"/>
  <c r="N556" i="34"/>
  <c r="N396" i="34"/>
  <c r="N384" i="34"/>
  <c r="N450" i="34"/>
  <c r="N356" i="34"/>
  <c r="N271" i="34"/>
  <c r="H279" i="34"/>
  <c r="J279" i="34" s="1"/>
  <c r="N220" i="34"/>
  <c r="H200" i="34"/>
  <c r="J200" i="34" s="1"/>
  <c r="N113" i="34"/>
  <c r="N17" i="34"/>
  <c r="N13" i="34"/>
  <c r="N135" i="34"/>
  <c r="N892" i="34"/>
  <c r="N713" i="34"/>
  <c r="K857" i="34"/>
  <c r="N695" i="34"/>
  <c r="N848" i="34"/>
  <c r="N628" i="34"/>
  <c r="N553" i="34"/>
  <c r="N337" i="34"/>
  <c r="N305" i="34"/>
  <c r="N253" i="34"/>
  <c r="H329" i="34"/>
  <c r="J329" i="34" s="1"/>
  <c r="N890" i="34"/>
  <c r="N675" i="34"/>
  <c r="N312" i="34"/>
  <c r="N626" i="34"/>
  <c r="N558" i="34"/>
  <c r="N371" i="34"/>
  <c r="N218" i="34"/>
  <c r="N35" i="34"/>
  <c r="N75" i="34"/>
  <c r="N761" i="34"/>
  <c r="N386" i="34"/>
  <c r="N751" i="34"/>
  <c r="N320" i="34"/>
  <c r="N817" i="34"/>
  <c r="N538" i="34"/>
  <c r="N863" i="34"/>
  <c r="N572" i="34"/>
  <c r="N570" i="34"/>
  <c r="N512" i="34"/>
  <c r="N480" i="34"/>
  <c r="N497" i="34"/>
  <c r="N408" i="34"/>
  <c r="N412" i="34"/>
  <c r="N380" i="34"/>
  <c r="N364" i="34"/>
  <c r="N317" i="34"/>
  <c r="N287" i="34"/>
  <c r="N250" i="34"/>
  <c r="N127" i="34"/>
  <c r="N15" i="34"/>
  <c r="N63" i="34"/>
  <c r="N117" i="34"/>
  <c r="N87" i="34"/>
  <c r="N898" i="34"/>
  <c r="N723" i="34"/>
  <c r="N580" i="34"/>
  <c r="N836" i="34"/>
  <c r="N561" i="34"/>
  <c r="N463" i="34"/>
  <c r="N159" i="34"/>
  <c r="N272" i="34"/>
  <c r="N527" i="34"/>
  <c r="N216" i="34"/>
  <c r="N311" i="34"/>
  <c r="N343" i="34"/>
  <c r="N767" i="34"/>
  <c r="H232" i="34"/>
  <c r="J232" i="34" s="1"/>
  <c r="N232" i="34"/>
  <c r="N48" i="34"/>
  <c r="N712" i="34"/>
  <c r="N281" i="34"/>
  <c r="H281" i="34"/>
  <c r="J281" i="34" s="1"/>
  <c r="N946" i="34"/>
  <c r="N369" i="34"/>
  <c r="N39" i="34"/>
  <c r="N563" i="34"/>
  <c r="N785" i="34"/>
  <c r="N554" i="34"/>
  <c r="N440" i="34"/>
  <c r="N465" i="34"/>
  <c r="N424" i="34"/>
  <c r="N464" i="34"/>
  <c r="N336" i="34"/>
  <c r="N297" i="34"/>
  <c r="N160" i="34"/>
  <c r="N65" i="34"/>
  <c r="N197" i="34"/>
  <c r="N185" i="34"/>
  <c r="N105" i="34"/>
  <c r="N41" i="34"/>
  <c r="N149" i="34"/>
  <c r="N55" i="34"/>
  <c r="N201" i="34"/>
  <c r="K837" i="34"/>
  <c r="N852" i="34"/>
  <c r="N791" i="34"/>
  <c r="N476" i="34"/>
  <c r="N551" i="34"/>
  <c r="N247" i="34"/>
  <c r="N344" i="34"/>
  <c r="N215" i="34"/>
  <c r="N223" i="34"/>
  <c r="N514" i="34"/>
  <c r="N141" i="34"/>
  <c r="H778" i="34"/>
  <c r="J778" i="34" s="1"/>
  <c r="N778" i="34"/>
  <c r="N72" i="34"/>
  <c r="N224" i="34"/>
  <c r="N839" i="34"/>
  <c r="N777" i="34"/>
  <c r="N697" i="34"/>
  <c r="N56" i="34"/>
  <c r="N85" i="34"/>
  <c r="N944" i="34"/>
  <c r="N904" i="34"/>
  <c r="N588" i="34"/>
  <c r="H386" i="34"/>
  <c r="J386" i="34" s="1"/>
  <c r="N111" i="34"/>
  <c r="N97" i="34"/>
  <c r="N47" i="34"/>
  <c r="N23" i="34"/>
  <c r="N101" i="34"/>
  <c r="N119" i="34"/>
  <c r="N27" i="34"/>
  <c r="N783" i="34"/>
  <c r="N578" i="34"/>
  <c r="N612" i="34"/>
  <c r="H433" i="34"/>
  <c r="J433" i="34" s="1"/>
  <c r="N433" i="34"/>
  <c r="N237" i="34"/>
  <c r="N295" i="34"/>
  <c r="H191" i="34"/>
  <c r="J191" i="34" s="1"/>
  <c r="N313" i="34"/>
  <c r="N208" i="34"/>
  <c r="N932" i="34"/>
  <c r="N831" i="34"/>
  <c r="N861" i="34"/>
  <c r="N199" i="34"/>
  <c r="N775" i="34"/>
  <c r="N129" i="34"/>
  <c r="H687" i="34"/>
  <c r="J687" i="34" s="1"/>
  <c r="N687" i="34"/>
  <c r="N598" i="34"/>
  <c r="N508" i="34"/>
  <c r="N492" i="34"/>
  <c r="N503" i="34"/>
  <c r="N367" i="34"/>
  <c r="N357" i="34"/>
  <c r="N255" i="34"/>
  <c r="N146" i="34"/>
  <c r="N950" i="34"/>
  <c r="N938" i="34"/>
  <c r="N815" i="34"/>
  <c r="N587" i="34"/>
  <c r="N610" i="34"/>
  <c r="N609" i="34"/>
  <c r="N481" i="34"/>
  <c r="N49" i="34"/>
  <c r="N168" i="34"/>
  <c r="N89" i="34"/>
  <c r="N25" i="34"/>
  <c r="N69" i="34"/>
  <c r="N912" i="34"/>
  <c r="N703" i="34"/>
  <c r="H849" i="34"/>
  <c r="J849" i="34" s="1"/>
  <c r="N849" i="34"/>
  <c r="N737" i="34"/>
  <c r="N475" i="34"/>
  <c r="N391" i="34"/>
  <c r="N327" i="34"/>
  <c r="N616" i="34"/>
  <c r="N602" i="34"/>
  <c r="N191" i="34"/>
  <c r="N294" i="34"/>
  <c r="K82" i="34"/>
  <c r="N873" i="34"/>
  <c r="N864" i="34"/>
  <c r="K798" i="34"/>
  <c r="K947" i="34"/>
  <c r="H476" i="34"/>
  <c r="J476" i="34" s="1"/>
  <c r="K519" i="34"/>
  <c r="H473" i="34"/>
  <c r="J473" i="34" s="1"/>
  <c r="K829" i="34"/>
  <c r="K765" i="34"/>
  <c r="K813" i="34"/>
  <c r="K559" i="34"/>
  <c r="K433" i="34"/>
  <c r="K611" i="34"/>
  <c r="K120" i="34"/>
  <c r="K295" i="34"/>
  <c r="K343" i="34"/>
  <c r="K667" i="34"/>
  <c r="H381" i="34"/>
  <c r="J381" i="34" s="1"/>
  <c r="H400" i="34"/>
  <c r="J400" i="34" s="1"/>
  <c r="H209" i="34"/>
  <c r="J209" i="34" s="1"/>
  <c r="K191" i="34"/>
  <c r="K634" i="34"/>
  <c r="K704" i="34"/>
  <c r="K896" i="34"/>
  <c r="K821" i="34"/>
  <c r="K553" i="34"/>
  <c r="K708" i="34"/>
  <c r="K237" i="34"/>
  <c r="K276" i="34"/>
  <c r="K222" i="34"/>
  <c r="H599" i="34"/>
  <c r="J599" i="34" s="1"/>
  <c r="H343" i="34"/>
  <c r="J343" i="34" s="1"/>
  <c r="H320" i="34"/>
  <c r="J320" i="34" s="1"/>
  <c r="H256" i="34"/>
  <c r="J256" i="34" s="1"/>
  <c r="H783" i="34"/>
  <c r="J783" i="34" s="1"/>
  <c r="K714" i="34"/>
  <c r="K545" i="34"/>
  <c r="K784" i="34"/>
  <c r="K200" i="34"/>
  <c r="H248" i="34"/>
  <c r="J248" i="34" s="1"/>
  <c r="K329" i="34"/>
  <c r="K755" i="34"/>
  <c r="H616" i="34"/>
  <c r="J616" i="34" s="1"/>
  <c r="K948" i="34"/>
  <c r="K849" i="34"/>
  <c r="K505" i="34"/>
  <c r="K425" i="34"/>
  <c r="K882" i="34"/>
  <c r="K248" i="34"/>
  <c r="K563" i="34"/>
  <c r="H701" i="34"/>
  <c r="J701" i="34" s="1"/>
  <c r="H513" i="34"/>
  <c r="J513" i="34" s="1"/>
  <c r="H552" i="34"/>
  <c r="J552" i="34" s="1"/>
  <c r="H264" i="34"/>
  <c r="J264" i="34" s="1"/>
  <c r="K853" i="34"/>
  <c r="K638" i="34"/>
  <c r="K247" i="34"/>
  <c r="K112" i="34"/>
  <c r="K136" i="34"/>
  <c r="K208" i="34"/>
  <c r="K473" i="34"/>
  <c r="K816" i="34"/>
  <c r="H385" i="34"/>
  <c r="J385" i="34" s="1"/>
  <c r="H265" i="34"/>
  <c r="J265" i="34" s="1"/>
  <c r="K880" i="34"/>
  <c r="H247" i="34"/>
  <c r="J247" i="34" s="1"/>
  <c r="K159" i="34"/>
  <c r="K167" i="34"/>
  <c r="K104" i="34"/>
  <c r="K348" i="34"/>
  <c r="H223" i="34"/>
  <c r="J223" i="34" s="1"/>
  <c r="K141" i="34"/>
  <c r="H152" i="34"/>
  <c r="J152" i="34" s="1"/>
  <c r="H519" i="34"/>
  <c r="J519" i="34" s="1"/>
  <c r="K962" i="34"/>
  <c r="K952" i="34"/>
  <c r="K833" i="34"/>
  <c r="H731" i="34"/>
  <c r="J731" i="34" s="1"/>
  <c r="K671" i="34"/>
  <c r="K530" i="34"/>
  <c r="K475" i="34"/>
  <c r="H463" i="34"/>
  <c r="J463" i="34" s="1"/>
  <c r="K128" i="34"/>
  <c r="K196" i="34"/>
  <c r="K254" i="34"/>
  <c r="K867" i="34"/>
  <c r="K877" i="34"/>
  <c r="H779" i="34"/>
  <c r="J779" i="34" s="1"/>
  <c r="K787" i="34"/>
  <c r="K793" i="34"/>
  <c r="K571" i="34"/>
  <c r="K603" i="34"/>
  <c r="K540" i="34"/>
  <c r="K449" i="34"/>
  <c r="K419" i="34"/>
  <c r="H419" i="34"/>
  <c r="J419" i="34" s="1"/>
  <c r="H440" i="34"/>
  <c r="J440" i="34" s="1"/>
  <c r="K460" i="34"/>
  <c r="K392" i="34"/>
  <c r="H384" i="34"/>
  <c r="J384" i="34" s="1"/>
  <c r="H428" i="34"/>
  <c r="J428" i="34" s="1"/>
  <c r="H464" i="34"/>
  <c r="J464" i="34" s="1"/>
  <c r="K415" i="34"/>
  <c r="K356" i="34"/>
  <c r="H271" i="34"/>
  <c r="J271" i="34" s="1"/>
  <c r="K111" i="34"/>
  <c r="K113" i="34"/>
  <c r="K63" i="34"/>
  <c r="K101" i="34"/>
  <c r="H205" i="34"/>
  <c r="J205" i="34" s="1"/>
  <c r="H193" i="34"/>
  <c r="J193" i="34" s="1"/>
  <c r="H55" i="34"/>
  <c r="J55" i="34" s="1"/>
  <c r="H817" i="34"/>
  <c r="J817" i="34" s="1"/>
  <c r="K625" i="34"/>
  <c r="K608" i="34"/>
  <c r="H571" i="34"/>
  <c r="J571" i="34" s="1"/>
  <c r="H492" i="34"/>
  <c r="J492" i="34" s="1"/>
  <c r="K377" i="34"/>
  <c r="K428" i="34"/>
  <c r="H415" i="34"/>
  <c r="J415" i="34" s="1"/>
  <c r="K368" i="34"/>
  <c r="H356" i="34"/>
  <c r="J356" i="34" s="1"/>
  <c r="H377" i="34"/>
  <c r="J377" i="34" s="1"/>
  <c r="K280" i="34"/>
  <c r="K271" i="34"/>
  <c r="K258" i="34"/>
  <c r="K267" i="34"/>
  <c r="H220" i="34"/>
  <c r="J220" i="34" s="1"/>
  <c r="H157" i="34"/>
  <c r="J157" i="34" s="1"/>
  <c r="H19" i="34"/>
  <c r="J19" i="34" s="1"/>
  <c r="K140" i="34"/>
  <c r="H81" i="34"/>
  <c r="J81" i="34" s="1"/>
  <c r="H65" i="34"/>
  <c r="J65" i="34" s="1"/>
  <c r="H33" i="34"/>
  <c r="J33" i="34" s="1"/>
  <c r="K197" i="34"/>
  <c r="H47" i="34"/>
  <c r="J47" i="34" s="1"/>
  <c r="H23" i="34"/>
  <c r="J23" i="34" s="1"/>
  <c r="H133" i="34"/>
  <c r="J133" i="34" s="1"/>
  <c r="H21" i="34"/>
  <c r="J21" i="34" s="1"/>
  <c r="H119" i="34"/>
  <c r="J119" i="34" s="1"/>
  <c r="K121" i="34"/>
  <c r="K57" i="34"/>
  <c r="K55" i="34"/>
  <c r="H69" i="34"/>
  <c r="J69" i="34" s="1"/>
  <c r="K924" i="34"/>
  <c r="H625" i="34"/>
  <c r="J625" i="34" s="1"/>
  <c r="K605" i="34"/>
  <c r="K445" i="34"/>
  <c r="K496" i="34"/>
  <c r="H396" i="34"/>
  <c r="J396" i="34" s="1"/>
  <c r="K436" i="34"/>
  <c r="K371" i="34"/>
  <c r="K424" i="34"/>
  <c r="H336" i="34"/>
  <c r="J336" i="34" s="1"/>
  <c r="H364" i="34"/>
  <c r="J364" i="34" s="1"/>
  <c r="K355" i="34"/>
  <c r="K268" i="34"/>
  <c r="H275" i="34"/>
  <c r="J275" i="34" s="1"/>
  <c r="K157" i="34"/>
  <c r="H95" i="34"/>
  <c r="J95" i="34" s="1"/>
  <c r="K67" i="34"/>
  <c r="K19" i="34"/>
  <c r="H129" i="34"/>
  <c r="K81" i="34"/>
  <c r="K65" i="34"/>
  <c r="K33" i="34"/>
  <c r="H39" i="34"/>
  <c r="J39" i="34" s="1"/>
  <c r="H197" i="34"/>
  <c r="J197" i="34" s="1"/>
  <c r="K47" i="34"/>
  <c r="K23" i="34"/>
  <c r="K133" i="34"/>
  <c r="H85" i="34"/>
  <c r="J85" i="34" s="1"/>
  <c r="K21" i="34"/>
  <c r="K185" i="34"/>
  <c r="K119" i="34"/>
  <c r="K11" i="34"/>
  <c r="H105" i="34"/>
  <c r="J105" i="34" s="1"/>
  <c r="H41" i="34"/>
  <c r="J41" i="34" s="1"/>
  <c r="H149" i="34"/>
  <c r="J149" i="34" s="1"/>
  <c r="H75" i="34"/>
  <c r="J75" i="34" s="1"/>
  <c r="K69" i="34"/>
  <c r="H863" i="34"/>
  <c r="J863" i="34" s="1"/>
  <c r="H801" i="34"/>
  <c r="J801" i="34" s="1"/>
  <c r="K615" i="34"/>
  <c r="K614" i="34"/>
  <c r="H548" i="34"/>
  <c r="J548" i="34" s="1"/>
  <c r="H512" i="34"/>
  <c r="J512" i="34" s="1"/>
  <c r="K396" i="34"/>
  <c r="H436" i="34"/>
  <c r="J436" i="34" s="1"/>
  <c r="K465" i="34"/>
  <c r="H371" i="34"/>
  <c r="J371" i="34" s="1"/>
  <c r="H445" i="34"/>
  <c r="J445" i="34" s="1"/>
  <c r="K367" i="34"/>
  <c r="H424" i="34"/>
  <c r="J424" i="34" s="1"/>
  <c r="K314" i="34"/>
  <c r="K336" i="34"/>
  <c r="K364" i="34"/>
  <c r="K357" i="34"/>
  <c r="K252" i="34"/>
  <c r="H297" i="34"/>
  <c r="J297" i="34" s="1"/>
  <c r="K146" i="34"/>
  <c r="K95" i="34"/>
  <c r="H15" i="34"/>
  <c r="J15" i="34" s="1"/>
  <c r="K129" i="34"/>
  <c r="K39" i="34"/>
  <c r="H31" i="34"/>
  <c r="J31" i="34" s="1"/>
  <c r="K85" i="34"/>
  <c r="H185" i="34"/>
  <c r="J185" i="34" s="1"/>
  <c r="H87" i="34"/>
  <c r="J87" i="34" s="1"/>
  <c r="K59" i="34"/>
  <c r="K105" i="34"/>
  <c r="K41" i="34"/>
  <c r="K149" i="34"/>
  <c r="K107" i="34"/>
  <c r="K75" i="34"/>
  <c r="K875" i="34"/>
  <c r="K926" i="34"/>
  <c r="K801" i="34"/>
  <c r="K629" i="34"/>
  <c r="H588" i="34"/>
  <c r="J588" i="34" s="1"/>
  <c r="H558" i="34"/>
  <c r="J558" i="34" s="1"/>
  <c r="H572" i="34"/>
  <c r="J572" i="34" s="1"/>
  <c r="K546" i="34"/>
  <c r="K570" i="34"/>
  <c r="K537" i="34"/>
  <c r="K548" i="34"/>
  <c r="H538" i="34"/>
  <c r="J538" i="34" s="1"/>
  <c r="H554" i="34"/>
  <c r="J554" i="34" s="1"/>
  <c r="K508" i="34"/>
  <c r="K480" i="34"/>
  <c r="K469" i="34"/>
  <c r="K529" i="34"/>
  <c r="K503" i="34"/>
  <c r="H465" i="34"/>
  <c r="J465" i="34" s="1"/>
  <c r="K339" i="34"/>
  <c r="K452" i="34"/>
  <c r="K408" i="34"/>
  <c r="K397" i="34"/>
  <c r="H397" i="34"/>
  <c r="J397" i="34" s="1"/>
  <c r="H367" i="34"/>
  <c r="J367" i="34" s="1"/>
  <c r="K383" i="34"/>
  <c r="K361" i="34"/>
  <c r="K335" i="34"/>
  <c r="K264" i="34"/>
  <c r="K291" i="34"/>
  <c r="H255" i="34"/>
  <c r="J255" i="34" s="1"/>
  <c r="K262" i="34"/>
  <c r="H280" i="34"/>
  <c r="J280" i="34" s="1"/>
  <c r="K213" i="34"/>
  <c r="H335" i="34"/>
  <c r="J335" i="34" s="1"/>
  <c r="H146" i="34"/>
  <c r="J146" i="34" s="1"/>
  <c r="H127" i="34"/>
  <c r="J127" i="34" s="1"/>
  <c r="K15" i="34"/>
  <c r="H97" i="34"/>
  <c r="J97" i="34" s="1"/>
  <c r="H17" i="34"/>
  <c r="J17" i="34" s="1"/>
  <c r="K131" i="34"/>
  <c r="H83" i="34"/>
  <c r="J83" i="34" s="1"/>
  <c r="K31" i="34"/>
  <c r="H213" i="34"/>
  <c r="J213" i="34" s="1"/>
  <c r="H135" i="34"/>
  <c r="J135" i="34" s="1"/>
  <c r="K87" i="34"/>
  <c r="H27" i="34"/>
  <c r="J27" i="34" s="1"/>
  <c r="H89" i="34"/>
  <c r="J89" i="34" s="1"/>
  <c r="H25" i="34"/>
  <c r="J25" i="34" s="1"/>
  <c r="K175" i="34"/>
  <c r="H71" i="34"/>
  <c r="J71" i="34" s="1"/>
  <c r="K201" i="34"/>
  <c r="H145" i="34"/>
  <c r="J145" i="34" s="1"/>
  <c r="H785" i="34"/>
  <c r="J785" i="34" s="1"/>
  <c r="K624" i="34"/>
  <c r="H624" i="34"/>
  <c r="J624" i="34" s="1"/>
  <c r="K604" i="34"/>
  <c r="K599" i="34"/>
  <c r="H608" i="34"/>
  <c r="J608" i="34" s="1"/>
  <c r="H610" i="34"/>
  <c r="J610" i="34" s="1"/>
  <c r="K572" i="34"/>
  <c r="H570" i="34"/>
  <c r="J570" i="34" s="1"/>
  <c r="H537" i="34"/>
  <c r="J537" i="34" s="1"/>
  <c r="K533" i="34"/>
  <c r="K554" i="34"/>
  <c r="H508" i="34"/>
  <c r="J508" i="34" s="1"/>
  <c r="H480" i="34"/>
  <c r="J480" i="34" s="1"/>
  <c r="H503" i="34"/>
  <c r="J503" i="34" s="1"/>
  <c r="H339" i="34"/>
  <c r="J339" i="34" s="1"/>
  <c r="H408" i="34"/>
  <c r="J408" i="34" s="1"/>
  <c r="K444" i="34"/>
  <c r="K399" i="34"/>
  <c r="H383" i="34"/>
  <c r="J383" i="34" s="1"/>
  <c r="H287" i="34"/>
  <c r="J287" i="34" s="1"/>
  <c r="H218" i="34"/>
  <c r="J218" i="34" s="1"/>
  <c r="K255" i="34"/>
  <c r="K209" i="34"/>
  <c r="K181" i="34"/>
  <c r="K127" i="34"/>
  <c r="H79" i="34"/>
  <c r="J79" i="34" s="1"/>
  <c r="K51" i="34"/>
  <c r="H160" i="34"/>
  <c r="J160" i="34" s="1"/>
  <c r="K97" i="34"/>
  <c r="K17" i="34"/>
  <c r="K83" i="34"/>
  <c r="K7" i="34"/>
  <c r="K117" i="34"/>
  <c r="K135" i="34"/>
  <c r="K27" i="34"/>
  <c r="K168" i="34"/>
  <c r="K89" i="34"/>
  <c r="K25" i="34"/>
  <c r="H175" i="34"/>
  <c r="J175" i="34" s="1"/>
  <c r="K71" i="34"/>
  <c r="H201" i="34"/>
  <c r="J201" i="34" s="1"/>
  <c r="K145" i="34"/>
  <c r="K785" i="34"/>
  <c r="H604" i="34"/>
  <c r="J604" i="34" s="1"/>
  <c r="K593" i="34"/>
  <c r="K620" i="34"/>
  <c r="K562" i="34"/>
  <c r="K481" i="34"/>
  <c r="K497" i="34"/>
  <c r="H444" i="34"/>
  <c r="J444" i="34" s="1"/>
  <c r="K388" i="34"/>
  <c r="K450" i="34"/>
  <c r="H380" i="34"/>
  <c r="J380" i="34" s="1"/>
  <c r="K369" i="34"/>
  <c r="H299" i="34"/>
  <c r="J299" i="34" s="1"/>
  <c r="K287" i="34"/>
  <c r="H388" i="34"/>
  <c r="J388" i="34" s="1"/>
  <c r="K256" i="34"/>
  <c r="H181" i="34"/>
  <c r="J181" i="34" s="1"/>
  <c r="K79" i="34"/>
  <c r="K160" i="34"/>
  <c r="H49" i="34"/>
  <c r="J49" i="34" s="1"/>
  <c r="H164" i="34"/>
  <c r="J164" i="34" s="1"/>
  <c r="H103" i="34"/>
  <c r="J103" i="34" s="1"/>
  <c r="H137" i="34"/>
  <c r="J137" i="34" s="1"/>
  <c r="H73" i="34"/>
  <c r="J73" i="34" s="1"/>
  <c r="H9" i="34"/>
  <c r="J9" i="34" s="1"/>
  <c r="H170" i="34"/>
  <c r="J170" i="34" s="1"/>
  <c r="K153" i="34"/>
  <c r="K77" i="34"/>
  <c r="H867" i="34"/>
  <c r="J867" i="34" s="1"/>
  <c r="K809" i="34"/>
  <c r="K621" i="34"/>
  <c r="H540" i="34"/>
  <c r="J540" i="34" s="1"/>
  <c r="H620" i="34"/>
  <c r="J620" i="34" s="1"/>
  <c r="H562" i="34"/>
  <c r="J562" i="34" s="1"/>
  <c r="K513" i="34"/>
  <c r="H481" i="34"/>
  <c r="J481" i="34" s="1"/>
  <c r="H497" i="34"/>
  <c r="J497" i="34" s="1"/>
  <c r="K381" i="34"/>
  <c r="K440" i="34"/>
  <c r="H460" i="34"/>
  <c r="J460" i="34" s="1"/>
  <c r="K385" i="34"/>
  <c r="K464" i="34"/>
  <c r="H450" i="34"/>
  <c r="J450" i="34" s="1"/>
  <c r="K380" i="34"/>
  <c r="H369" i="34"/>
  <c r="J369" i="34" s="1"/>
  <c r="H111" i="34"/>
  <c r="J111" i="34" s="1"/>
  <c r="H144" i="34"/>
  <c r="J144" i="34" s="1"/>
  <c r="H113" i="34"/>
  <c r="J113" i="34" s="1"/>
  <c r="K49" i="34"/>
  <c r="H63" i="34"/>
  <c r="J63" i="34" s="1"/>
  <c r="K164" i="34"/>
  <c r="H101" i="34"/>
  <c r="J101" i="34" s="1"/>
  <c r="K205" i="34"/>
  <c r="K103" i="34"/>
  <c r="K193" i="34"/>
  <c r="K158" i="34"/>
  <c r="K137" i="34"/>
  <c r="K73" i="34"/>
  <c r="K9" i="34"/>
  <c r="K170" i="34"/>
  <c r="K123" i="34"/>
  <c r="K91" i="34"/>
  <c r="H7" i="34"/>
  <c r="J7" i="34" s="1"/>
  <c r="H291" i="34" l="1"/>
  <c r="J291" i="34" s="1"/>
  <c r="H121" i="34"/>
  <c r="J121" i="34" s="1"/>
  <c r="N857" i="34"/>
  <c r="N355" i="34"/>
  <c r="I913" i="34"/>
  <c r="K230" i="34"/>
  <c r="N621" i="34"/>
  <c r="M171" i="34"/>
  <c r="I648" i="34"/>
  <c r="K700" i="34"/>
  <c r="I171" i="34"/>
  <c r="M551" i="34"/>
  <c r="H868" i="34"/>
  <c r="J868" i="34" s="1"/>
  <c r="H700" i="34"/>
  <c r="J700" i="34" s="1"/>
  <c r="G422" i="34" a="1"/>
  <c r="G422" i="34" s="1"/>
  <c r="N422" i="34" s="1"/>
  <c r="H773" i="34"/>
  <c r="J773" i="34" s="1"/>
  <c r="H612" i="34"/>
  <c r="J612" i="34" s="1"/>
  <c r="H448" i="34"/>
  <c r="J448" i="34" s="1"/>
  <c r="H372" i="34"/>
  <c r="J372" i="34" s="1"/>
  <c r="H441" i="34"/>
  <c r="J441" i="34" s="1"/>
  <c r="H704" i="34"/>
  <c r="J704" i="34" s="1"/>
  <c r="H888" i="34"/>
  <c r="J888" i="34" s="1"/>
  <c r="I902" i="34"/>
  <c r="H100" i="34"/>
  <c r="J100" i="34" s="1"/>
  <c r="N276" i="34"/>
  <c r="M234" i="34"/>
  <c r="I874" i="34"/>
  <c r="N926" i="34"/>
  <c r="H228" i="34"/>
  <c r="J228" i="34" s="1"/>
  <c r="M511" i="34"/>
  <c r="G454" i="34" a="1"/>
  <c r="G454" i="34" s="1"/>
  <c r="N454" i="34" s="1"/>
  <c r="H771" i="34"/>
  <c r="J771" i="34" s="1"/>
  <c r="I547" i="34"/>
  <c r="I511" i="34"/>
  <c r="N676" i="34"/>
  <c r="M925" i="34"/>
  <c r="K511" i="34"/>
  <c r="N646" i="34"/>
  <c r="I925" i="34"/>
  <c r="H732" i="34"/>
  <c r="J732" i="34" s="1"/>
  <c r="M556" i="34"/>
  <c r="I716" i="34"/>
  <c r="M872" i="34"/>
  <c r="K716" i="34"/>
  <c r="M751" i="34"/>
  <c r="H544" i="34"/>
  <c r="J544" i="34" s="1"/>
  <c r="K712" i="34"/>
  <c r="N668" i="34"/>
  <c r="I526" i="34"/>
  <c r="H692" i="34"/>
  <c r="J692" i="34" s="1"/>
  <c r="H716" i="34"/>
  <c r="J716" i="34" s="1"/>
  <c r="M526" i="34"/>
  <c r="N346" i="34"/>
  <c r="I373" i="34"/>
  <c r="H260" i="34"/>
  <c r="J260" i="34" s="1"/>
  <c r="M98" i="34"/>
  <c r="K556" i="34"/>
  <c r="H603" i="34"/>
  <c r="J603" i="34" s="1"/>
  <c r="N787" i="34"/>
  <c r="M712" i="34"/>
  <c r="H918" i="34"/>
  <c r="J918" i="34" s="1"/>
  <c r="K551" i="34"/>
  <c r="K812" i="34"/>
  <c r="N107" i="34"/>
  <c r="K736" i="34"/>
  <c r="M736" i="34"/>
  <c r="H262" i="34"/>
  <c r="J262" i="34" s="1"/>
  <c r="H712" i="34"/>
  <c r="J712" i="34" s="1"/>
  <c r="I728" i="34"/>
  <c r="H605" i="34"/>
  <c r="J605" i="34" s="1"/>
  <c r="N922" i="34"/>
  <c r="K591" i="34"/>
  <c r="H290" i="34"/>
  <c r="J290" i="34" s="1"/>
  <c r="M592" i="34"/>
  <c r="M405" i="34"/>
  <c r="K942" i="34"/>
  <c r="K290" i="34"/>
  <c r="M673" i="34"/>
  <c r="M290" i="34"/>
  <c r="M774" i="34"/>
  <c r="I592" i="34"/>
  <c r="M838" i="34"/>
  <c r="I405" i="34"/>
  <c r="F534" i="34" a="1"/>
  <c r="F534" i="34" s="1"/>
  <c r="K534" i="34" s="1"/>
  <c r="H833" i="34"/>
  <c r="J833" i="34" s="1"/>
  <c r="N790" i="34"/>
  <c r="I673" i="34"/>
  <c r="I774" i="34"/>
  <c r="I838" i="34"/>
  <c r="M591" i="34"/>
  <c r="H705" i="34"/>
  <c r="J705" i="34" s="1"/>
  <c r="H258" i="34"/>
  <c r="J258" i="34" s="1"/>
  <c r="M942" i="34"/>
  <c r="M870" i="34"/>
  <c r="H227" i="34"/>
  <c r="J227" i="34" s="1"/>
  <c r="I870" i="34"/>
  <c r="I915" i="34"/>
  <c r="I866" i="34"/>
  <c r="I283" i="34"/>
  <c r="H198" i="34"/>
  <c r="J198" i="34" s="1"/>
  <c r="G414" i="34" a="1"/>
  <c r="G414" i="34" s="1"/>
  <c r="H414" i="34" s="1"/>
  <c r="J414" i="34" s="1"/>
  <c r="G814" i="34" a="1"/>
  <c r="G814" i="34" s="1"/>
  <c r="H814" i="34" s="1"/>
  <c r="J814" i="34" s="1"/>
  <c r="H405" i="34"/>
  <c r="J405" i="34" s="1"/>
  <c r="M139" i="34"/>
  <c r="M30" i="34"/>
  <c r="H837" i="34"/>
  <c r="J837" i="34" s="1"/>
  <c r="F581" i="34" a="1"/>
  <c r="F581" i="34" s="1"/>
  <c r="G942" i="34" a="1"/>
  <c r="G942" i="34" s="1"/>
  <c r="H942" i="34" s="1"/>
  <c r="J942" i="34" s="1"/>
  <c r="I30" i="34"/>
  <c r="H673" i="34"/>
  <c r="J673" i="34" s="1"/>
  <c r="F727" i="34" a="1"/>
  <c r="F727" i="34" s="1"/>
  <c r="H727" i="34" s="1"/>
  <c r="J727" i="34" s="1"/>
  <c r="G838" i="34" a="1"/>
  <c r="G838" i="34" s="1"/>
  <c r="N838" i="34" s="1"/>
  <c r="M99" i="34"/>
  <c r="G870" i="34" a="1"/>
  <c r="G870" i="34" s="1"/>
  <c r="H709" i="34"/>
  <c r="J709" i="34" s="1"/>
  <c r="H303" i="34"/>
  <c r="J303" i="34" s="1"/>
  <c r="M770" i="34"/>
  <c r="H593" i="34"/>
  <c r="J593" i="34" s="1"/>
  <c r="I770" i="34"/>
  <c r="N691" i="34"/>
  <c r="I469" i="34"/>
  <c r="H506" i="34"/>
  <c r="J506" i="34" s="1"/>
  <c r="M665" i="34"/>
  <c r="H766" i="34"/>
  <c r="J766" i="34" s="1"/>
  <c r="I595" i="34"/>
  <c r="H848" i="34"/>
  <c r="J848" i="34" s="1"/>
  <c r="I665" i="34"/>
  <c r="N405" i="34"/>
  <c r="I431" i="34"/>
  <c r="G606" i="34" a="1"/>
  <c r="G606" i="34" s="1"/>
  <c r="N606" i="34" s="1"/>
  <c r="H469" i="34"/>
  <c r="J469" i="34" s="1"/>
  <c r="N499" i="34"/>
  <c r="M848" i="34"/>
  <c r="M831" i="34"/>
  <c r="H665" i="34"/>
  <c r="J665" i="34" s="1"/>
  <c r="I848" i="34"/>
  <c r="N784" i="34"/>
  <c r="F342" i="34" a="1"/>
  <c r="F342" i="34" s="1"/>
  <c r="I342" i="34" s="1"/>
  <c r="I574" i="34"/>
  <c r="K574" i="34"/>
  <c r="K13" i="34"/>
  <c r="H67" i="34"/>
  <c r="J67" i="34" s="1"/>
  <c r="I628" i="34"/>
  <c r="I806" i="34"/>
  <c r="M13" i="34"/>
  <c r="I372" i="34"/>
  <c r="K427" i="34"/>
  <c r="H753" i="34"/>
  <c r="J753" i="34" s="1"/>
  <c r="H812" i="34"/>
  <c r="J812" i="34" s="1"/>
  <c r="K512" i="34"/>
  <c r="M427" i="34"/>
  <c r="I13" i="34"/>
  <c r="H268" i="34"/>
  <c r="J268" i="34" s="1"/>
  <c r="N533" i="34"/>
  <c r="M807" i="34"/>
  <c r="M753" i="34"/>
  <c r="N725" i="34"/>
  <c r="H292" i="34"/>
  <c r="J292" i="34" s="1"/>
  <c r="N681" i="34"/>
  <c r="K807" i="34"/>
  <c r="G806" i="34" a="1"/>
  <c r="G806" i="34" s="1"/>
  <c r="N806" i="34" s="1"/>
  <c r="M812" i="34"/>
  <c r="K753" i="34"/>
  <c r="H510" i="34"/>
  <c r="J510" i="34" s="1"/>
  <c r="G574" i="34" a="1"/>
  <c r="G574" i="34" s="1"/>
  <c r="N574" i="34" s="1"/>
  <c r="H591" i="34"/>
  <c r="J591" i="34" s="1"/>
  <c r="N374" i="34"/>
  <c r="M372" i="34"/>
  <c r="H234" i="34"/>
  <c r="J234" i="34" s="1"/>
  <c r="H314" i="34"/>
  <c r="J314" i="34" s="1"/>
  <c r="M724" i="34"/>
  <c r="H959" i="34"/>
  <c r="J959" i="34" s="1"/>
  <c r="I724" i="34"/>
  <c r="K847" i="34"/>
  <c r="K888" i="34"/>
  <c r="M230" i="34"/>
  <c r="M612" i="34"/>
  <c r="K609" i="34"/>
  <c r="H875" i="34"/>
  <c r="J875" i="34" s="1"/>
  <c r="I612" i="34"/>
  <c r="H733" i="34"/>
  <c r="J733" i="34" s="1"/>
  <c r="I379" i="34"/>
  <c r="I573" i="34"/>
  <c r="G230" i="34" a="1"/>
  <c r="G230" i="34" s="1"/>
  <c r="N230" i="34" s="1"/>
  <c r="M847" i="34"/>
  <c r="H609" i="34"/>
  <c r="J609" i="34" s="1"/>
  <c r="K724" i="34"/>
  <c r="M888" i="34"/>
  <c r="K455" i="34"/>
  <c r="H360" i="34"/>
  <c r="J360" i="34" s="1"/>
  <c r="H455" i="34"/>
  <c r="J455" i="34" s="1"/>
  <c r="H667" i="34"/>
  <c r="J667" i="34" s="1"/>
  <c r="N267" i="34"/>
  <c r="I596" i="34"/>
  <c r="H532" i="34"/>
  <c r="J532" i="34" s="1"/>
  <c r="G774" i="34" a="1"/>
  <c r="G774" i="34" s="1"/>
  <c r="H774" i="34" s="1"/>
  <c r="J774" i="34" s="1"/>
  <c r="H680" i="34"/>
  <c r="J680" i="34" s="1"/>
  <c r="H361" i="34"/>
  <c r="J361" i="34" s="1"/>
  <c r="K431" i="34"/>
  <c r="H947" i="34"/>
  <c r="J947" i="34" s="1"/>
  <c r="K654" i="34"/>
  <c r="M455" i="34"/>
  <c r="M532" i="34"/>
  <c r="M766" i="34"/>
  <c r="M502" i="34"/>
  <c r="H877" i="34"/>
  <c r="J877" i="34" s="1"/>
  <c r="H259" i="34"/>
  <c r="J259" i="34" s="1"/>
  <c r="K391" i="34"/>
  <c r="I532" i="34"/>
  <c r="M391" i="34"/>
  <c r="I766" i="34"/>
  <c r="I502" i="34"/>
  <c r="K360" i="34"/>
  <c r="H391" i="34"/>
  <c r="J391" i="34" s="1"/>
  <c r="H592" i="34"/>
  <c r="J592" i="34" s="1"/>
  <c r="M360" i="34"/>
  <c r="F678" i="34" a="1"/>
  <c r="F678" i="34" s="1"/>
  <c r="K678" i="34" s="1"/>
  <c r="H596" i="34"/>
  <c r="J596" i="34" s="1"/>
  <c r="G502" i="34" a="1"/>
  <c r="G502" i="34" s="1"/>
  <c r="H502" i="34" s="1"/>
  <c r="J502" i="34" s="1"/>
  <c r="N615" i="34"/>
  <c r="M883" i="34"/>
  <c r="K596" i="34"/>
  <c r="H912" i="34"/>
  <c r="J912" i="34" s="1"/>
  <c r="I883" i="34"/>
  <c r="M760" i="34"/>
  <c r="H789" i="34"/>
  <c r="J789" i="34" s="1"/>
  <c r="M595" i="34"/>
  <c r="K365" i="34"/>
  <c r="N546" i="34"/>
  <c r="H631" i="34"/>
  <c r="J631" i="34" s="1"/>
  <c r="H530" i="34"/>
  <c r="J530" i="34" s="1"/>
  <c r="F702" i="34" a="1"/>
  <c r="F702" i="34" s="1"/>
  <c r="I702" i="34" s="1"/>
  <c r="I795" i="34"/>
  <c r="H611" i="34"/>
  <c r="J611" i="34" s="1"/>
  <c r="M631" i="34"/>
  <c r="H793" i="34"/>
  <c r="J793" i="34" s="1"/>
  <c r="K631" i="34"/>
  <c r="N529" i="34"/>
  <c r="M178" i="34"/>
  <c r="I805" i="34"/>
  <c r="H222" i="34"/>
  <c r="J222" i="34" s="1"/>
  <c r="N961" i="34"/>
  <c r="F710" i="34" a="1"/>
  <c r="F710" i="34" s="1"/>
  <c r="M710" i="34" s="1"/>
  <c r="M796" i="34"/>
  <c r="H795" i="34"/>
  <c r="J795" i="34" s="1"/>
  <c r="H77" i="34"/>
  <c r="J77" i="34" s="1"/>
  <c r="H309" i="34"/>
  <c r="J309" i="34" s="1"/>
  <c r="K92" i="34"/>
  <c r="H86" i="34"/>
  <c r="J86" i="34" s="1"/>
  <c r="K917" i="34"/>
  <c r="N452" i="34"/>
  <c r="N594" i="34"/>
  <c r="N140" i="34"/>
  <c r="H699" i="34"/>
  <c r="J699" i="34" s="1"/>
  <c r="I178" i="34"/>
  <c r="I412" i="34"/>
  <c r="I534" i="34"/>
  <c r="M16" i="34"/>
  <c r="I106" i="34"/>
  <c r="I823" i="34"/>
  <c r="K16" i="34"/>
  <c r="G846" i="34" a="1"/>
  <c r="G846" i="34" s="1"/>
  <c r="N846" i="34" s="1"/>
  <c r="H619" i="34"/>
  <c r="J619" i="34" s="1"/>
  <c r="M795" i="34"/>
  <c r="H35" i="34"/>
  <c r="J35" i="34" s="1"/>
  <c r="K178" i="34"/>
  <c r="M636" i="34"/>
  <c r="H216" i="34"/>
  <c r="J216" i="34" s="1"/>
  <c r="M543" i="34"/>
  <c r="M116" i="34"/>
  <c r="M788" i="34"/>
  <c r="M860" i="34"/>
  <c r="I16" i="34"/>
  <c r="M589" i="34"/>
  <c r="K285" i="34"/>
  <c r="H300" i="34"/>
  <c r="J300" i="34" s="1"/>
  <c r="F46" i="34" a="1"/>
  <c r="F46" i="34" s="1"/>
  <c r="M46" i="34" s="1"/>
  <c r="H91" i="34"/>
  <c r="J91" i="34" s="1"/>
  <c r="M823" i="34"/>
  <c r="K412" i="34"/>
  <c r="H244" i="34"/>
  <c r="J244" i="34" s="1"/>
  <c r="K216" i="34"/>
  <c r="M285" i="34"/>
  <c r="I543" i="34"/>
  <c r="I116" i="34"/>
  <c r="I443" i="34"/>
  <c r="M216" i="34"/>
  <c r="I788" i="34"/>
  <c r="I860" i="34"/>
  <c r="I589" i="34"/>
  <c r="H768" i="34"/>
  <c r="J768" i="34" s="1"/>
  <c r="H925" i="34"/>
  <c r="J925" i="34" s="1"/>
  <c r="M484" i="34"/>
  <c r="M658" i="34"/>
  <c r="I363" i="34"/>
  <c r="I851" i="34"/>
  <c r="H656" i="34"/>
  <c r="J656" i="34" s="1"/>
  <c r="M574" i="34"/>
  <c r="M106" i="34"/>
  <c r="H660" i="34"/>
  <c r="J660" i="34" s="1"/>
  <c r="K35" i="34"/>
  <c r="K658" i="34"/>
  <c r="I484" i="34"/>
  <c r="M670" i="34"/>
  <c r="I684" i="34"/>
  <c r="M92" i="34"/>
  <c r="M35" i="34"/>
  <c r="H106" i="34"/>
  <c r="J106" i="34" s="1"/>
  <c r="H729" i="34"/>
  <c r="J729" i="34" s="1"/>
  <c r="H831" i="34"/>
  <c r="J831" i="34" s="1"/>
  <c r="K831" i="34"/>
  <c r="K484" i="34"/>
  <c r="H57" i="34"/>
  <c r="J57" i="34" s="1"/>
  <c r="N835" i="34"/>
  <c r="N679" i="34"/>
  <c r="I670" i="34"/>
  <c r="M874" i="34"/>
  <c r="I748" i="34"/>
  <c r="K860" i="34"/>
  <c r="H543" i="34"/>
  <c r="J543" i="34" s="1"/>
  <c r="M42" i="34"/>
  <c r="I42" i="34"/>
  <c r="H420" i="34"/>
  <c r="J420" i="34" s="1"/>
  <c r="N795" i="34"/>
  <c r="I796" i="34"/>
  <c r="N186" i="34"/>
  <c r="N719" i="34"/>
  <c r="I720" i="34"/>
  <c r="H647" i="34"/>
  <c r="J647" i="34" s="1"/>
  <c r="I414" i="34"/>
  <c r="K763" i="34"/>
  <c r="K720" i="34"/>
  <c r="F782" i="34" a="1"/>
  <c r="F782" i="34" s="1"/>
  <c r="I782" i="34" s="1"/>
  <c r="F565" i="34" a="1"/>
  <c r="F565" i="34" s="1"/>
  <c r="M565" i="34" s="1"/>
  <c r="M729" i="34"/>
  <c r="K796" i="34"/>
  <c r="N496" i="34"/>
  <c r="N567" i="34"/>
  <c r="M420" i="34"/>
  <c r="I729" i="34"/>
  <c r="K794" i="34"/>
  <c r="H720" i="34"/>
  <c r="J720" i="34" s="1"/>
  <c r="M763" i="34"/>
  <c r="F50" i="34" a="1"/>
  <c r="F50" i="34" s="1"/>
  <c r="K420" i="34"/>
  <c r="N234" i="34"/>
  <c r="N319" i="34"/>
  <c r="I820" i="34"/>
  <c r="I353" i="34"/>
  <c r="F934" i="34" a="1"/>
  <c r="F934" i="34" s="1"/>
  <c r="K934" i="34" s="1"/>
  <c r="K234" i="34"/>
  <c r="K734" i="34"/>
  <c r="G734" i="34" a="1"/>
  <c r="G734" i="34" s="1"/>
  <c r="N734" i="34" s="1"/>
  <c r="H337" i="34"/>
  <c r="J337" i="34" s="1"/>
  <c r="M820" i="34"/>
  <c r="M353" i="34"/>
  <c r="H807" i="34"/>
  <c r="J807" i="34" s="1"/>
  <c r="N707" i="34"/>
  <c r="K806" i="34"/>
  <c r="M802" i="34"/>
  <c r="H353" i="34"/>
  <c r="J353" i="34" s="1"/>
  <c r="M734" i="34"/>
  <c r="F693" i="34" a="1"/>
  <c r="F693" i="34" s="1"/>
  <c r="I693" i="34" s="1"/>
  <c r="N880" i="34"/>
  <c r="H928" i="34"/>
  <c r="J928" i="34" s="1"/>
  <c r="H102" i="34"/>
  <c r="J102" i="34" s="1"/>
  <c r="F298" i="34" a="1"/>
  <c r="F298" i="34" s="1"/>
  <c r="H123" i="34"/>
  <c r="J123" i="34" s="1"/>
  <c r="N153" i="34"/>
  <c r="N10" i="34"/>
  <c r="N495" i="34"/>
  <c r="N59" i="34"/>
  <c r="M102" i="34"/>
  <c r="H684" i="34"/>
  <c r="J684" i="34" s="1"/>
  <c r="K684" i="34"/>
  <c r="I102" i="34"/>
  <c r="G878" i="34" a="1"/>
  <c r="G878" i="34" s="1"/>
  <c r="H924" i="34"/>
  <c r="J924" i="34" s="1"/>
  <c r="H654" i="34"/>
  <c r="J654" i="34" s="1"/>
  <c r="I331" i="34"/>
  <c r="I575" i="34"/>
  <c r="I517" i="34"/>
  <c r="M654" i="34"/>
  <c r="M76" i="34"/>
  <c r="K337" i="34"/>
  <c r="N180" i="34"/>
  <c r="I864" i="34"/>
  <c r="I910" i="34"/>
  <c r="M910" i="34"/>
  <c r="K910" i="34"/>
  <c r="H893" i="34"/>
  <c r="J893" i="34" s="1"/>
  <c r="I872" i="34"/>
  <c r="K535" i="34"/>
  <c r="N884" i="34"/>
  <c r="M187" i="34"/>
  <c r="I560" i="34"/>
  <c r="I760" i="34"/>
  <c r="M650" i="34"/>
  <c r="H819" i="34"/>
  <c r="J819" i="34" s="1"/>
  <c r="M878" i="34"/>
  <c r="G162" i="34" a="1"/>
  <c r="G162" i="34" s="1"/>
  <c r="F162" i="34" a="1"/>
  <c r="F162" i="34" s="1"/>
  <c r="G26" i="34" a="1"/>
  <c r="G26" i="34" s="1"/>
  <c r="F26" i="34" a="1"/>
  <c r="F26" i="34" s="1"/>
  <c r="F721" i="34" a="1"/>
  <c r="F721" i="34" s="1"/>
  <c r="G721" i="34" a="1"/>
  <c r="G721" i="34" s="1"/>
  <c r="I751" i="34"/>
  <c r="G130" i="34" a="1"/>
  <c r="G130" i="34" s="1"/>
  <c r="F130" i="34" a="1"/>
  <c r="F130" i="34" s="1"/>
  <c r="F865" i="34" a="1"/>
  <c r="F865" i="34" s="1"/>
  <c r="G865" i="34" a="1"/>
  <c r="G865" i="34" s="1"/>
  <c r="K53" i="34"/>
  <c r="H535" i="34"/>
  <c r="J535" i="34" s="1"/>
  <c r="H636" i="34"/>
  <c r="J636" i="34" s="1"/>
  <c r="H940" i="34"/>
  <c r="J940" i="34" s="1"/>
  <c r="I939" i="34"/>
  <c r="I535" i="34"/>
  <c r="M740" i="34"/>
  <c r="K373" i="34"/>
  <c r="M467" i="34"/>
  <c r="M953" i="34"/>
  <c r="I650" i="34"/>
  <c r="M789" i="34"/>
  <c r="N742" i="34"/>
  <c r="M649" i="34"/>
  <c r="K649" i="34"/>
  <c r="H740" i="34"/>
  <c r="J740" i="34" s="1"/>
  <c r="G192" i="34" a="1"/>
  <c r="G192" i="34" s="1"/>
  <c r="F192" i="34" a="1"/>
  <c r="F192" i="34" s="1"/>
  <c r="F226" i="34" a="1"/>
  <c r="F226" i="34" s="1"/>
  <c r="G226" i="34" a="1"/>
  <c r="G226" i="34" s="1"/>
  <c r="G306" i="34" a="1"/>
  <c r="G306" i="34" s="1"/>
  <c r="F306" i="34" a="1"/>
  <c r="F306" i="34" s="1"/>
  <c r="G122" i="34" a="1"/>
  <c r="G122" i="34" s="1"/>
  <c r="F122" i="34" a="1"/>
  <c r="F122" i="34" s="1"/>
  <c r="K650" i="34"/>
  <c r="H872" i="34"/>
  <c r="J872" i="34" s="1"/>
  <c r="H53" i="34"/>
  <c r="J53" i="34" s="1"/>
  <c r="H51" i="34"/>
  <c r="J51" i="34" s="1"/>
  <c r="H751" i="34"/>
  <c r="J751" i="34" s="1"/>
  <c r="K894" i="34"/>
  <c r="H467" i="34"/>
  <c r="J467" i="34" s="1"/>
  <c r="F390" i="34" a="1"/>
  <c r="F390" i="34" s="1"/>
  <c r="I390" i="34" s="1"/>
  <c r="F5" i="34" a="1"/>
  <c r="F5" i="34" s="1"/>
  <c r="F66" i="34" a="1"/>
  <c r="F66" i="34" s="1"/>
  <c r="K66" i="34" s="1"/>
  <c r="G461" i="34" a="1"/>
  <c r="G461" i="34" s="1"/>
  <c r="F461" i="34" a="1"/>
  <c r="F461" i="34" s="1"/>
  <c r="F74" i="34" a="1"/>
  <c r="F74" i="34" s="1"/>
  <c r="G74" i="34" a="1"/>
  <c r="G74" i="34" s="1"/>
  <c r="F34" i="34" a="1"/>
  <c r="F34" i="34" s="1"/>
  <c r="G34" i="34" a="1"/>
  <c r="G34" i="34" s="1"/>
  <c r="H5" i="34"/>
  <c r="J5" i="34" s="1"/>
  <c r="H861" i="34"/>
  <c r="J861" i="34" s="1"/>
  <c r="N447" i="34"/>
  <c r="H575" i="34"/>
  <c r="J575" i="34" s="1"/>
  <c r="M587" i="34"/>
  <c r="I740" i="34"/>
  <c r="M337" i="34"/>
  <c r="H431" i="34"/>
  <c r="J431" i="34" s="1"/>
  <c r="H649" i="34"/>
  <c r="J649" i="34" s="1"/>
  <c r="M204" i="34"/>
  <c r="I819" i="34"/>
  <c r="K878" i="34"/>
  <c r="G98" i="34" a="1"/>
  <c r="G98" i="34" s="1"/>
  <c r="G373" i="34" a="1"/>
  <c r="G373" i="34" s="1"/>
  <c r="G330" i="34" a="1"/>
  <c r="G330" i="34" s="1"/>
  <c r="F330" i="34" a="1"/>
  <c r="F330" i="34" s="1"/>
  <c r="F154" i="34" a="1"/>
  <c r="F154" i="34" s="1"/>
  <c r="G154" i="34" a="1"/>
  <c r="G154" i="34" s="1"/>
  <c r="G274" i="34" a="1"/>
  <c r="G274" i="34" s="1"/>
  <c r="F274" i="34" a="1"/>
  <c r="F274" i="34" s="1"/>
  <c r="I636" i="34"/>
  <c r="H587" i="34"/>
  <c r="J587" i="34" s="1"/>
  <c r="I467" i="34"/>
  <c r="I953" i="34"/>
  <c r="M53" i="34"/>
  <c r="M819" i="34"/>
  <c r="K395" i="34"/>
  <c r="N398" i="34"/>
  <c r="N680" i="34"/>
  <c r="I587" i="34"/>
  <c r="I337" i="34"/>
  <c r="M761" i="34"/>
  <c r="H560" i="34"/>
  <c r="J560" i="34" s="1"/>
  <c r="K187" i="34"/>
  <c r="H758" i="34"/>
  <c r="J758" i="34" s="1"/>
  <c r="N645" i="34"/>
  <c r="K204" i="34"/>
  <c r="I607" i="34"/>
  <c r="M438" i="34"/>
  <c r="M308" i="34"/>
  <c r="M688" i="34"/>
  <c r="I46" i="34"/>
  <c r="G910" i="34" a="1"/>
  <c r="G910" i="34" s="1"/>
  <c r="H910" i="34" s="1"/>
  <c r="J910" i="34" s="1"/>
  <c r="H856" i="34"/>
  <c r="J856" i="34" s="1"/>
  <c r="M894" i="34"/>
  <c r="H595" i="34"/>
  <c r="J595" i="34" s="1"/>
  <c r="K98" i="34"/>
  <c r="G266" i="34" a="1"/>
  <c r="G266" i="34" s="1"/>
  <c r="F266" i="34" a="1"/>
  <c r="F266" i="34" s="1"/>
  <c r="I814" i="34"/>
  <c r="K814" i="34"/>
  <c r="M560" i="34"/>
  <c r="H629" i="34"/>
  <c r="J629" i="34" s="1"/>
  <c r="K575" i="34"/>
  <c r="H82" i="34"/>
  <c r="J82" i="34" s="1"/>
  <c r="M805" i="34"/>
  <c r="K789" i="34"/>
  <c r="H882" i="34"/>
  <c r="J882" i="34" s="1"/>
  <c r="H427" i="34"/>
  <c r="J427" i="34" s="1"/>
  <c r="F242" i="34" a="1"/>
  <c r="F242" i="34" s="1"/>
  <c r="G242" i="34" a="1"/>
  <c r="G242" i="34" s="1"/>
  <c r="G451" i="34" a="1"/>
  <c r="G451" i="34" s="1"/>
  <c r="F451" i="34" a="1"/>
  <c r="F451" i="34" s="1"/>
  <c r="F194" i="34" a="1"/>
  <c r="F194" i="34" s="1"/>
  <c r="G194" i="34" a="1"/>
  <c r="G194" i="34" s="1"/>
  <c r="F456" i="34" a="1"/>
  <c r="F456" i="34" s="1"/>
  <c r="G456" i="34" a="1"/>
  <c r="G456" i="34" s="1"/>
  <c r="H541" i="34"/>
  <c r="J541" i="34" s="1"/>
  <c r="G114" i="34" a="1"/>
  <c r="G114" i="34" s="1"/>
  <c r="F114" i="34" a="1"/>
  <c r="F114" i="34" s="1"/>
  <c r="G338" i="34" a="1"/>
  <c r="G338" i="34" s="1"/>
  <c r="F338" i="34" a="1"/>
  <c r="F338" i="34" s="1"/>
  <c r="G221" i="34" a="1"/>
  <c r="G221" i="34" s="1"/>
  <c r="F221" i="34" a="1"/>
  <c r="F221" i="34" s="1"/>
  <c r="G58" i="34" a="1"/>
  <c r="G58" i="34" s="1"/>
  <c r="F58" i="34" a="1"/>
  <c r="F58" i="34" s="1"/>
  <c r="G651" i="34" a="1"/>
  <c r="G651" i="34" s="1"/>
  <c r="F651" i="34" a="1"/>
  <c r="F651" i="34" s="1"/>
  <c r="G453" i="34" a="1"/>
  <c r="G453" i="34" s="1"/>
  <c r="F453" i="34" a="1"/>
  <c r="F453" i="34" s="1"/>
  <c r="G366" i="34" a="1"/>
  <c r="G366" i="34" s="1"/>
  <c r="F366" i="34" a="1"/>
  <c r="F366" i="34" s="1"/>
  <c r="F210" i="34" a="1"/>
  <c r="F210" i="34" s="1"/>
  <c r="G210" i="34" a="1"/>
  <c r="G210" i="34" s="1"/>
  <c r="G491" i="34" a="1"/>
  <c r="G491" i="34" s="1"/>
  <c r="F491" i="34" a="1"/>
  <c r="F491" i="34" s="1"/>
  <c r="I680" i="34"/>
  <c r="K680" i="34"/>
  <c r="M680" i="34"/>
  <c r="H652" i="34"/>
  <c r="J652" i="34" s="1"/>
  <c r="F662" i="34" a="1"/>
  <c r="F662" i="34" s="1"/>
  <c r="G662" i="34" a="1"/>
  <c r="G662" i="34" s="1"/>
  <c r="G622" i="34" a="1"/>
  <c r="G622" i="34" s="1"/>
  <c r="F622" i="34" a="1"/>
  <c r="F622" i="34" s="1"/>
  <c r="F18" i="34" a="1"/>
  <c r="F18" i="34" s="1"/>
  <c r="G18" i="34" a="1"/>
  <c r="G18" i="34" s="1"/>
  <c r="G389" i="34" a="1"/>
  <c r="G389" i="34" s="1"/>
  <c r="F389" i="34" a="1"/>
  <c r="F389" i="34" s="1"/>
  <c r="G403" i="34" a="1"/>
  <c r="G403" i="34" s="1"/>
  <c r="F403" i="34" a="1"/>
  <c r="F403" i="34" s="1"/>
  <c r="M739" i="34"/>
  <c r="G746" i="34" a="1"/>
  <c r="G746" i="34" s="1"/>
  <c r="F746" i="34" a="1"/>
  <c r="F746" i="34" s="1"/>
  <c r="G421" i="34" a="1"/>
  <c r="G421" i="34" s="1"/>
  <c r="F421" i="34" a="1"/>
  <c r="F421" i="34" s="1"/>
  <c r="F590" i="34" a="1"/>
  <c r="F590" i="34" s="1"/>
  <c r="G590" i="34" a="1"/>
  <c r="G590" i="34" s="1"/>
  <c r="G504" i="34" a="1"/>
  <c r="G504" i="34" s="1"/>
  <c r="F504" i="34" a="1"/>
  <c r="F504" i="34" s="1"/>
  <c r="F683" i="34" a="1"/>
  <c r="F683" i="34" s="1"/>
  <c r="G683" i="34" a="1"/>
  <c r="G683" i="34" s="1"/>
  <c r="G413" i="34" a="1"/>
  <c r="G413" i="34" s="1"/>
  <c r="F413" i="34" a="1"/>
  <c r="F413" i="34" s="1"/>
  <c r="F322" i="34" a="1"/>
  <c r="F322" i="34" s="1"/>
  <c r="G322" i="34" a="1"/>
  <c r="G322" i="34" s="1"/>
  <c r="H739" i="34"/>
  <c r="J739" i="34" s="1"/>
  <c r="K739" i="34"/>
  <c r="F282" i="34" a="1"/>
  <c r="F282" i="34" s="1"/>
  <c r="G282" i="34" a="1"/>
  <c r="G282" i="34" s="1"/>
  <c r="G437" i="34" a="1"/>
  <c r="G437" i="34" s="1"/>
  <c r="F437" i="34" a="1"/>
  <c r="F437" i="34" s="1"/>
  <c r="G518" i="34" a="1"/>
  <c r="G518" i="34" s="1"/>
  <c r="F518" i="34" a="1"/>
  <c r="F518" i="34" s="1"/>
  <c r="F202" i="34" a="1"/>
  <c r="F202" i="34" s="1"/>
  <c r="G202" i="34" a="1"/>
  <c r="G202" i="34" s="1"/>
  <c r="F507" i="34" a="1"/>
  <c r="F507" i="34" s="1"/>
  <c r="G507" i="34" a="1"/>
  <c r="G507" i="34" s="1"/>
  <c r="G769" i="34" a="1"/>
  <c r="G769" i="34" s="1"/>
  <c r="F769" i="34" a="1"/>
  <c r="F769" i="34" s="1"/>
  <c r="G520" i="34" a="1"/>
  <c r="G520" i="34" s="1"/>
  <c r="F520" i="34" a="1"/>
  <c r="F520" i="34" s="1"/>
  <c r="F663" i="34" a="1"/>
  <c r="F663" i="34" s="1"/>
  <c r="G663" i="34" a="1"/>
  <c r="G663" i="34" s="1"/>
  <c r="G249" i="34" a="1"/>
  <c r="G249" i="34" s="1"/>
  <c r="F249" i="34" a="1"/>
  <c r="F249" i="34" s="1"/>
  <c r="G138" i="34" a="1"/>
  <c r="G138" i="34" s="1"/>
  <c r="F138" i="34" a="1"/>
  <c r="F138" i="34" s="1"/>
  <c r="G776" i="34" a="1"/>
  <c r="G776" i="34" s="1"/>
  <c r="F776" i="34" a="1"/>
  <c r="F776" i="34" s="1"/>
  <c r="H763" i="34"/>
  <c r="J763" i="34" s="1"/>
  <c r="H50" i="34"/>
  <c r="J50" i="34" s="1"/>
  <c r="H823" i="34"/>
  <c r="J823" i="34" s="1"/>
  <c r="G744" i="34" a="1"/>
  <c r="G744" i="34" s="1"/>
  <c r="F744" i="34" a="1"/>
  <c r="F744" i="34" s="1"/>
  <c r="G430" i="34" a="1"/>
  <c r="G430" i="34" s="1"/>
  <c r="F430" i="34" a="1"/>
  <c r="F430" i="34" s="1"/>
  <c r="F600" i="34" a="1"/>
  <c r="F600" i="34" s="1"/>
  <c r="G600" i="34" a="1"/>
  <c r="G600" i="34" s="1"/>
  <c r="K278" i="34"/>
  <c r="H820" i="34"/>
  <c r="J820" i="34" s="1"/>
  <c r="K308" i="34"/>
  <c r="I454" i="34"/>
  <c r="I886" i="34"/>
  <c r="H653" i="34"/>
  <c r="J653" i="34" s="1"/>
  <c r="I569" i="34"/>
  <c r="H379" i="34"/>
  <c r="J379" i="34" s="1"/>
  <c r="H711" i="34"/>
  <c r="J711" i="34" s="1"/>
  <c r="M363" i="34"/>
  <c r="N962" i="34"/>
  <c r="H406" i="34"/>
  <c r="J406" i="34" s="1"/>
  <c r="M585" i="34"/>
  <c r="M278" i="34"/>
  <c r="K843" i="34"/>
  <c r="H822" i="34"/>
  <c r="J822" i="34" s="1"/>
  <c r="H786" i="34"/>
  <c r="J786" i="34" s="1"/>
  <c r="N942" i="34"/>
  <c r="I585" i="34"/>
  <c r="M792" i="34"/>
  <c r="H517" i="34"/>
  <c r="J517" i="34" s="1"/>
  <c r="K791" i="34"/>
  <c r="N677" i="34"/>
  <c r="M188" i="34"/>
  <c r="I791" i="34"/>
  <c r="M843" i="34"/>
  <c r="I188" i="34"/>
  <c r="M557" i="34"/>
  <c r="M147" i="34"/>
  <c r="M534" i="34"/>
  <c r="H585" i="34"/>
  <c r="J585" i="34" s="1"/>
  <c r="M931" i="34"/>
  <c r="I147" i="34"/>
  <c r="K582" i="34"/>
  <c r="K379" i="34"/>
  <c r="H429" i="34"/>
  <c r="J429" i="34" s="1"/>
  <c r="I931" i="34"/>
  <c r="M752" i="34"/>
  <c r="I438" i="34"/>
  <c r="K905" i="34"/>
  <c r="M547" i="34"/>
  <c r="H840" i="34"/>
  <c r="J840" i="34" s="1"/>
  <c r="H642" i="34"/>
  <c r="J642" i="34" s="1"/>
  <c r="H960" i="34"/>
  <c r="J960" i="34" s="1"/>
  <c r="H333" i="34"/>
  <c r="J333" i="34" s="1"/>
  <c r="N131" i="34"/>
  <c r="M886" i="34"/>
  <c r="H903" i="34"/>
  <c r="J903" i="34" s="1"/>
  <c r="H811" i="34"/>
  <c r="J811" i="34" s="1"/>
  <c r="K68" i="34"/>
  <c r="H755" i="34"/>
  <c r="J755" i="34" s="1"/>
  <c r="M310" i="34"/>
  <c r="M887" i="34"/>
  <c r="I672" i="34"/>
  <c r="M598" i="34"/>
  <c r="H909" i="34"/>
  <c r="J909" i="34" s="1"/>
  <c r="K903" i="34"/>
  <c r="H639" i="34"/>
  <c r="J639" i="34" s="1"/>
  <c r="K597" i="34"/>
  <c r="N502" i="34"/>
  <c r="K459" i="34"/>
  <c r="M404" i="34"/>
  <c r="M515" i="34"/>
  <c r="I887" i="34"/>
  <c r="H637" i="34"/>
  <c r="J637" i="34" s="1"/>
  <c r="K277" i="34"/>
  <c r="H404" i="34"/>
  <c r="J404" i="34" s="1"/>
  <c r="I404" i="34"/>
  <c r="I515" i="34"/>
  <c r="M459" i="34"/>
  <c r="M375" i="34"/>
  <c r="N935" i="34"/>
  <c r="K435" i="34"/>
  <c r="H761" i="34"/>
  <c r="J761" i="34" s="1"/>
  <c r="N84" i="34"/>
  <c r="M195" i="34"/>
  <c r="I375" i="34"/>
  <c r="N350" i="34"/>
  <c r="N829" i="34"/>
  <c r="I909" i="34"/>
  <c r="M597" i="34"/>
  <c r="M277" i="34"/>
  <c r="I382" i="34"/>
  <c r="M903" i="34"/>
  <c r="M212" i="34"/>
  <c r="M435" i="34"/>
  <c r="N671" i="34"/>
  <c r="M909" i="34"/>
  <c r="M68" i="34"/>
  <c r="I212" i="34"/>
  <c r="H901" i="34"/>
  <c r="J901" i="34" s="1"/>
  <c r="H722" i="34"/>
  <c r="J722" i="34" s="1"/>
  <c r="H738" i="34"/>
  <c r="J738" i="34" s="1"/>
  <c r="H99" i="34"/>
  <c r="J99" i="34" s="1"/>
  <c r="K639" i="34"/>
  <c r="I792" i="34"/>
  <c r="H399" i="34"/>
  <c r="J399" i="34" s="1"/>
  <c r="H765" i="34"/>
  <c r="J765" i="34" s="1"/>
  <c r="I522" i="34"/>
  <c r="M639" i="34"/>
  <c r="M294" i="34"/>
  <c r="H310" i="34"/>
  <c r="J310" i="34" s="1"/>
  <c r="N824" i="34"/>
  <c r="K5" i="34"/>
  <c r="N745" i="34"/>
  <c r="N640" i="34"/>
  <c r="K856" i="34"/>
  <c r="I639" i="34"/>
  <c r="M914" i="34"/>
  <c r="H914" i="34"/>
  <c r="J914" i="34" s="1"/>
  <c r="K914" i="34"/>
  <c r="M414" i="34"/>
  <c r="N909" i="34"/>
  <c r="H644" i="34"/>
  <c r="J644" i="34" s="1"/>
  <c r="H308" i="34"/>
  <c r="J308" i="34" s="1"/>
  <c r="N347" i="34"/>
  <c r="H195" i="34"/>
  <c r="J195" i="34" s="1"/>
  <c r="H908" i="34"/>
  <c r="J908" i="34" s="1"/>
  <c r="H664" i="34"/>
  <c r="J664" i="34" s="1"/>
  <c r="K939" i="34"/>
  <c r="H886" i="34"/>
  <c r="J886" i="34" s="1"/>
  <c r="K99" i="34"/>
  <c r="H459" i="34"/>
  <c r="J459" i="34" s="1"/>
  <c r="M920" i="34"/>
  <c r="H688" i="34"/>
  <c r="J688" i="34" s="1"/>
  <c r="H930" i="34"/>
  <c r="J930" i="34" s="1"/>
  <c r="I688" i="34"/>
  <c r="I933" i="34"/>
  <c r="H874" i="34"/>
  <c r="J874" i="34" s="1"/>
  <c r="K908" i="34"/>
  <c r="H196" i="34"/>
  <c r="J196" i="34" s="1"/>
  <c r="N449" i="34"/>
  <c r="I284" i="34"/>
  <c r="M429" i="34"/>
  <c r="M859" i="34"/>
  <c r="I429" i="34"/>
  <c r="K752" i="34"/>
  <c r="H641" i="34"/>
  <c r="J641" i="34" s="1"/>
  <c r="M930" i="34"/>
  <c r="N36" i="34"/>
  <c r="H36" i="34"/>
  <c r="J36" i="34" s="1"/>
  <c r="H11" i="34"/>
  <c r="J11" i="34" s="1"/>
  <c r="H557" i="34"/>
  <c r="J557" i="34" s="1"/>
  <c r="M738" i="34"/>
  <c r="M791" i="34"/>
  <c r="M387" i="34"/>
  <c r="K956" i="34"/>
  <c r="I250" i="34"/>
  <c r="K250" i="34"/>
  <c r="M250" i="34"/>
  <c r="H617" i="34"/>
  <c r="J617" i="34" s="1"/>
  <c r="N614" i="34"/>
  <c r="N797" i="34"/>
  <c r="N948" i="34"/>
  <c r="K738" i="34"/>
  <c r="M609" i="34"/>
  <c r="I752" i="34"/>
  <c r="I76" i="34"/>
  <c r="I802" i="34"/>
  <c r="H798" i="34"/>
  <c r="J798" i="34" s="1"/>
  <c r="N20" i="34"/>
  <c r="H931" i="34"/>
  <c r="J931" i="34" s="1"/>
  <c r="M179" i="34"/>
  <c r="M417" i="34"/>
  <c r="H171" i="34"/>
  <c r="J171" i="34" s="1"/>
  <c r="H573" i="34"/>
  <c r="J573" i="34" s="1"/>
  <c r="H658" i="34"/>
  <c r="J658" i="34" s="1"/>
  <c r="K284" i="34"/>
  <c r="H278" i="34"/>
  <c r="J278" i="34" s="1"/>
  <c r="N559" i="34"/>
  <c r="K179" i="34"/>
  <c r="I417" i="34"/>
  <c r="M901" i="34"/>
  <c r="M855" i="34"/>
  <c r="M148" i="34"/>
  <c r="H147" i="34"/>
  <c r="J147" i="34" s="1"/>
  <c r="K417" i="34"/>
  <c r="H917" i="34"/>
  <c r="J917" i="34" s="1"/>
  <c r="I901" i="34"/>
  <c r="M917" i="34"/>
  <c r="I148" i="34"/>
  <c r="N749" i="34"/>
  <c r="K859" i="34"/>
  <c r="K930" i="34"/>
  <c r="H693" i="34"/>
  <c r="J693" i="34" s="1"/>
  <c r="K470" i="34"/>
  <c r="I757" i="34"/>
  <c r="F6" i="34" a="1"/>
  <c r="F6" i="34" s="1"/>
  <c r="I6" i="34" s="1"/>
  <c r="K607" i="34"/>
  <c r="H43" i="34"/>
  <c r="J43" i="34" s="1"/>
  <c r="H485" i="34"/>
  <c r="J485" i="34" s="1"/>
  <c r="H854" i="34"/>
  <c r="J854" i="34" s="1"/>
  <c r="K750" i="34"/>
  <c r="M923" i="34"/>
  <c r="M542" i="34"/>
  <c r="H923" i="34"/>
  <c r="J923" i="34" s="1"/>
  <c r="I923" i="34"/>
  <c r="M395" i="34"/>
  <c r="H472" i="34"/>
  <c r="J472" i="34" s="1"/>
  <c r="M750" i="34"/>
  <c r="K915" i="34"/>
  <c r="K542" i="34"/>
  <c r="H757" i="34"/>
  <c r="J757" i="34" s="1"/>
  <c r="I341" i="34"/>
  <c r="H946" i="34"/>
  <c r="J946" i="34" s="1"/>
  <c r="N315" i="34"/>
  <c r="N252" i="34"/>
  <c r="K889" i="34"/>
  <c r="I243" i="34"/>
  <c r="I889" i="34"/>
  <c r="I582" i="34"/>
  <c r="I834" i="34"/>
  <c r="H411" i="34"/>
  <c r="J411" i="34" s="1"/>
  <c r="H525" i="34"/>
  <c r="J525" i="34" s="1"/>
  <c r="H182" i="34"/>
  <c r="J182" i="34" s="1"/>
  <c r="N348" i="34"/>
  <c r="N708" i="34"/>
  <c r="I501" i="34"/>
  <c r="I139" i="34"/>
  <c r="M28" i="34"/>
  <c r="I294" i="34"/>
  <c r="M674" i="34"/>
  <c r="M301" i="34"/>
  <c r="K458" i="34"/>
  <c r="I458" i="34"/>
  <c r="M458" i="34"/>
  <c r="H954" i="34"/>
  <c r="J954" i="34" s="1"/>
  <c r="H368" i="34"/>
  <c r="J368" i="34" s="1"/>
  <c r="I28" i="34"/>
  <c r="I674" i="34"/>
  <c r="K686" i="34"/>
  <c r="M906" i="34"/>
  <c r="K906" i="34"/>
  <c r="H756" i="34"/>
  <c r="J756" i="34" s="1"/>
  <c r="H531" i="34"/>
  <c r="J531" i="34" s="1"/>
  <c r="H550" i="34"/>
  <c r="J550" i="34" s="1"/>
  <c r="M235" i="34"/>
  <c r="M840" i="34"/>
  <c r="M482" i="34"/>
  <c r="H953" i="34"/>
  <c r="J953" i="34" s="1"/>
  <c r="M954" i="34"/>
  <c r="H236" i="34"/>
  <c r="J236" i="34" s="1"/>
  <c r="N251" i="34"/>
  <c r="N254" i="34"/>
  <c r="H889" i="34"/>
  <c r="J889" i="34" s="1"/>
  <c r="I235" i="34"/>
  <c r="I482" i="34"/>
  <c r="M963" i="34"/>
  <c r="M686" i="34"/>
  <c r="H294" i="34"/>
  <c r="J294" i="34" s="1"/>
  <c r="H906" i="34"/>
  <c r="J906" i="34" s="1"/>
  <c r="H896" i="34"/>
  <c r="J896" i="34" s="1"/>
  <c r="H482" i="34"/>
  <c r="J482" i="34" s="1"/>
  <c r="M756" i="34"/>
  <c r="I219" i="34"/>
  <c r="K243" i="34"/>
  <c r="H581" i="34"/>
  <c r="J581" i="34" s="1"/>
  <c r="K834" i="34"/>
  <c r="I756" i="34"/>
  <c r="H483" i="34"/>
  <c r="J483" i="34" s="1"/>
  <c r="N821" i="34"/>
  <c r="N743" i="34"/>
  <c r="N902" i="34"/>
  <c r="H156" i="34"/>
  <c r="J156" i="34" s="1"/>
  <c r="M866" i="34"/>
  <c r="M382" i="34"/>
  <c r="M569" i="34"/>
  <c r="I690" i="34"/>
  <c r="I156" i="34"/>
  <c r="M748" i="34"/>
  <c r="H866" i="34"/>
  <c r="J866" i="34" s="1"/>
  <c r="K764" i="34"/>
  <c r="N754" i="34"/>
  <c r="H754" i="34"/>
  <c r="J754" i="34" s="1"/>
  <c r="I832" i="34"/>
  <c r="M832" i="34"/>
  <c r="K832" i="34"/>
  <c r="H375" i="34"/>
  <c r="J375" i="34" s="1"/>
  <c r="N891" i="34"/>
  <c r="K822" i="34"/>
  <c r="I840" i="34"/>
  <c r="M411" i="34"/>
  <c r="M581" i="34"/>
  <c r="I940" i="34"/>
  <c r="H569" i="34"/>
  <c r="J569" i="34" s="1"/>
  <c r="N726" i="34"/>
  <c r="H726" i="34"/>
  <c r="J726" i="34" s="1"/>
  <c r="K960" i="34"/>
  <c r="M531" i="34"/>
  <c r="M583" i="34"/>
  <c r="M822" i="34"/>
  <c r="M960" i="34"/>
  <c r="I422" i="34"/>
  <c r="I411" i="34"/>
  <c r="K940" i="34"/>
  <c r="K885" i="34"/>
  <c r="H277" i="34"/>
  <c r="J277" i="34" s="1"/>
  <c r="K411" i="34"/>
  <c r="H869" i="34"/>
  <c r="J869" i="34" s="1"/>
  <c r="N813" i="34"/>
  <c r="I531" i="34"/>
  <c r="I583" i="34"/>
  <c r="I822" i="34"/>
  <c r="I761" i="34"/>
  <c r="I960" i="34"/>
  <c r="M494" i="34"/>
  <c r="M907" i="34"/>
  <c r="M794" i="34"/>
  <c r="K228" i="34"/>
  <c r="H748" i="34"/>
  <c r="J748" i="34" s="1"/>
  <c r="K581" i="34"/>
  <c r="K525" i="34"/>
  <c r="H542" i="34"/>
  <c r="J542" i="34" s="1"/>
  <c r="H589" i="34"/>
  <c r="J589" i="34" s="1"/>
  <c r="K869" i="34"/>
  <c r="H204" i="34"/>
  <c r="J204" i="34" s="1"/>
  <c r="N630" i="34"/>
  <c r="N936" i="34"/>
  <c r="M525" i="34"/>
  <c r="M632" i="34"/>
  <c r="M694" i="34"/>
  <c r="M317" i="34"/>
  <c r="M764" i="34"/>
  <c r="H845" i="34"/>
  <c r="J845" i="34" s="1"/>
  <c r="H583" i="34"/>
  <c r="J583" i="34" s="1"/>
  <c r="M885" i="34"/>
  <c r="I525" i="34"/>
  <c r="M316" i="34"/>
  <c r="M869" i="34"/>
  <c r="I632" i="34"/>
  <c r="I694" i="34"/>
  <c r="M929" i="34"/>
  <c r="K316" i="34"/>
  <c r="K840" i="34"/>
  <c r="H92" i="34"/>
  <c r="J92" i="34" s="1"/>
  <c r="M690" i="34"/>
  <c r="I929" i="34"/>
  <c r="M156" i="34"/>
  <c r="I907" i="34"/>
  <c r="H694" i="34"/>
  <c r="J694" i="34" s="1"/>
  <c r="H332" i="34"/>
  <c r="J332" i="34" s="1"/>
  <c r="K43" i="34"/>
  <c r="H158" i="34"/>
  <c r="J158" i="34" s="1"/>
  <c r="H387" i="34"/>
  <c r="J387" i="34" s="1"/>
  <c r="H904" i="34"/>
  <c r="J904" i="34" s="1"/>
  <c r="H816" i="34"/>
  <c r="J816" i="34" s="1"/>
  <c r="N659" i="34"/>
  <c r="H855" i="34"/>
  <c r="J855" i="34" s="1"/>
  <c r="H607" i="34"/>
  <c r="J607" i="34" s="1"/>
  <c r="M501" i="34"/>
  <c r="M522" i="34"/>
  <c r="M728" i="34"/>
  <c r="M933" i="34"/>
  <c r="M219" i="34"/>
  <c r="M826" i="34"/>
  <c r="H613" i="34"/>
  <c r="J613" i="34" s="1"/>
  <c r="K920" i="34"/>
  <c r="K573" i="34"/>
  <c r="H522" i="34"/>
  <c r="J522" i="34" s="1"/>
  <c r="H767" i="34"/>
  <c r="J767" i="34" s="1"/>
  <c r="H501" i="34"/>
  <c r="J501" i="34" s="1"/>
  <c r="K485" i="34"/>
  <c r="K44" i="34"/>
  <c r="M483" i="34"/>
  <c r="M44" i="34"/>
  <c r="M927" i="34"/>
  <c r="M485" i="34"/>
  <c r="I855" i="34"/>
  <c r="I494" i="34"/>
  <c r="I963" i="34"/>
  <c r="I387" i="34"/>
  <c r="H494" i="34"/>
  <c r="J494" i="34" s="1"/>
  <c r="H718" i="34"/>
  <c r="J718" i="34" s="1"/>
  <c r="M78" i="34"/>
  <c r="K644" i="34"/>
  <c r="I727" i="34"/>
  <c r="K483" i="34"/>
  <c r="K86" i="34"/>
  <c r="H285" i="34"/>
  <c r="J285" i="34" s="1"/>
  <c r="H479" i="34"/>
  <c r="J479" i="34" s="1"/>
  <c r="H44" i="34"/>
  <c r="J44" i="34" s="1"/>
  <c r="M696" i="34"/>
  <c r="I483" i="34"/>
  <c r="M644" i="34"/>
  <c r="I927" i="34"/>
  <c r="I485" i="34"/>
  <c r="H927" i="34"/>
  <c r="J927" i="34" s="1"/>
  <c r="K826" i="34"/>
  <c r="H94" i="34"/>
  <c r="J94" i="34" s="1"/>
  <c r="K842" i="34"/>
  <c r="H881" i="34"/>
  <c r="J881" i="34" s="1"/>
  <c r="K825" i="34"/>
  <c r="K70" i="34"/>
  <c r="I696" i="34"/>
  <c r="M957" i="34"/>
  <c r="M43" i="34"/>
  <c r="M478" i="34"/>
  <c r="H696" i="34"/>
  <c r="J696" i="34" s="1"/>
  <c r="H674" i="34"/>
  <c r="J674" i="34" s="1"/>
  <c r="H597" i="34"/>
  <c r="J597" i="34" s="1"/>
  <c r="H799" i="34"/>
  <c r="J799" i="34" s="1"/>
  <c r="H871" i="34"/>
  <c r="J871" i="34" s="1"/>
  <c r="N555" i="34"/>
  <c r="M842" i="34"/>
  <c r="I957" i="34"/>
  <c r="M862" i="34"/>
  <c r="I43" i="34"/>
  <c r="M86" i="34"/>
  <c r="I478" i="34"/>
  <c r="M479" i="34"/>
  <c r="K78" i="34"/>
  <c r="H435" i="34"/>
  <c r="J435" i="34" s="1"/>
  <c r="H842" i="34"/>
  <c r="J842" i="34" s="1"/>
  <c r="I862" i="34"/>
  <c r="M825" i="34"/>
  <c r="M70" i="34"/>
  <c r="I904" i="34"/>
  <c r="M904" i="34"/>
  <c r="H22" i="34"/>
  <c r="J22" i="34" s="1"/>
  <c r="N22" i="34"/>
  <c r="K479" i="34"/>
  <c r="I195" i="34"/>
  <c r="H907" i="34"/>
  <c r="J907" i="34" s="1"/>
  <c r="K954" i="34"/>
  <c r="H358" i="34"/>
  <c r="J358" i="34" s="1"/>
  <c r="H438" i="34"/>
  <c r="J438" i="34" s="1"/>
  <c r="I626" i="34"/>
  <c r="M626" i="34"/>
  <c r="K626" i="34"/>
  <c r="N803" i="34"/>
  <c r="H803" i="34"/>
  <c r="J803" i="34" s="1"/>
  <c r="K454" i="34"/>
  <c r="H934" i="34"/>
  <c r="J934" i="34" s="1"/>
  <c r="K332" i="34"/>
  <c r="H28" i="34"/>
  <c r="J28" i="34" s="1"/>
  <c r="M858" i="34"/>
  <c r="M124" i="34"/>
  <c r="K163" i="34"/>
  <c r="H243" i="34"/>
  <c r="J243" i="34" s="1"/>
  <c r="I890" i="34"/>
  <c r="I635" i="34"/>
  <c r="I919" i="34"/>
  <c r="I655" i="34"/>
  <c r="I958" i="34"/>
  <c r="K781" i="34"/>
  <c r="I964" i="34"/>
  <c r="H582" i="34"/>
  <c r="J582" i="34" s="1"/>
  <c r="H938" i="34"/>
  <c r="J938" i="34" s="1"/>
  <c r="H825" i="34"/>
  <c r="J825" i="34" s="1"/>
  <c r="N879" i="34"/>
  <c r="N638" i="34"/>
  <c r="M810" i="34"/>
  <c r="M706" i="34"/>
  <c r="I858" i="34"/>
  <c r="M895" i="34"/>
  <c r="M890" i="34"/>
  <c r="H478" i="34"/>
  <c r="J478" i="34" s="1"/>
  <c r="H316" i="34"/>
  <c r="J316" i="34" s="1"/>
  <c r="M781" i="34"/>
  <c r="K283" i="34"/>
  <c r="K899" i="34"/>
  <c r="H341" i="34"/>
  <c r="J341" i="34" s="1"/>
  <c r="I810" i="34"/>
  <c r="I706" i="34"/>
  <c r="M881" i="34"/>
  <c r="M899" i="34"/>
  <c r="I895" i="34"/>
  <c r="M324" i="34"/>
  <c r="H864" i="34"/>
  <c r="J864" i="34" s="1"/>
  <c r="I340" i="34"/>
  <c r="H12" i="34"/>
  <c r="J12" i="34" s="1"/>
  <c r="F37" i="34" a="1"/>
  <c r="F37" i="34" s="1"/>
  <c r="G37" i="34" a="1"/>
  <c r="G37" i="34" s="1"/>
  <c r="H317" i="34"/>
  <c r="J317" i="34" s="1"/>
  <c r="H899" i="34"/>
  <c r="J899" i="34" s="1"/>
  <c r="I881" i="34"/>
  <c r="M332" i="34"/>
  <c r="I324" i="34"/>
  <c r="H876" i="34"/>
  <c r="J876" i="34" s="1"/>
  <c r="K871" i="34"/>
  <c r="M871" i="34"/>
  <c r="K897" i="34"/>
  <c r="H792" i="34"/>
  <c r="J792" i="34" s="1"/>
  <c r="H269" i="34"/>
  <c r="J269" i="34" s="1"/>
  <c r="F38" i="34" a="1"/>
  <c r="F38" i="34" s="1"/>
  <c r="G38" i="34" a="1"/>
  <c r="G38" i="34" s="1"/>
  <c r="F134" i="34" a="1"/>
  <c r="F134" i="34" s="1"/>
  <c r="G134" i="34" a="1"/>
  <c r="G134" i="34" s="1"/>
  <c r="N132" i="34"/>
  <c r="H132" i="34"/>
  <c r="J132" i="34" s="1"/>
  <c r="H566" i="34"/>
  <c r="J566" i="34" s="1"/>
  <c r="K341" i="34"/>
  <c r="M566" i="34"/>
  <c r="M876" i="34"/>
  <c r="I332" i="34"/>
  <c r="H648" i="34"/>
  <c r="J648" i="34" s="1"/>
  <c r="H706" i="34"/>
  <c r="J706" i="34" s="1"/>
  <c r="K446" i="34"/>
  <c r="N576" i="34"/>
  <c r="H576" i="34"/>
  <c r="J576" i="34" s="1"/>
  <c r="K566" i="34"/>
  <c r="N60" i="34"/>
  <c r="M897" i="34"/>
  <c r="I876" i="34"/>
  <c r="M163" i="34"/>
  <c r="H810" i="34"/>
  <c r="J810" i="34" s="1"/>
  <c r="H911" i="34"/>
  <c r="J911" i="34" s="1"/>
  <c r="H284" i="34"/>
  <c r="J284" i="34" s="1"/>
  <c r="H283" i="34"/>
  <c r="J283" i="34" s="1"/>
  <c r="M864" i="34"/>
  <c r="K317" i="34"/>
  <c r="H52" i="34"/>
  <c r="J52" i="34" s="1"/>
  <c r="K757" i="34"/>
  <c r="H486" i="34"/>
  <c r="J486" i="34" s="1"/>
  <c r="N486" i="34"/>
  <c r="H626" i="34"/>
  <c r="J626" i="34" s="1"/>
  <c r="M898" i="34"/>
  <c r="K898" i="34"/>
  <c r="K601" i="34"/>
  <c r="I365" i="34"/>
  <c r="I323" i="34"/>
  <c r="M358" i="34"/>
  <c r="M443" i="34"/>
  <c r="I800" i="34"/>
  <c r="M517" i="34"/>
  <c r="M422" i="34"/>
  <c r="K627" i="34"/>
  <c r="K637" i="34"/>
  <c r="H717" i="34"/>
  <c r="J717" i="34" s="1"/>
  <c r="N897" i="34"/>
  <c r="H897" i="34"/>
  <c r="J897" i="34" s="1"/>
  <c r="H163" i="34"/>
  <c r="J163" i="34" s="1"/>
  <c r="N163" i="34"/>
  <c r="F190" i="34" a="1"/>
  <c r="F190" i="34" s="1"/>
  <c r="G190" i="34" a="1"/>
  <c r="G190" i="34" s="1"/>
  <c r="N883" i="34"/>
  <c r="H883" i="34"/>
  <c r="J883" i="34" s="1"/>
  <c r="N895" i="34"/>
  <c r="H895" i="34"/>
  <c r="J895" i="34" s="1"/>
  <c r="N834" i="34"/>
  <c r="H834" i="34"/>
  <c r="J834" i="34" s="1"/>
  <c r="F61" i="34" a="1"/>
  <c r="F61" i="34" s="1"/>
  <c r="G61" i="34" a="1"/>
  <c r="G61" i="34" s="1"/>
  <c r="G261" i="34" a="1"/>
  <c r="G261" i="34" s="1"/>
  <c r="F261" i="34" a="1"/>
  <c r="F261" i="34" s="1"/>
  <c r="M655" i="34"/>
  <c r="K655" i="34"/>
  <c r="K964" i="34"/>
  <c r="M964" i="34"/>
  <c r="M861" i="34"/>
  <c r="K861" i="34"/>
  <c r="M900" i="34"/>
  <c r="K900" i="34"/>
  <c r="H945" i="34"/>
  <c r="J945" i="34" s="1"/>
  <c r="M943" i="34"/>
  <c r="K943" i="34"/>
  <c r="N690" i="34"/>
  <c r="H690" i="34"/>
  <c r="J690" i="34" s="1"/>
  <c r="G302" i="34" a="1"/>
  <c r="G302" i="34" s="1"/>
  <c r="F302" i="34" a="1"/>
  <c r="F302" i="34" s="1"/>
  <c r="F142" i="34" a="1"/>
  <c r="F142" i="34" s="1"/>
  <c r="G142" i="34" a="1"/>
  <c r="G142" i="34" s="1"/>
  <c r="H382" i="34"/>
  <c r="J382" i="34" s="1"/>
  <c r="N382" i="34"/>
  <c r="K172" i="34"/>
  <c r="K800" i="34"/>
  <c r="I557" i="34"/>
  <c r="M52" i="34"/>
  <c r="I124" i="34"/>
  <c r="M331" i="34"/>
  <c r="H805" i="34"/>
  <c r="J805" i="34" s="1"/>
  <c r="H627" i="34"/>
  <c r="J627" i="34" s="1"/>
  <c r="I627" i="34"/>
  <c r="N318" i="34"/>
  <c r="H318" i="34"/>
  <c r="J318" i="34" s="1"/>
  <c r="I549" i="34"/>
  <c r="F189" i="34" a="1"/>
  <c r="F189" i="34" s="1"/>
  <c r="G189" i="34" a="1"/>
  <c r="G189" i="34" s="1"/>
  <c r="N457" i="34"/>
  <c r="H457" i="34"/>
  <c r="J457" i="34" s="1"/>
  <c r="H579" i="34"/>
  <c r="J579" i="34" s="1"/>
  <c r="N579" i="34"/>
  <c r="N702" i="34"/>
  <c r="I846" i="34"/>
  <c r="G126" i="34" a="1"/>
  <c r="G126" i="34" s="1"/>
  <c r="F126" i="34" a="1"/>
  <c r="F126" i="34" s="1"/>
  <c r="H601" i="34"/>
  <c r="J601" i="34" s="1"/>
  <c r="N601" i="34"/>
  <c r="N331" i="34"/>
  <c r="H331" i="34"/>
  <c r="J331" i="34" s="1"/>
  <c r="I944" i="34"/>
  <c r="I898" i="34"/>
  <c r="F246" i="34" a="1"/>
  <c r="F246" i="34" s="1"/>
  <c r="G246" i="34" a="1"/>
  <c r="G246" i="34" s="1"/>
  <c r="N124" i="34"/>
  <c r="H124" i="34"/>
  <c r="J124" i="34" s="1"/>
  <c r="N323" i="34"/>
  <c r="H323" i="34"/>
  <c r="J323" i="34" s="1"/>
  <c r="M637" i="34"/>
  <c r="K932" i="34"/>
  <c r="M932" i="34"/>
  <c r="M950" i="34"/>
  <c r="K950" i="34"/>
  <c r="F45" i="34" a="1"/>
  <c r="F45" i="34" s="1"/>
  <c r="G45" i="34" a="1"/>
  <c r="G45" i="34" s="1"/>
  <c r="F270" i="34" a="1"/>
  <c r="F270" i="34" s="1"/>
  <c r="G270" i="34" a="1"/>
  <c r="G270" i="34" s="1"/>
  <c r="H949" i="34"/>
  <c r="J949" i="34" s="1"/>
  <c r="N949" i="34"/>
  <c r="F174" i="34" a="1"/>
  <c r="F174" i="34" s="1"/>
  <c r="G174" i="34" a="1"/>
  <c r="G174" i="34" s="1"/>
  <c r="N887" i="34"/>
  <c r="H887" i="34"/>
  <c r="J887" i="34" s="1"/>
  <c r="N957" i="34"/>
  <c r="H957" i="34"/>
  <c r="J957" i="34" s="1"/>
  <c r="K358" i="34"/>
  <c r="K717" i="34"/>
  <c r="M830" i="34"/>
  <c r="I52" i="34"/>
  <c r="H422" i="34"/>
  <c r="J422" i="34" s="1"/>
  <c r="K323" i="34"/>
  <c r="F166" i="34" a="1"/>
  <c r="F166" i="34" s="1"/>
  <c r="G166" i="34" a="1"/>
  <c r="G166" i="34" s="1"/>
  <c r="F93" i="34" a="1"/>
  <c r="F93" i="34" s="1"/>
  <c r="G93" i="34" a="1"/>
  <c r="G93" i="34" s="1"/>
  <c r="M804" i="34"/>
  <c r="H804" i="34"/>
  <c r="J804" i="34" s="1"/>
  <c r="K804" i="34"/>
  <c r="F62" i="34" a="1"/>
  <c r="F62" i="34" s="1"/>
  <c r="G62" i="34" a="1"/>
  <c r="G62" i="34" s="1"/>
  <c r="K737" i="34"/>
  <c r="M737" i="34"/>
  <c r="H737" i="34"/>
  <c r="J737" i="34" s="1"/>
  <c r="I912" i="34"/>
  <c r="M912" i="34"/>
  <c r="M333" i="34"/>
  <c r="K333" i="34"/>
  <c r="F214" i="34" a="1"/>
  <c r="F214" i="34" s="1"/>
  <c r="G214" i="34" a="1"/>
  <c r="G214" i="34" s="1"/>
  <c r="M340" i="34"/>
  <c r="K340" i="34"/>
  <c r="K672" i="34"/>
  <c r="M672" i="34"/>
  <c r="M635" i="34"/>
  <c r="K635" i="34"/>
  <c r="M919" i="34"/>
  <c r="K919" i="34"/>
  <c r="M946" i="34"/>
  <c r="K946" i="34"/>
  <c r="N148" i="34"/>
  <c r="H148" i="34"/>
  <c r="J148" i="34" s="1"/>
  <c r="N76" i="34"/>
  <c r="H76" i="34"/>
  <c r="J76" i="34" s="1"/>
  <c r="I908" i="34"/>
  <c r="M470" i="34"/>
  <c r="I894" i="34"/>
  <c r="H395" i="34"/>
  <c r="J395" i="34" s="1"/>
  <c r="N395" i="34"/>
  <c r="I932" i="34"/>
  <c r="I950" i="34"/>
  <c r="M446" i="34"/>
  <c r="H890" i="34"/>
  <c r="J890" i="34" s="1"/>
  <c r="K911" i="34"/>
  <c r="M911" i="34"/>
  <c r="F109" i="34" a="1"/>
  <c r="F109" i="34" s="1"/>
  <c r="G109" i="34" a="1"/>
  <c r="G109" i="34" s="1"/>
  <c r="K854" i="34"/>
  <c r="M854" i="34"/>
  <c r="I854" i="34"/>
  <c r="H852" i="34"/>
  <c r="J852" i="34" s="1"/>
  <c r="M852" i="34"/>
  <c r="K852" i="34"/>
  <c r="N324" i="34"/>
  <c r="H324" i="34"/>
  <c r="J324" i="34" s="1"/>
  <c r="N363" i="34"/>
  <c r="H363" i="34"/>
  <c r="J363" i="34" s="1"/>
  <c r="H809" i="34"/>
  <c r="J809" i="34" s="1"/>
  <c r="H365" i="34"/>
  <c r="J365" i="34" s="1"/>
  <c r="H443" i="34"/>
  <c r="J443" i="34" s="1"/>
  <c r="H800" i="34"/>
  <c r="J800" i="34" s="1"/>
  <c r="I830" i="34"/>
  <c r="M318" i="34"/>
  <c r="M717" i="34"/>
  <c r="I956" i="34"/>
  <c r="F29" i="34" a="1"/>
  <c r="F29" i="34" s="1"/>
  <c r="G29" i="34" a="1"/>
  <c r="G29" i="34" s="1"/>
  <c r="H963" i="34"/>
  <c r="J963" i="34" s="1"/>
  <c r="N963" i="34"/>
  <c r="H929" i="34"/>
  <c r="J929" i="34" s="1"/>
  <c r="N929" i="34"/>
  <c r="N30" i="34"/>
  <c r="H30" i="34"/>
  <c r="J30" i="34" s="1"/>
  <c r="N933" i="34"/>
  <c r="H933" i="34"/>
  <c r="J933" i="34" s="1"/>
  <c r="N139" i="34"/>
  <c r="H139" i="34"/>
  <c r="J139" i="34" s="1"/>
  <c r="N802" i="34"/>
  <c r="H802" i="34"/>
  <c r="J802" i="34" s="1"/>
  <c r="G150" i="34" a="1"/>
  <c r="G150" i="34" s="1"/>
  <c r="F150" i="34" a="1"/>
  <c r="F150" i="34" s="1"/>
  <c r="N750" i="34"/>
  <c r="H750" i="34"/>
  <c r="J750" i="34" s="1"/>
  <c r="M643" i="34"/>
  <c r="K643" i="34"/>
  <c r="H643" i="34"/>
  <c r="J643" i="34" s="1"/>
  <c r="M155" i="34"/>
  <c r="K155" i="34"/>
  <c r="I155" i="34"/>
  <c r="H782" i="34"/>
  <c r="J782" i="34" s="1"/>
  <c r="N913" i="34"/>
  <c r="H913" i="34"/>
  <c r="J913" i="34" s="1"/>
  <c r="I911" i="34"/>
  <c r="F238" i="34" a="1"/>
  <c r="F238" i="34" s="1"/>
  <c r="G238" i="34" a="1"/>
  <c r="G238" i="34" s="1"/>
  <c r="F14" i="34" a="1"/>
  <c r="F14" i="34" s="1"/>
  <c r="I14" i="34" s="1"/>
  <c r="F325" i="34" a="1"/>
  <c r="F325" i="34" s="1"/>
  <c r="G325" i="34" a="1"/>
  <c r="G325" i="34" s="1"/>
  <c r="M342" i="34"/>
  <c r="K945" i="34"/>
  <c r="M945" i="34"/>
  <c r="H859" i="34"/>
  <c r="J859" i="34" s="1"/>
  <c r="H172" i="34"/>
  <c r="J172" i="34" s="1"/>
  <c r="N674" i="34"/>
  <c r="N952" i="34"/>
  <c r="M845" i="34"/>
  <c r="M457" i="34"/>
  <c r="I318" i="34"/>
  <c r="M949" i="34"/>
  <c r="H764" i="34"/>
  <c r="J764" i="34" s="1"/>
  <c r="M549" i="34"/>
  <c r="K937" i="34"/>
  <c r="F229" i="34" a="1"/>
  <c r="F229" i="34" s="1"/>
  <c r="G229" i="34" a="1"/>
  <c r="G229" i="34" s="1"/>
  <c r="M703" i="34"/>
  <c r="K703" i="34"/>
  <c r="K307" i="34"/>
  <c r="M307" i="34"/>
  <c r="K916" i="34"/>
  <c r="M916" i="34"/>
  <c r="G118" i="34" a="1"/>
  <c r="G118" i="34" s="1"/>
  <c r="F118" i="34" a="1"/>
  <c r="F118" i="34" s="1"/>
  <c r="M108" i="34"/>
  <c r="I108" i="34"/>
  <c r="K108" i="34"/>
  <c r="H728" i="34"/>
  <c r="J728" i="34" s="1"/>
  <c r="N728" i="34"/>
  <c r="I643" i="34"/>
  <c r="N534" i="34"/>
  <c r="H534" i="34"/>
  <c r="J534" i="34" s="1"/>
  <c r="N155" i="34"/>
  <c r="H155" i="34"/>
  <c r="J155" i="34" s="1"/>
  <c r="N915" i="34"/>
  <c r="H915" i="34"/>
  <c r="J915" i="34" s="1"/>
  <c r="N858" i="34"/>
  <c r="H858" i="34"/>
  <c r="J858" i="34" s="1"/>
  <c r="H70" i="34"/>
  <c r="J70" i="34" s="1"/>
  <c r="N70" i="34"/>
  <c r="H670" i="34"/>
  <c r="J670" i="34" s="1"/>
  <c r="N670" i="34"/>
  <c r="F206" i="34" a="1"/>
  <c r="F206" i="34" s="1"/>
  <c r="G206" i="34" a="1"/>
  <c r="G206" i="34" s="1"/>
  <c r="M642" i="34"/>
  <c r="K642" i="34"/>
  <c r="I642" i="34"/>
  <c r="M944" i="34"/>
  <c r="K944" i="34"/>
  <c r="N188" i="34"/>
  <c r="H188" i="34"/>
  <c r="J188" i="34" s="1"/>
  <c r="G110" i="34" a="1"/>
  <c r="G110" i="34" s="1"/>
  <c r="F110" i="34" a="1"/>
  <c r="F110" i="34" s="1"/>
  <c r="N792" i="34"/>
  <c r="K579" i="34"/>
  <c r="H179" i="34"/>
  <c r="J179" i="34" s="1"/>
  <c r="I845" i="34"/>
  <c r="I457" i="34"/>
  <c r="M937" i="34"/>
  <c r="M172" i="34"/>
  <c r="M601" i="34"/>
  <c r="M211" i="34"/>
  <c r="M579" i="34"/>
  <c r="I949" i="34"/>
  <c r="H187" i="34"/>
  <c r="J187" i="34" s="1"/>
  <c r="H770" i="34"/>
  <c r="J770" i="34" s="1"/>
  <c r="M846" i="34"/>
  <c r="K845" i="34"/>
  <c r="I703" i="34"/>
  <c r="H898" i="34"/>
  <c r="J898" i="34" s="1"/>
  <c r="I307" i="34"/>
  <c r="I916" i="34"/>
  <c r="H862" i="34"/>
  <c r="J862" i="34" s="1"/>
  <c r="N862" i="34"/>
  <c r="G54" i="34" a="1"/>
  <c r="G54" i="34" s="1"/>
  <c r="F54" i="34" a="1"/>
  <c r="F54" i="34" s="1"/>
  <c r="N108" i="34"/>
  <c r="H108" i="34"/>
  <c r="J108" i="34" s="1"/>
  <c r="N632" i="34"/>
  <c r="H632" i="34"/>
  <c r="J632" i="34" s="1"/>
  <c r="N515" i="34"/>
  <c r="H515" i="34"/>
  <c r="J515" i="34" s="1"/>
  <c r="M735" i="34"/>
  <c r="K735" i="34"/>
  <c r="H735" i="34"/>
  <c r="J735" i="34" s="1"/>
  <c r="K958" i="34"/>
  <c r="M958" i="34"/>
  <c r="H827" i="34"/>
  <c r="J827" i="34" s="1"/>
  <c r="F334" i="34" a="1"/>
  <c r="F334" i="34" s="1"/>
  <c r="G334" i="34" a="1"/>
  <c r="G334" i="34" s="1"/>
  <c r="I269" i="34"/>
  <c r="M269" i="34"/>
  <c r="K269" i="34"/>
  <c r="F245" i="34" a="1"/>
  <c r="F245" i="34" s="1"/>
  <c r="G245" i="34" a="1"/>
  <c r="G245" i="34" s="1"/>
  <c r="K52" i="34"/>
  <c r="I211" i="34"/>
  <c r="H446" i="34"/>
  <c r="J446" i="34" s="1"/>
  <c r="H211" i="34"/>
  <c r="J211" i="34" s="1"/>
  <c r="K892" i="34"/>
  <c r="M892" i="34"/>
  <c r="H892" i="34"/>
  <c r="J892" i="34" s="1"/>
  <c r="M965" i="34"/>
  <c r="K965" i="34"/>
  <c r="K777" i="34"/>
  <c r="H777" i="34"/>
  <c r="J777" i="34" s="1"/>
  <c r="M777" i="34"/>
  <c r="K938" i="34"/>
  <c r="M938" i="34"/>
  <c r="F125" i="34" a="1"/>
  <c r="F125" i="34" s="1"/>
  <c r="G125" i="34" a="1"/>
  <c r="G125" i="34" s="1"/>
  <c r="K767" i="34"/>
  <c r="M767" i="34"/>
  <c r="M472" i="34"/>
  <c r="K472" i="34"/>
  <c r="K799" i="34"/>
  <c r="M799" i="34"/>
  <c r="K598" i="34"/>
  <c r="I598" i="34"/>
  <c r="N235" i="34"/>
  <c r="H235" i="34"/>
  <c r="J235" i="34" s="1"/>
  <c r="I735" i="34"/>
  <c r="H212" i="34"/>
  <c r="J212" i="34" s="1"/>
  <c r="N212" i="34"/>
  <c r="H788" i="34"/>
  <c r="J788" i="34" s="1"/>
  <c r="N788" i="34"/>
  <c r="H900" i="34"/>
  <c r="J900" i="34" s="1"/>
  <c r="N68" i="34"/>
  <c r="H68" i="34"/>
  <c r="J68" i="34" s="1"/>
  <c r="K12" i="34"/>
  <c r="I12" i="34"/>
  <c r="M12" i="34"/>
  <c r="K827" i="34"/>
  <c r="I827" i="34"/>
  <c r="M827" i="34"/>
  <c r="I811" i="34"/>
  <c r="M811" i="34"/>
  <c r="K811" i="34"/>
  <c r="H943" i="34"/>
  <c r="J943" i="34" s="1"/>
  <c r="N46" i="34"/>
  <c r="H965" i="34"/>
  <c r="J965" i="34" s="1"/>
  <c r="I301" i="34"/>
  <c r="N888" i="34"/>
  <c r="N789" i="34"/>
  <c r="I115" i="34"/>
  <c r="N851" i="34"/>
  <c r="H851" i="34"/>
  <c r="J851" i="34" s="1"/>
  <c r="M203" i="34"/>
  <c r="I758" i="34"/>
  <c r="H539" i="34"/>
  <c r="J539" i="34" s="1"/>
  <c r="K115" i="34"/>
  <c r="H115" i="34"/>
  <c r="J115" i="34" s="1"/>
  <c r="I203" i="34"/>
  <c r="M818" i="34"/>
  <c r="I905" i="34"/>
  <c r="H905" i="34"/>
  <c r="J905" i="34" s="1"/>
  <c r="H939" i="34"/>
  <c r="J939" i="34" s="1"/>
  <c r="N547" i="34"/>
  <c r="H547" i="34"/>
  <c r="J547" i="34" s="1"/>
  <c r="H921" i="34"/>
  <c r="J921" i="34" s="1"/>
  <c r="N14" i="34"/>
  <c r="K758" i="34"/>
  <c r="M94" i="34"/>
  <c r="I818" i="34"/>
  <c r="M523" i="34"/>
  <c r="H818" i="34"/>
  <c r="J818" i="34" s="1"/>
  <c r="I94" i="34"/>
  <c r="M606" i="34"/>
  <c r="M921" i="34"/>
  <c r="I523" i="34"/>
  <c r="N414" i="34"/>
  <c r="H116" i="34"/>
  <c r="J116" i="34" s="1"/>
  <c r="H203" i="34"/>
  <c r="J203" i="34" s="1"/>
  <c r="I606" i="34"/>
  <c r="I921" i="34"/>
  <c r="H760" i="34"/>
  <c r="J760" i="34" s="1"/>
  <c r="H523" i="34"/>
  <c r="J523" i="34" s="1"/>
  <c r="M856" i="34"/>
  <c r="N627" i="34"/>
  <c r="H781" i="34"/>
  <c r="J781" i="34" s="1"/>
  <c r="N781" i="34"/>
  <c r="H850" i="34"/>
  <c r="J850" i="34" s="1"/>
  <c r="M850" i="34"/>
  <c r="N956" i="34"/>
  <c r="H956" i="34"/>
  <c r="J956" i="34" s="1"/>
  <c r="N686" i="34"/>
  <c r="H686" i="34"/>
  <c r="J686" i="34" s="1"/>
  <c r="I493" i="34"/>
  <c r="M493" i="34"/>
  <c r="H493" i="34"/>
  <c r="J493" i="34" s="1"/>
  <c r="I850" i="34"/>
  <c r="H830" i="34"/>
  <c r="J830" i="34" s="1"/>
  <c r="H920" i="34"/>
  <c r="J920" i="34" s="1"/>
  <c r="N920" i="34"/>
  <c r="K310" i="34"/>
  <c r="M462" i="34"/>
  <c r="I581" i="34"/>
  <c r="H219" i="34"/>
  <c r="J219" i="34" s="1"/>
  <c r="I462" i="34"/>
  <c r="H937" i="34"/>
  <c r="J937" i="34" s="1"/>
  <c r="N847" i="34"/>
  <c r="H847" i="34"/>
  <c r="J847" i="34" s="1"/>
  <c r="M613" i="34"/>
  <c r="H470" i="34"/>
  <c r="J470" i="34" s="1"/>
  <c r="N470" i="34"/>
  <c r="H326" i="34"/>
  <c r="J326" i="34" s="1"/>
  <c r="K326" i="34"/>
  <c r="I326" i="34"/>
  <c r="M326" i="34"/>
  <c r="H462" i="34"/>
  <c r="J462" i="34" s="1"/>
  <c r="I951" i="34"/>
  <c r="M951" i="34"/>
  <c r="K951" i="34"/>
  <c r="H885" i="34"/>
  <c r="J885" i="34" s="1"/>
  <c r="H794" i="34"/>
  <c r="J794" i="34" s="1"/>
  <c r="N794" i="34"/>
  <c r="H549" i="34"/>
  <c r="J549" i="34" s="1"/>
  <c r="N549" i="34"/>
  <c r="N694" i="34"/>
  <c r="I509" i="34"/>
  <c r="M509" i="34"/>
  <c r="K509" i="34"/>
  <c r="I613" i="34"/>
  <c r="K613" i="34"/>
  <c r="N843" i="34"/>
  <c r="H843" i="34"/>
  <c r="J843" i="34" s="1"/>
  <c r="H301" i="34"/>
  <c r="J301" i="34" s="1"/>
  <c r="N301" i="34"/>
  <c r="H846" i="34"/>
  <c r="J846" i="34" s="1"/>
  <c r="H509" i="34"/>
  <c r="J509" i="34" s="1"/>
  <c r="H951" i="34"/>
  <c r="J951" i="34" s="1"/>
  <c r="N914" i="34"/>
  <c r="I941" i="34"/>
  <c r="I293" i="34"/>
  <c r="M293" i="34"/>
  <c r="K293" i="34"/>
  <c r="H293" i="34"/>
  <c r="J293" i="34" s="1"/>
  <c r="N526" i="34"/>
  <c r="H526" i="34"/>
  <c r="J526" i="34" s="1"/>
  <c r="M349" i="34"/>
  <c r="N78" i="34"/>
  <c r="H78" i="34"/>
  <c r="J78" i="34" s="1"/>
  <c r="I286" i="34"/>
  <c r="M286" i="34"/>
  <c r="K286" i="34"/>
  <c r="K349" i="34"/>
  <c r="H349" i="34"/>
  <c r="J349" i="34" s="1"/>
  <c r="H286" i="34"/>
  <c r="J286" i="34" s="1"/>
  <c r="N741" i="34"/>
  <c r="H741" i="34"/>
  <c r="J741" i="34" s="1"/>
  <c r="K741" i="34"/>
  <c r="I741" i="34"/>
  <c r="M741" i="34"/>
  <c r="M477" i="34"/>
  <c r="I477" i="34"/>
  <c r="K477" i="34"/>
  <c r="H477" i="34"/>
  <c r="J477" i="34" s="1"/>
  <c r="N477" i="34"/>
  <c r="N853" i="34"/>
  <c r="K941" i="34"/>
  <c r="H941" i="34"/>
  <c r="J941" i="34" s="1"/>
  <c r="H826" i="34"/>
  <c r="J826" i="34" s="1"/>
  <c r="N826" i="34"/>
  <c r="J129" i="34"/>
  <c r="K727" i="34" l="1"/>
  <c r="H454" i="34"/>
  <c r="J454" i="34" s="1"/>
  <c r="M727" i="34"/>
  <c r="H838" i="34"/>
  <c r="J838" i="34" s="1"/>
  <c r="H702" i="34"/>
  <c r="J702" i="34" s="1"/>
  <c r="M702" i="34"/>
  <c r="K702" i="34"/>
  <c r="H230" i="34"/>
  <c r="J230" i="34" s="1"/>
  <c r="H565" i="34"/>
  <c r="J565" i="34" s="1"/>
  <c r="M934" i="34"/>
  <c r="N814" i="34"/>
  <c r="K565" i="34"/>
  <c r="I934" i="34"/>
  <c r="H606" i="34"/>
  <c r="J606" i="34" s="1"/>
  <c r="K342" i="34"/>
  <c r="H342" i="34"/>
  <c r="J342" i="34" s="1"/>
  <c r="H46" i="34"/>
  <c r="J46" i="34" s="1"/>
  <c r="K782" i="34"/>
  <c r="K46" i="34"/>
  <c r="M782" i="34"/>
  <c r="H66" i="34"/>
  <c r="J66" i="34" s="1"/>
  <c r="M66" i="34"/>
  <c r="H574" i="34"/>
  <c r="J574" i="34" s="1"/>
  <c r="I66" i="34"/>
  <c r="H806" i="34"/>
  <c r="J806" i="34" s="1"/>
  <c r="I565" i="34"/>
  <c r="H870" i="34"/>
  <c r="J870" i="34" s="1"/>
  <c r="N870" i="34"/>
  <c r="H678" i="34"/>
  <c r="J678" i="34" s="1"/>
  <c r="M678" i="34"/>
  <c r="I678" i="34"/>
  <c r="M693" i="34"/>
  <c r="K693" i="34"/>
  <c r="N774" i="34"/>
  <c r="K710" i="34"/>
  <c r="I710" i="34"/>
  <c r="H710" i="34"/>
  <c r="J710" i="34" s="1"/>
  <c r="H734" i="34"/>
  <c r="J734" i="34" s="1"/>
  <c r="K50" i="34"/>
  <c r="I50" i="34"/>
  <c r="M50" i="34"/>
  <c r="I298" i="34"/>
  <c r="M298" i="34"/>
  <c r="H298" i="34"/>
  <c r="J298" i="34" s="1"/>
  <c r="K298" i="34"/>
  <c r="N910" i="34"/>
  <c r="H878" i="34"/>
  <c r="J878" i="34" s="1"/>
  <c r="N878" i="34"/>
  <c r="H34" i="34"/>
  <c r="J34" i="34" s="1"/>
  <c r="N34" i="34"/>
  <c r="K390" i="34"/>
  <c r="H330" i="34"/>
  <c r="J330" i="34" s="1"/>
  <c r="N330" i="34"/>
  <c r="I34" i="34"/>
  <c r="K34" i="34"/>
  <c r="M34" i="34"/>
  <c r="N122" i="34"/>
  <c r="H122" i="34"/>
  <c r="J122" i="34" s="1"/>
  <c r="K865" i="34"/>
  <c r="I865" i="34"/>
  <c r="M865" i="34"/>
  <c r="I162" i="34"/>
  <c r="M162" i="34"/>
  <c r="K162" i="34"/>
  <c r="N373" i="34"/>
  <c r="H373" i="34"/>
  <c r="J373" i="34" s="1"/>
  <c r="N74" i="34"/>
  <c r="H74" i="34"/>
  <c r="J74" i="34" s="1"/>
  <c r="M306" i="34"/>
  <c r="K306" i="34"/>
  <c r="I306" i="34"/>
  <c r="I130" i="34"/>
  <c r="K130" i="34"/>
  <c r="M130" i="34"/>
  <c r="N162" i="34"/>
  <c r="H162" i="34"/>
  <c r="J162" i="34" s="1"/>
  <c r="I330" i="34"/>
  <c r="M330" i="34"/>
  <c r="K330" i="34"/>
  <c r="H390" i="34"/>
  <c r="J390" i="34" s="1"/>
  <c r="N98" i="34"/>
  <c r="H98" i="34"/>
  <c r="J98" i="34" s="1"/>
  <c r="M74" i="34"/>
  <c r="Q72" i="34"/>
  <c r="K74" i="34"/>
  <c r="I74" i="34"/>
  <c r="N306" i="34"/>
  <c r="H306" i="34"/>
  <c r="J306" i="34" s="1"/>
  <c r="N130" i="34"/>
  <c r="H130" i="34"/>
  <c r="J130" i="34" s="1"/>
  <c r="N26" i="34"/>
  <c r="H26" i="34"/>
  <c r="J26" i="34" s="1"/>
  <c r="I274" i="34"/>
  <c r="K274" i="34"/>
  <c r="M274" i="34"/>
  <c r="K461" i="34"/>
  <c r="I461" i="34"/>
  <c r="M461" i="34"/>
  <c r="H226" i="34"/>
  <c r="J226" i="34" s="1"/>
  <c r="N226" i="34"/>
  <c r="K122" i="34"/>
  <c r="I122" i="34"/>
  <c r="M122" i="34"/>
  <c r="M390" i="34"/>
  <c r="N274" i="34"/>
  <c r="H274" i="34"/>
  <c r="J274" i="34" s="1"/>
  <c r="N461" i="34"/>
  <c r="H461" i="34"/>
  <c r="J461" i="34" s="1"/>
  <c r="K226" i="34"/>
  <c r="M226" i="34"/>
  <c r="I226" i="34"/>
  <c r="N721" i="34"/>
  <c r="H721" i="34"/>
  <c r="J721" i="34" s="1"/>
  <c r="I266" i="34"/>
  <c r="K266" i="34"/>
  <c r="M266" i="34"/>
  <c r="N154" i="34"/>
  <c r="H154" i="34"/>
  <c r="J154" i="34" s="1"/>
  <c r="K192" i="34"/>
  <c r="I192" i="34"/>
  <c r="M192" i="34"/>
  <c r="I721" i="34"/>
  <c r="K721" i="34"/>
  <c r="M721" i="34"/>
  <c r="H865" i="34"/>
  <c r="J865" i="34" s="1"/>
  <c r="N865" i="34"/>
  <c r="N266" i="34"/>
  <c r="H266" i="34"/>
  <c r="J266" i="34" s="1"/>
  <c r="K154" i="34"/>
  <c r="M154" i="34"/>
  <c r="I154" i="34"/>
  <c r="I5" i="34"/>
  <c r="M5" i="34"/>
  <c r="N192" i="34"/>
  <c r="H192" i="34"/>
  <c r="J192" i="34" s="1"/>
  <c r="I26" i="34"/>
  <c r="M26" i="34"/>
  <c r="K26" i="34"/>
  <c r="N430" i="34"/>
  <c r="H430" i="34"/>
  <c r="J430" i="34" s="1"/>
  <c r="N389" i="34"/>
  <c r="H389" i="34"/>
  <c r="J389" i="34" s="1"/>
  <c r="N194" i="34"/>
  <c r="H194" i="34"/>
  <c r="J194" i="34" s="1"/>
  <c r="I744" i="34"/>
  <c r="M744" i="34"/>
  <c r="K744" i="34"/>
  <c r="N138" i="34"/>
  <c r="H138" i="34"/>
  <c r="J138" i="34" s="1"/>
  <c r="H769" i="34"/>
  <c r="J769" i="34" s="1"/>
  <c r="N769" i="34"/>
  <c r="H437" i="34"/>
  <c r="J437" i="34" s="1"/>
  <c r="N437" i="34"/>
  <c r="N413" i="34"/>
  <c r="H413" i="34"/>
  <c r="J413" i="34" s="1"/>
  <c r="H421" i="34"/>
  <c r="J421" i="34" s="1"/>
  <c r="N421" i="34"/>
  <c r="H18" i="34"/>
  <c r="J18" i="34" s="1"/>
  <c r="N18" i="34"/>
  <c r="I453" i="34"/>
  <c r="M453" i="34"/>
  <c r="K453" i="34"/>
  <c r="I338" i="34"/>
  <c r="K338" i="34"/>
  <c r="M338" i="34"/>
  <c r="I194" i="34"/>
  <c r="K194" i="34"/>
  <c r="M194" i="34"/>
  <c r="N366" i="34"/>
  <c r="H366" i="34"/>
  <c r="J366" i="34" s="1"/>
  <c r="N744" i="34"/>
  <c r="H744" i="34"/>
  <c r="J744" i="34" s="1"/>
  <c r="K249" i="34"/>
  <c r="I249" i="34"/>
  <c r="M249" i="34"/>
  <c r="N507" i="34"/>
  <c r="H507" i="34"/>
  <c r="J507" i="34" s="1"/>
  <c r="H282" i="34"/>
  <c r="J282" i="34" s="1"/>
  <c r="N282" i="34"/>
  <c r="N683" i="34"/>
  <c r="H683" i="34"/>
  <c r="J683" i="34" s="1"/>
  <c r="K746" i="34"/>
  <c r="M746" i="34"/>
  <c r="I746" i="34"/>
  <c r="M18" i="34"/>
  <c r="K18" i="34"/>
  <c r="I18" i="34"/>
  <c r="N453" i="34"/>
  <c r="H453" i="34"/>
  <c r="J453" i="34" s="1"/>
  <c r="N338" i="34"/>
  <c r="H338" i="34"/>
  <c r="J338" i="34" s="1"/>
  <c r="K451" i="34"/>
  <c r="M451" i="34"/>
  <c r="I451" i="34"/>
  <c r="I138" i="34"/>
  <c r="K138" i="34"/>
  <c r="M138" i="34"/>
  <c r="H221" i="34"/>
  <c r="J221" i="34" s="1"/>
  <c r="N221" i="34"/>
  <c r="N249" i="34"/>
  <c r="H249" i="34"/>
  <c r="J249" i="34" s="1"/>
  <c r="K507" i="34"/>
  <c r="I507" i="34"/>
  <c r="M507" i="34"/>
  <c r="K282" i="34"/>
  <c r="I282" i="34"/>
  <c r="M282" i="34"/>
  <c r="K683" i="34"/>
  <c r="M683" i="34"/>
  <c r="I683" i="34"/>
  <c r="N746" i="34"/>
  <c r="H746" i="34"/>
  <c r="J746" i="34" s="1"/>
  <c r="K622" i="34"/>
  <c r="I622" i="34"/>
  <c r="M622" i="34"/>
  <c r="I491" i="34"/>
  <c r="M491" i="34"/>
  <c r="K491" i="34"/>
  <c r="I651" i="34"/>
  <c r="M651" i="34"/>
  <c r="K651" i="34"/>
  <c r="I114" i="34"/>
  <c r="K114" i="34"/>
  <c r="M114" i="34"/>
  <c r="N451" i="34"/>
  <c r="H451" i="34"/>
  <c r="J451" i="34" s="1"/>
  <c r="K413" i="34"/>
  <c r="I413" i="34"/>
  <c r="M413" i="34"/>
  <c r="N663" i="34"/>
  <c r="H663" i="34"/>
  <c r="J663" i="34" s="1"/>
  <c r="N202" i="34"/>
  <c r="H202" i="34"/>
  <c r="J202" i="34" s="1"/>
  <c r="I504" i="34"/>
  <c r="M504" i="34"/>
  <c r="K504" i="34"/>
  <c r="N622" i="34"/>
  <c r="H622" i="34"/>
  <c r="J622" i="34" s="1"/>
  <c r="N491" i="34"/>
  <c r="H491" i="34"/>
  <c r="J491" i="34" s="1"/>
  <c r="N651" i="34"/>
  <c r="H651" i="34"/>
  <c r="J651" i="34" s="1"/>
  <c r="H114" i="34"/>
  <c r="J114" i="34" s="1"/>
  <c r="N114" i="34"/>
  <c r="N242" i="34"/>
  <c r="H242" i="34"/>
  <c r="J242" i="34" s="1"/>
  <c r="I421" i="34"/>
  <c r="M421" i="34"/>
  <c r="K421" i="34"/>
  <c r="N600" i="34"/>
  <c r="H600" i="34"/>
  <c r="J600" i="34" s="1"/>
  <c r="K663" i="34"/>
  <c r="I663" i="34"/>
  <c r="M663" i="34"/>
  <c r="I202" i="34"/>
  <c r="M202" i="34"/>
  <c r="K202" i="34"/>
  <c r="N504" i="34"/>
  <c r="H504" i="34"/>
  <c r="J504" i="34" s="1"/>
  <c r="M403" i="34"/>
  <c r="I403" i="34"/>
  <c r="K403" i="34"/>
  <c r="N662" i="34"/>
  <c r="H662" i="34"/>
  <c r="J662" i="34" s="1"/>
  <c r="N210" i="34"/>
  <c r="H210" i="34"/>
  <c r="J210" i="34" s="1"/>
  <c r="K58" i="34"/>
  <c r="I58" i="34"/>
  <c r="M58" i="34"/>
  <c r="M242" i="34"/>
  <c r="I242" i="34"/>
  <c r="K242" i="34"/>
  <c r="I769" i="34"/>
  <c r="K769" i="34"/>
  <c r="M769" i="34"/>
  <c r="K600" i="34"/>
  <c r="M600" i="34"/>
  <c r="I600" i="34"/>
  <c r="K776" i="34"/>
  <c r="I776" i="34"/>
  <c r="M776" i="34"/>
  <c r="I520" i="34"/>
  <c r="K520" i="34"/>
  <c r="M520" i="34"/>
  <c r="I518" i="34"/>
  <c r="K518" i="34"/>
  <c r="M518" i="34"/>
  <c r="N322" i="34"/>
  <c r="H322" i="34"/>
  <c r="J322" i="34" s="1"/>
  <c r="H590" i="34"/>
  <c r="J590" i="34" s="1"/>
  <c r="N590" i="34"/>
  <c r="N403" i="34"/>
  <c r="H403" i="34"/>
  <c r="J403" i="34" s="1"/>
  <c r="K662" i="34"/>
  <c r="I662" i="34"/>
  <c r="M662" i="34"/>
  <c r="K210" i="34"/>
  <c r="I210" i="34"/>
  <c r="M210" i="34"/>
  <c r="N58" i="34"/>
  <c r="H58" i="34"/>
  <c r="J58" i="34" s="1"/>
  <c r="N456" i="34"/>
  <c r="H456" i="34"/>
  <c r="J456" i="34" s="1"/>
  <c r="I437" i="34"/>
  <c r="M437" i="34"/>
  <c r="K437" i="34"/>
  <c r="K430" i="34"/>
  <c r="I430" i="34"/>
  <c r="M430" i="34"/>
  <c r="N776" i="34"/>
  <c r="H776" i="34"/>
  <c r="J776" i="34" s="1"/>
  <c r="N520" i="34"/>
  <c r="H520" i="34"/>
  <c r="J520" i="34" s="1"/>
  <c r="H518" i="34"/>
  <c r="J518" i="34" s="1"/>
  <c r="N518" i="34"/>
  <c r="I322" i="34"/>
  <c r="M322" i="34"/>
  <c r="K322" i="34"/>
  <c r="M590" i="34"/>
  <c r="K590" i="34"/>
  <c r="I590" i="34"/>
  <c r="K389" i="34"/>
  <c r="I389" i="34"/>
  <c r="M389" i="34"/>
  <c r="K366" i="34"/>
  <c r="I366" i="34"/>
  <c r="M366" i="34"/>
  <c r="K221" i="34"/>
  <c r="I221" i="34"/>
  <c r="M221" i="34"/>
  <c r="K456" i="34"/>
  <c r="I456" i="34"/>
  <c r="M456" i="34"/>
  <c r="H6" i="34"/>
  <c r="J6" i="34" s="1"/>
  <c r="M6" i="34"/>
  <c r="K6" i="34"/>
  <c r="N134" i="34"/>
  <c r="H134" i="34"/>
  <c r="J134" i="34" s="1"/>
  <c r="I37" i="34"/>
  <c r="M37" i="34"/>
  <c r="K37" i="34"/>
  <c r="I134" i="34"/>
  <c r="K134" i="34"/>
  <c r="M134" i="34"/>
  <c r="H38" i="34"/>
  <c r="J38" i="34" s="1"/>
  <c r="N38" i="34"/>
  <c r="K38" i="34"/>
  <c r="I38" i="34"/>
  <c r="M38" i="34"/>
  <c r="H37" i="34"/>
  <c r="J37" i="34" s="1"/>
  <c r="N37" i="34"/>
  <c r="K325" i="34"/>
  <c r="M325" i="34"/>
  <c r="H29" i="34"/>
  <c r="J29" i="34" s="1"/>
  <c r="N29" i="34"/>
  <c r="I214" i="34"/>
  <c r="M214" i="34"/>
  <c r="K214" i="34"/>
  <c r="M93" i="34"/>
  <c r="I93" i="34"/>
  <c r="K93" i="34"/>
  <c r="M189" i="34"/>
  <c r="K189" i="34"/>
  <c r="I189" i="34"/>
  <c r="H142" i="34"/>
  <c r="J142" i="34" s="1"/>
  <c r="N142" i="34"/>
  <c r="K54" i="34"/>
  <c r="M54" i="34"/>
  <c r="I54" i="34"/>
  <c r="I110" i="34"/>
  <c r="M110" i="34"/>
  <c r="K110" i="34"/>
  <c r="I325" i="34"/>
  <c r="K29" i="34"/>
  <c r="I29" i="34"/>
  <c r="M29" i="34"/>
  <c r="H166" i="34"/>
  <c r="J166" i="34" s="1"/>
  <c r="N166" i="34"/>
  <c r="N270" i="34"/>
  <c r="H270" i="34"/>
  <c r="J270" i="34" s="1"/>
  <c r="K142" i="34"/>
  <c r="I142" i="34"/>
  <c r="M142" i="34"/>
  <c r="I261" i="34"/>
  <c r="M261" i="34"/>
  <c r="K261" i="34"/>
  <c r="H54" i="34"/>
  <c r="J54" i="34" s="1"/>
  <c r="N54" i="34"/>
  <c r="N110" i="34"/>
  <c r="H110" i="34"/>
  <c r="J110" i="34" s="1"/>
  <c r="H206" i="34"/>
  <c r="J206" i="34" s="1"/>
  <c r="N206" i="34"/>
  <c r="M14" i="34"/>
  <c r="K14" i="34"/>
  <c r="K150" i="34"/>
  <c r="I150" i="34"/>
  <c r="M150" i="34"/>
  <c r="N62" i="34"/>
  <c r="H62" i="34"/>
  <c r="J62" i="34" s="1"/>
  <c r="K166" i="34"/>
  <c r="M166" i="34"/>
  <c r="I166" i="34"/>
  <c r="I270" i="34"/>
  <c r="K270" i="34"/>
  <c r="M270" i="34"/>
  <c r="K302" i="34"/>
  <c r="I302" i="34"/>
  <c r="M302" i="34"/>
  <c r="N261" i="34"/>
  <c r="H261" i="34"/>
  <c r="J261" i="34" s="1"/>
  <c r="H334" i="34"/>
  <c r="J334" i="34" s="1"/>
  <c r="N334" i="34"/>
  <c r="M206" i="34"/>
  <c r="K206" i="34"/>
  <c r="I206" i="34"/>
  <c r="N150" i="34"/>
  <c r="H150" i="34"/>
  <c r="J150" i="34" s="1"/>
  <c r="K62" i="34"/>
  <c r="I62" i="34"/>
  <c r="M62" i="34"/>
  <c r="H45" i="34"/>
  <c r="J45" i="34" s="1"/>
  <c r="N45" i="34"/>
  <c r="N302" i="34"/>
  <c r="H302" i="34"/>
  <c r="J302" i="34" s="1"/>
  <c r="H61" i="34"/>
  <c r="J61" i="34" s="1"/>
  <c r="N61" i="34"/>
  <c r="H190" i="34"/>
  <c r="J190" i="34" s="1"/>
  <c r="N190" i="34"/>
  <c r="H14" i="34"/>
  <c r="J14" i="34" s="1"/>
  <c r="M334" i="34"/>
  <c r="K334" i="34"/>
  <c r="I334" i="34"/>
  <c r="H238" i="34"/>
  <c r="J238" i="34" s="1"/>
  <c r="N238" i="34"/>
  <c r="N109" i="34"/>
  <c r="H109" i="34"/>
  <c r="J109" i="34" s="1"/>
  <c r="I45" i="34"/>
  <c r="M45" i="34"/>
  <c r="K45" i="34"/>
  <c r="K61" i="34"/>
  <c r="I61" i="34"/>
  <c r="M61" i="34"/>
  <c r="M190" i="34"/>
  <c r="K190" i="34"/>
  <c r="I190" i="34"/>
  <c r="I238" i="34"/>
  <c r="M238" i="34"/>
  <c r="K238" i="34"/>
  <c r="I109" i="34"/>
  <c r="M109" i="34"/>
  <c r="K109" i="34"/>
  <c r="N174" i="34"/>
  <c r="H174" i="34"/>
  <c r="J174" i="34" s="1"/>
  <c r="N125" i="34"/>
  <c r="H125" i="34"/>
  <c r="J125" i="34" s="1"/>
  <c r="N245" i="34"/>
  <c r="H245" i="34"/>
  <c r="J245" i="34" s="1"/>
  <c r="K118" i="34"/>
  <c r="I118" i="34"/>
  <c r="M118" i="34"/>
  <c r="H229" i="34"/>
  <c r="J229" i="34" s="1"/>
  <c r="N229" i="34"/>
  <c r="I174" i="34"/>
  <c r="M174" i="34"/>
  <c r="K174" i="34"/>
  <c r="H246" i="34"/>
  <c r="J246" i="34" s="1"/>
  <c r="N246" i="34"/>
  <c r="I126" i="34"/>
  <c r="K126" i="34"/>
  <c r="M126" i="34"/>
  <c r="I125" i="34"/>
  <c r="M125" i="34"/>
  <c r="K125" i="34"/>
  <c r="K245" i="34"/>
  <c r="M245" i="34"/>
  <c r="I245" i="34"/>
  <c r="N118" i="34"/>
  <c r="H118" i="34"/>
  <c r="J118" i="34" s="1"/>
  <c r="I229" i="34"/>
  <c r="K229" i="34"/>
  <c r="M229" i="34"/>
  <c r="N325" i="34"/>
  <c r="H325" i="34"/>
  <c r="J325" i="34" s="1"/>
  <c r="H214" i="34"/>
  <c r="J214" i="34" s="1"/>
  <c r="N214" i="34"/>
  <c r="N93" i="34"/>
  <c r="H93" i="34"/>
  <c r="J93" i="34" s="1"/>
  <c r="M246" i="34"/>
  <c r="K246" i="34"/>
  <c r="I246" i="34"/>
  <c r="H126" i="34"/>
  <c r="J126" i="34" s="1"/>
  <c r="N126" i="34"/>
  <c r="N189" i="34"/>
  <c r="H189" i="34"/>
  <c r="J189" i="34" s="1"/>
  <c r="I966" i="34" l="1"/>
  <c r="I3" i="34" s="1"/>
  <c r="J966" i="34"/>
  <c r="J3" i="34" s="1"/>
  <c r="N966" i="34"/>
  <c r="N3" i="34" s="1"/>
  <c r="M966" i="34"/>
  <c r="M3" i="34" s="1"/>
  <c r="H966" i="34"/>
  <c r="H3"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0A857D-FD36-4B30-810F-BD1C5B564495}" keepAlive="1" name="Query - Table6" description="Connection to the 'Table6' query in the workbook." type="5" refreshedVersion="0" background="1">
    <dbPr connection="Provider=Microsoft.Mashup.OleDb.1;Data Source=$Workbook$;Location=Table6;Extended Properties=&quot;&quot;" command="SELECT * FROM [Table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<sst xmlns="http://schemas.openxmlformats.org/spreadsheetml/2006/main" count="87" uniqueCount="65">
  <si>
    <t>ROXAN</t>
  </si>
  <si>
    <t>NOUR</t>
  </si>
  <si>
    <t>TORKYA</t>
  </si>
  <si>
    <t>SARA</t>
  </si>
  <si>
    <t>GIGI</t>
  </si>
  <si>
    <t>NAME</t>
  </si>
  <si>
    <t>CODE</t>
  </si>
  <si>
    <t>ROKIA</t>
  </si>
  <si>
    <t>PHY</t>
  </si>
  <si>
    <t>MOHAMED</t>
  </si>
  <si>
    <t>SALMA</t>
  </si>
  <si>
    <t>OFF</t>
  </si>
  <si>
    <t>HOURS</t>
  </si>
  <si>
    <t>DEPARTMENT</t>
  </si>
  <si>
    <t>BEL</t>
  </si>
  <si>
    <t>Nurse</t>
  </si>
  <si>
    <t>ROX</t>
  </si>
  <si>
    <t>DR/SALLY</t>
  </si>
  <si>
    <t>DR/LYDIA</t>
  </si>
  <si>
    <t>DR/MERNA N</t>
  </si>
  <si>
    <t>DR/MERNA Z</t>
  </si>
  <si>
    <t>DOCTOR</t>
  </si>
  <si>
    <t>ANANN</t>
  </si>
  <si>
    <t>SOHILA SAMY</t>
  </si>
  <si>
    <t>Reception</t>
  </si>
  <si>
    <t>gigi</t>
  </si>
  <si>
    <t>bel</t>
  </si>
  <si>
    <t>sally</t>
  </si>
  <si>
    <t>sara</t>
  </si>
  <si>
    <t>lydia</t>
  </si>
  <si>
    <t>sohila</t>
  </si>
  <si>
    <t>laami nurse</t>
  </si>
  <si>
    <t>merna nasr</t>
  </si>
  <si>
    <t>Anann</t>
  </si>
  <si>
    <t>maria</t>
  </si>
  <si>
    <t>zaynab</t>
  </si>
  <si>
    <t>ZINA</t>
  </si>
  <si>
    <t>RAMA</t>
  </si>
  <si>
    <t>mai</t>
  </si>
  <si>
    <t>junny</t>
  </si>
  <si>
    <t>SARAH 5A</t>
  </si>
  <si>
    <t>sara cleaner</t>
  </si>
  <si>
    <t>mai ehab</t>
  </si>
  <si>
    <t xml:space="preserve">lydleen </t>
  </si>
  <si>
    <t>julyn</t>
  </si>
  <si>
    <t>menna</t>
  </si>
  <si>
    <t>lydlyn</t>
  </si>
  <si>
    <t>No.</t>
  </si>
  <si>
    <t>Time</t>
  </si>
  <si>
    <t>Date</t>
  </si>
  <si>
    <t>Code</t>
  </si>
  <si>
    <t>Out</t>
  </si>
  <si>
    <t>In</t>
  </si>
  <si>
    <t>Day</t>
  </si>
  <si>
    <t>Name</t>
  </si>
  <si>
    <t>التاخير عن الحضور</t>
  </si>
  <si>
    <t>خروج قبل الانصراف</t>
  </si>
  <si>
    <t>مده السماح</t>
  </si>
  <si>
    <t>الحضور قبل الموعد الرسمي</t>
  </si>
  <si>
    <t>الخروج بعد الانصراف</t>
  </si>
  <si>
    <t>Work_Hours</t>
  </si>
  <si>
    <t>SheftTime</t>
  </si>
  <si>
    <t>SheftStart</t>
  </si>
  <si>
    <t>SheftEnd</t>
  </si>
  <si>
    <t>الوقت المقدر للخروج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</si>
</sst>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409]h:mm\ AM/PM;@"/>
    <numFmt numFmtId="166" formatCode="[hh]:mm"/>
  </numFmts>
  <fonts count="7" x14ac:knownFonts="1">
    <font>
      <sz val="11"/>
      <color theme="1"/>
      <name val="Calibri"/>
      <family val="2"/>
      <scheme val="minor"/>
    </font>
    <font>
      <b/>
      <sz val="12"/>
      <color theme="8" tint="-0.499984740745262"/>
      <name val="Calibri"/>
      <family val="2"/>
      <scheme val="minor"/>
    </font>
    <font>
      <b/>
      <sz val="12"/>
      <color theme="1"/>
      <name val="Calibri"/>
      <family val="2"/>
      <scheme val="minor"/>
    </font>
    <font>
      <b/>
      <sz val="14"/>
      <color theme="0"/>
      <name val="Calibri"/>
      <family val="2"/>
      <scheme val="minor"/>
    </font>
    <font>
      <sz val="14"/>
      <color theme="1"/>
      <name val="Calibri"/>
      <family val="2"/>
      <scheme val="minor"/>
    </font>
    <font>
      <b/>
      <sz val="14"/>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00B050"/>
        <bgColor indexed="64"/>
      </patternFill>
    </fill>
    <fill>
      <patternFill patternType="solid">
        <fgColor theme="8"/>
        <bgColor indexed="64"/>
      </patternFill>
    </fill>
    <fill>
      <patternFill patternType="solid">
        <fgColor theme="6" tint="0.59999389629810485"/>
        <bgColor indexed="64"/>
      </patternFill>
    </fill>
    <fill>
      <patternFill patternType="solid">
        <fgColor theme="6" tint="0.59999389629810485"/>
        <bgColor theme="4" tint="0.79998168889431442"/>
      </patternFill>
    </fill>
    <fill>
      <patternFill patternType="solid">
        <fgColor rgb="FFFFFF00"/>
        <bgColor indexed="64"/>
      </patternFill>
    </fill>
  </fills>
  <borders count="15">
    <border>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0" fontId="4" fillId="0" borderId="0" xfId="0" applyFont="1" applyAlignment="1">
      <alignment horizontal="center"/>
    </xf>
    <xf numFmtId="0" fontId="5" fillId="0" borderId="1" xfId="0" applyFont="1" applyBorder="1" applyAlignment="1">
      <alignment horizontal="center"/>
    </xf>
    <xf numFmtId="0" fontId="4" fillId="0" borderId="0" xfId="0" applyFont="1"/>
    <xf numFmtId="22" fontId="0" fillId="0" borderId="0" xfId="0" applyNumberFormat="1"/>
    <xf numFmtId="21" fontId="0" fillId="0" borderId="0" xfId="0" applyNumberFormat="1"/>
    <xf numFmtId="14" fontId="0" fillId="0" borderId="0" xfId="0" applyNumberFormat="1"/>
    <xf numFmtId="0" fontId="0" fillId="0" borderId="0" xfId="0" applyAlignment="1">
      <alignment horizontal="center" vertic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2"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5" fillId="0" borderId="3" xfId="0" applyFont="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3" fillId="2" borderId="7" xfId="0" applyFont="1" applyFill="1" applyBorder="1" applyAlignment="1">
      <alignment horizontal="center"/>
    </xf>
    <xf numFmtId="0" fontId="5" fillId="0" borderId="12" xfId="0" applyFont="1" applyBorder="1" applyAlignment="1">
      <alignment horizontal="center"/>
    </xf>
    <xf numFmtId="0" fontId="5" fillId="0" borderId="13" xfId="0" applyFont="1" applyBorder="1" applyAlignment="1">
      <alignment horizontal="center"/>
    </xf>
    <xf numFmtId="0" fontId="0" fillId="0" borderId="0" xfId="0" applyNumberFormat="1" applyAlignment="1">
      <alignment horizontal="center" vertical="center"/>
    </xf>
    <xf numFmtId="164" fontId="0" fillId="0" borderId="0" xfId="0" applyNumberFormat="1" applyAlignment="1">
      <alignment horizontal="center" vertical="center"/>
    </xf>
    <xf numFmtId="18" fontId="4" fillId="0" borderId="0" xfId="0" applyNumberFormat="1" applyFont="1"/>
    <xf numFmtId="18" fontId="6" fillId="0" borderId="0" xfId="0" applyNumberFormat="1" applyFont="1" applyAlignment="1">
      <alignment horizontal="center" vertical="center"/>
    </xf>
    <xf numFmtId="165" fontId="0" fillId="0" borderId="0" xfId="0" applyNumberFormat="1"/>
    <xf numFmtId="18" fontId="0" fillId="0" borderId="0" xfId="0" applyNumberFormat="1"/>
    <xf numFmtId="0" fontId="0" fillId="0" borderId="0" xfId="0" applyFill="1"/>
    <xf numFmtId="166" fontId="0" fillId="0" borderId="0" xfId="0" applyNumberFormat="1" applyAlignment="1">
      <alignment horizontal="center" vertical="center"/>
    </xf>
    <xf numFmtId="166" fontId="6" fillId="0" borderId="0" xfId="0" applyNumberFormat="1" applyFont="1" applyAlignment="1">
      <alignment horizontal="center" vertical="center"/>
    </xf>
    <xf numFmtId="20" fontId="0" fillId="0" borderId="0" xfId="0" applyNumberFormat="1" applyAlignment="1">
      <alignment horizontal="center" vertical="center"/>
    </xf>
    <xf numFmtId="18" fontId="0" fillId="0" borderId="0" xfId="0" applyNumberFormat="1" applyAlignment="1">
      <alignment horizontal="center" vertical="center"/>
    </xf>
    <xf numFmtId="0" fontId="0" fillId="0" borderId="0" xfId="0" applyNumberFormat="1"/>
    <xf numFmtId="164" fontId="4" fillId="3" borderId="0" xfId="0" applyNumberFormat="1" applyFont="1" applyFill="1" applyAlignment="1">
      <alignment horizontal="center" vertical="center" wrapText="1"/>
    </xf>
    <xf numFmtId="0" fontId="4" fillId="3" borderId="0" xfId="0" applyFont="1" applyFill="1" applyAlignment="1">
      <alignment horizontal="center" vertical="center" wrapText="1"/>
    </xf>
    <xf numFmtId="166" fontId="2" fillId="4" borderId="14" xfId="0" applyNumberFormat="1" applyFont="1" applyFill="1" applyBorder="1" applyAlignment="1">
      <alignment horizontal="center" vertical="center"/>
    </xf>
    <xf numFmtId="18" fontId="2" fillId="5" borderId="14" xfId="0" applyNumberFormat="1" applyFont="1" applyFill="1" applyBorder="1" applyAlignment="1">
      <alignment horizontal="center" vertical="center"/>
    </xf>
    <xf numFmtId="166" fontId="6" fillId="6" borderId="0" xfId="0" applyNumberFormat="1" applyFont="1" applyFill="1" applyAlignment="1">
      <alignment horizontal="center" vertical="center"/>
    </xf>
    <xf numFmtId="0" fontId="6" fillId="4" borderId="14" xfId="0" applyFont="1" applyFill="1" applyBorder="1" applyAlignment="1">
      <alignment horizontal="center"/>
    </xf>
  </cellXfs>
  <cellStyles count="1">
    <cellStyle name="Normal" xfId="0" builtinId="0"/>
  </cellStyles>
  <dxfs count="47">
    <dxf>
      <numFmt numFmtId="25" formatCode="h:m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166" formatCode="[hh]:mm"/>
      <alignment horizontal="center" vertical="center" textRotation="0" wrapText="0" indent="0" justifyLastLine="0" shrinkToFit="0" readingOrder="0"/>
    </dxf>
    <dxf>
      <numFmt numFmtId="166" formatCode="[hh]:mm"/>
      <alignment horizontal="center" vertical="center" textRotation="0" wrapText="0" indent="0" justifyLastLine="0" shrinkToFit="0" readingOrder="0"/>
    </dxf>
    <dxf>
      <numFmt numFmtId="166" formatCode="[hh]:mm"/>
      <alignment horizontal="center" vertical="center" textRotation="0" wrapText="0" indent="0" justifyLastLine="0" shrinkToFit="0" readingOrder="0"/>
    </dxf>
    <dxf>
      <numFmt numFmtId="166" formatCode="[hh]:mm"/>
      <alignment horizontal="center" vertical="center" textRotation="0" wrapText="0" indent="0" justifyLastLine="0" shrinkToFit="0" readingOrder="0"/>
    </dxf>
    <dxf>
      <numFmt numFmtId="23" formatCode="h:mm\ AM/PM"/>
      <alignment horizontal="center" vertical="center" textRotation="0" wrapText="0" indent="0" justifyLastLine="0" shrinkToFit="0" readingOrder="0"/>
    </dxf>
    <dxf>
      <numFmt numFmtId="23" formatCode="h:mm\ AM/P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25" formatCode="h:mm"/>
      <alignment horizontal="center" vertical="center" textRotation="0" wrapText="0" indent="0" justifyLastLine="0" shrinkToFit="0" readingOrder="0"/>
    </dxf>
    <dxf>
      <numFmt numFmtId="164" formatCode="h:mm;@"/>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23" formatCode="h:mm\ AM/PM"/>
      <alignment horizontal="center" vertical="center" textRotation="0" wrapText="0" indent="0" justifyLastLine="0" shrinkToFit="0" readingOrder="0"/>
    </dxf>
    <dxf>
      <font>
        <b/>
      </font>
      <numFmt numFmtId="23" formatCode="h:mm\ AM/PM"/>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23" formatCode="h:mm\ AM/PM"/>
      <alignment horizontal="center" vertical="center" textRotation="0" wrapText="0" indent="0" justifyLastLine="0" shrinkToFit="0" readingOrder="0"/>
    </dxf>
    <dxf>
      <font>
        <b/>
      </font>
      <numFmt numFmtId="23" formatCode="h:mm\ AM/PM"/>
      <alignment horizontal="center" vertical="center" textRotation="0" wrapText="0" indent="0" justifyLastLine="0" shrinkToFit="0" readingOrder="0"/>
    </dxf>
    <dxf>
      <numFmt numFmtId="0" formatCode="General"/>
    </dxf>
    <dxf>
      <numFmt numFmtId="0" formatCode="General"/>
    </dxf>
    <dxf>
      <numFmt numFmtId="19" formatCode="m/d/yyyy"/>
    </dxf>
    <dxf>
      <numFmt numFmtId="19" formatCode="m/d/yyyy"/>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fill>
        <patternFill patternType="solid">
          <fgColor indexed="64"/>
          <bgColor theme="8"/>
        </patternFill>
      </fill>
      <alignment horizontal="center" vertical="center" textRotation="0" wrapText="1" indent="0" justifyLastLine="0" shrinkToFit="0" readingOrder="0"/>
    </dxf>
    <dxf>
      <font>
        <color rgb="FF9C0006"/>
      </font>
      <fill>
        <patternFill>
          <bgColor rgb="FFFFC7CE"/>
        </patternFill>
      </fill>
    </dxf>
    <dxf>
      <numFmt numFmtId="165" formatCode="[$-409]h:mm\ AM/PM;@"/>
    </dxf>
    <dxf>
      <numFmt numFmtId="19" formatCode="m/d/yyyy"/>
    </dxf>
    <dxf>
      <numFmt numFmtId="0" formatCode="General"/>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top/>
        <bottom style="thin">
          <color indexed="64"/>
        </bottom>
        <vertical/>
        <horizontal/>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border outline="0">
        <right style="thin">
          <color indexed="64"/>
        </right>
        <top style="medium">
          <color indexed="64"/>
        </top>
        <bottom style="thin">
          <color indexed="64"/>
        </bottom>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4"/>
        <color theme="0"/>
        <name val="Calibri"/>
        <family val="2"/>
        <scheme val="minor"/>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8" tint="-0.499984740745262"/>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2"/>
        <color theme="8" tint="-0.499984740745262"/>
        <name val="Calibri"/>
        <family val="2"/>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2"/>
        <color theme="8" tint="-0.49998474074526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9525</xdr:colOff>
      <xdr:row>2</xdr:row>
      <xdr:rowOff>0</xdr:rowOff>
    </xdr:from>
    <xdr:to>
      <xdr:col>9</xdr:col>
      <xdr:colOff>514350</xdr:colOff>
      <xdr:row>3</xdr:row>
      <xdr:rowOff>171450</xdr:rowOff>
    </xdr:to>
    <xdr:sp macro="[0]!Sheet2.MoveUniqueDates" textlink="">
      <xdr:nvSpPr>
        <xdr:cNvPr id="2" name="Rectangle: Rounded Corners 1">
          <a:extLst>
            <a:ext uri="{FF2B5EF4-FFF2-40B4-BE49-F238E27FC236}">
              <a16:creationId xmlns:a16="http://schemas.microsoft.com/office/drawing/2014/main" id="{98487B61-B9A2-4285-BB35-BC1D8FD3F651}"/>
            </a:ext>
          </a:extLst>
        </xdr:cNvPr>
        <xdr:cNvSpPr/>
      </xdr:nvSpPr>
      <xdr:spPr>
        <a:xfrm>
          <a:off x="5419725" y="381000"/>
          <a:ext cx="1114425" cy="36195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n-US" sz="1400" b="1">
              <a:solidFill>
                <a:srgbClr val="FF0000"/>
              </a:solidFill>
            </a:rPr>
            <a:t>Edite Date</a:t>
          </a:r>
        </a:p>
        <a:p>
          <a:pPr algn="ctr"/>
          <a:r>
            <a:rPr lang="en-US" sz="1400" b="1">
              <a:solidFill>
                <a:srgbClr val="FF0000"/>
              </a:solidFill>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357534</xdr:colOff>
      <xdr:row>2</xdr:row>
      <xdr:rowOff>60320</xdr:rowOff>
    </xdr:from>
    <xdr:to>
      <xdr:col>17</xdr:col>
      <xdr:colOff>372501</xdr:colOff>
      <xdr:row>171</xdr:row>
      <xdr:rowOff>74285</xdr:rowOff>
    </xdr:to>
    <mc:AlternateContent xmlns:mc="http://schemas.openxmlformats.org/markup-compatibility/2006">
      <mc:Choice xmlns:sle15="http://schemas.microsoft.com/office/drawing/2012/slicer" Requires="sle15">
        <xdr:graphicFrame macro="">
          <xdr:nvGraphicFramePr>
            <xdr:cNvPr id="2" name="Name">
              <a:extLst>
                <a:ext uri="{FF2B5EF4-FFF2-40B4-BE49-F238E27FC236}">
                  <a16:creationId xmlns:a16="http://schemas.microsoft.com/office/drawing/2014/main" id="{D0FD5C46-A245-46B3-98E5-62B94540F9AB}"/>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0575261" y="449979"/>
              <a:ext cx="1822553" cy="25683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8D89B853-8F15-4E6D-B894-207BFAFD1FB5}" sourceName="Name">
  <extLst>
    <x:ext xmlns:x15="http://schemas.microsoft.com/office/spreadsheetml/2010/11/main" uri="{2F2917AC-EB37-4324-AD4E-5DD8C200BD13}">
      <x15:tableSlicerCache tableId="6"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15E1B240-4B4F-49CD-A3A4-10446C72C4CE}" cache="Slicer_Name" caption="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09FB30-6A23-49ED-AD30-4F2B8F9641B0}" name="Table2" displayName="Table2" ref="F1:G29" totalsRowShown="0" headerRowDxfId="45" headerRowBorderDxfId="44" tableBorderDxfId="43">
  <autoFilter ref="F1:G29" xr:uid="{7A09FB30-6A23-49ED-AD30-4F2B8F9641B0}"/>
  <sortState xmlns:xlrd2="http://schemas.microsoft.com/office/spreadsheetml/2017/richdata2" ref="F2:G29">
    <sortCondition ref="F1:F29"/>
  </sortState>
  <tableColumns count="2">
    <tableColumn id="1" xr3:uid="{CFADA6E1-1900-42C7-A28C-327B13E99454}" name="CODE" dataDxfId="42"/>
    <tableColumn id="2" xr3:uid="{1811C43F-C91A-4D72-8915-0E5FAC8CD277}" name="NAME" dataDxfId="4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79179E-5932-41E6-B800-8F78152E7945}" name="Table3" displayName="Table3" ref="A1:D16" totalsRowShown="0" headerRowDxfId="40" dataDxfId="38" headerRowBorderDxfId="39" tableBorderDxfId="37">
  <autoFilter ref="A1:D16" xr:uid="{00000000-0009-0000-0000-000002000000}"/>
  <tableColumns count="4">
    <tableColumn id="1" xr3:uid="{807656E9-6D54-405A-9B54-6F0C3AEA18A2}" name="OFF" dataDxfId="36"/>
    <tableColumn id="2" xr3:uid="{4C308B0A-7420-4D31-9067-4A2BABD14419}" name="HOURS" dataDxfId="35"/>
    <tableColumn id="3" xr3:uid="{E18BE2C7-83A6-4B84-BA26-94CE856B1A41}" name="NAME" dataDxfId="34"/>
    <tableColumn id="4" xr3:uid="{6379B796-15B5-4ABB-AEEA-7F4B3EA28967}" name="DEPART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F7CBC7-DB4B-42C5-9F23-56BCF67050BB}" name="Table1" displayName="Table1" ref="A1:D338" totalsRowShown="0">
  <autoFilter ref="A1:D338" xr:uid="{57F7CBC7-DB4B-42C5-9F23-56BCF67050BB}"/>
  <sortState xmlns:xlrd2="http://schemas.microsoft.com/office/spreadsheetml/2017/richdata2" ref="A2:D338">
    <sortCondition ref="B1:B338"/>
  </sortState>
  <tableColumns count="4">
    <tableColumn id="5" xr3:uid="{81280543-C42C-4A31-8480-25B6B020F24D}" name="Code" dataDxfId="32">
      <calculatedColumnFormula>Table1[[#This Row],[No.]]&amp;Table1[[#This Row],[Date]]</calculatedColumnFormula>
    </tableColumn>
    <tableColumn id="1" xr3:uid="{1F7A8B53-2B8C-47F5-AD14-5546A7A40B8A}" name="No."/>
    <tableColumn id="2" xr3:uid="{99E5C9A4-1E92-480D-A04D-D67F564C91B1}" name="Date" dataDxfId="31"/>
    <tableColumn id="3" xr3:uid="{9172099B-6C11-4C7F-8CA5-9AF4C0F475DC}" name="Time"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2D410-9A0A-49EE-8945-27826E086EEB}" name="Table57" displayName="Table57" ref="A4:N966" totalsRowCount="1" headerRowDxfId="28">
  <autoFilter ref="A4:N965" xr:uid="{5DA861DD-1F8E-48D5-853C-07AAE1A74B64}">
    <filterColumn colId="2">
      <filters>
        <filter val="menna"/>
      </filters>
    </filterColumn>
  </autoFilter>
  <sortState xmlns:xlrd2="http://schemas.microsoft.com/office/spreadsheetml/2017/richdata2" ref="A139:N174">
    <sortCondition ref="D4:D965"/>
  </sortState>
  <tableColumns count="14">
    <tableColumn id="1" xr3:uid="{0D7CF5CC-1FAD-409C-8292-1E8AA02A0834}" name="Code" dataDxfId="27" totalsRowDxfId="26">
      <calculatedColumnFormula>Table57[[#This Row],[No.]]&amp;Table57[[#This Row],[Date]]</calculatedColumnFormula>
    </tableColumn>
    <tableColumn id="2" xr3:uid="{256E19D5-E3A8-414C-81D3-58F60A2197BD}" name="No." dataDxfId="25" totalsRowDxfId="24">
      <calculatedColumnFormula>'Unique Dates'!A2</calculatedColumnFormula>
    </tableColumn>
    <tableColumn id="8" xr3:uid="{41E9584A-60A3-4C7C-8F01-494B04F72614}" name="Name" dataDxfId="23" totalsRowDxfId="22">
      <calculatedColumnFormula array="1">_xlfn.XLOOKUP(Table57[[#This Row],[No.]],Table2[[#All],[CODE]],Table2[[#All],[NAME]],,0,1)</calculatedColumnFormula>
    </tableColumn>
    <tableColumn id="3" xr3:uid="{32087C8A-6A1C-49EC-BCDC-B8C36CA5B733}" name="Date" dataDxfId="21" totalsRowDxfId="20">
      <calculatedColumnFormula>'Unique Dates'!B2</calculatedColumnFormula>
    </tableColumn>
    <tableColumn id="4" xr3:uid="{93238E18-4F1F-4C4B-B1DB-D96E9B5CE89C}" name="Day" dataDxfId="19" totalsRowDxfId="18">
      <calculatedColumnFormula>TEXT(Table57[[#This Row],[Date]],"dddd")</calculatedColumnFormula>
    </tableColumn>
    <tableColumn id="5" xr3:uid="{611DB1B1-EBD0-4A3A-850B-1FD6652FC723}" name="In" dataDxfId="17" totalsRowDxfId="16">
      <calculatedColumnFormula array="1">IFERROR(_xlfn.XLOOKUP(Table57[[#This Row],[Code]],Table1[[#All],[Code]],Table1[[#All],[Time]],,0,1),"")</calculatedColumnFormula>
    </tableColumn>
    <tableColumn id="6" xr3:uid="{E0569D5C-A9A0-47FA-8095-326EB39504B9}" name="Out" dataDxfId="15" totalsRowDxfId="14">
      <calculatedColumnFormula array="1">IFERROR(_xlfn.XLOOKUP(Table57[[#This Row],[Code]],Table1[[#All],[Code]],Table1[[#All],[Time]],,0,-1),"")</calculatedColumnFormula>
    </tableColumn>
    <tableColumn id="7" xr3:uid="{3565D2D7-B924-4E58-8606-A4B2EA491004}" name="Work_Hours" totalsRowFunction="sum" dataDxfId="13" totalsRowDxfId="12">
      <calculatedColumnFormula>IFERROR(IF(Table57[[#This Row],[Out]]&gt;=Table57[[#This Row],[In]],Table57[[#This Row],[Out]]-Table57[[#This Row],[In]],(0.5+Table57[[#This Row],[Out]])-Table57[[#This Row],[In]]),"")</calculatedColumnFormula>
    </tableColumn>
    <tableColumn id="9" xr3:uid="{FF244187-0E32-4A19-83AE-3B6A6DE3CE84}" name="التاخير عن الحضور" totalsRowFunction="sum" dataDxfId="11" totalsRowDxfId="10">
      <calculatedColumnFormula>IFERROR(Table57[[#This Row],[In]]-#REF!,"")</calculatedColumnFormula>
    </tableColumn>
    <tableColumn id="12" xr3:uid="{CE071E0E-261B-4776-A274-A46FC52C068B}" name="خروج قبل الانصراف" totalsRowFunction="sum" dataDxfId="9" totalsRowDxfId="8">
      <calculatedColumnFormula>IFERROR(IF(Table57[[#This Row],[Out]]&gt;$C$3,(Table57[[#This Row],[Out]])-($C$3),""),"")</calculatedColumnFormula>
    </tableColumn>
    <tableColumn id="13" xr3:uid="{3952886C-5C39-4129-9629-E475E1C1FAF1}" name="الوقت المقدر للخروج" dataDxfId="7" totalsRowDxfId="6">
      <calculatedColumnFormula>IFERROR(Table57[[#This Row],[In]]+$C$1,"")</calculatedColumnFormula>
    </tableColumn>
    <tableColumn id="16" xr3:uid="{51810A6C-7A31-4D2D-8566-32CEC54D98BA}" name="مده السماح" totalsRowFunction="sum" dataDxfId="5" totalsRowDxfId="4"/>
    <tableColumn id="14" xr3:uid="{BBDFC684-AAC1-43AB-9BA0-0468F07E543C}" name="الحضور قبل الموعد الرسمي" totalsRowFunction="sum" dataDxfId="3" totalsRowDxfId="2">
      <calculatedColumnFormula>#REF!-Table57[[#This Row],[In]]</calculatedColumnFormula>
    </tableColumn>
    <tableColumn id="15" xr3:uid="{E7D52A4E-2891-4BC9-9AFD-93C83701A33B}" name="الخروج بعد الانصراف" totalsRowFunction="sum" dataDxfId="1" totalsRowDxfId="0">
      <calculatedColumnFormula>IFERROR(IF(Table57[[#This Row],[Out]]&gt;$C$3,(Table57[[#This Row],[Out]])-($C$3),""),"")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29"/>
  <sheetViews>
    <sheetView workbookViewId="0">
      <selection activeCell="B25" sqref="B25"/>
    </sheetView>
  </sheetViews>
  <sheetFormatPr defaultColWidth="19" defaultRowHeight="18.75" x14ac:dyDescent="0.3"/>
  <cols>
    <col min="1" max="2" width="19" style="3"/>
    <col min="3" max="3" width="26" style="3" customWidth="1"/>
    <col min="4" max="4" width="37" style="3" customWidth="1"/>
    <col min="5" max="16384" width="19" style="3"/>
  </cols>
  <sheetData>
    <row r="1" spans="1:7" s="1" customFormat="1" ht="19.5" thickBot="1" x14ac:dyDescent="0.35">
      <c r="A1" s="17" t="s">
        <v>11</v>
      </c>
      <c r="B1" s="18" t="s">
        <v>12</v>
      </c>
      <c r="C1" s="18" t="s">
        <v>5</v>
      </c>
      <c r="D1" s="19" t="s">
        <v>13</v>
      </c>
      <c r="F1" s="12" t="s">
        <v>6</v>
      </c>
      <c r="G1" s="13" t="s">
        <v>5</v>
      </c>
    </row>
    <row r="2" spans="1:7" x14ac:dyDescent="0.3">
      <c r="A2" s="2">
        <v>2</v>
      </c>
      <c r="B2" s="2">
        <v>9</v>
      </c>
      <c r="C2" s="2" t="s">
        <v>14</v>
      </c>
      <c r="D2" s="16" t="s">
        <v>15</v>
      </c>
      <c r="F2" s="8">
        <v>1</v>
      </c>
      <c r="G2" s="10" t="s">
        <v>7</v>
      </c>
    </row>
    <row r="3" spans="1:7" x14ac:dyDescent="0.3">
      <c r="A3" s="2">
        <v>1</v>
      </c>
      <c r="B3" s="2">
        <v>8</v>
      </c>
      <c r="C3" s="2" t="s">
        <v>1</v>
      </c>
      <c r="D3" s="16" t="s">
        <v>15</v>
      </c>
      <c r="F3" s="9">
        <v>2</v>
      </c>
      <c r="G3" s="11" t="s">
        <v>25</v>
      </c>
    </row>
    <row r="4" spans="1:7" x14ac:dyDescent="0.3">
      <c r="A4" s="2">
        <v>1</v>
      </c>
      <c r="B4" s="2">
        <v>8</v>
      </c>
      <c r="C4" s="2" t="s">
        <v>16</v>
      </c>
      <c r="D4" s="16" t="s">
        <v>15</v>
      </c>
      <c r="F4" s="9">
        <v>3</v>
      </c>
      <c r="G4" s="11" t="s">
        <v>8</v>
      </c>
    </row>
    <row r="5" spans="1:7" x14ac:dyDescent="0.3">
      <c r="A5" s="2">
        <v>1</v>
      </c>
      <c r="B5" s="2">
        <v>8</v>
      </c>
      <c r="C5" s="2" t="s">
        <v>4</v>
      </c>
      <c r="D5" s="16" t="s">
        <v>15</v>
      </c>
      <c r="F5" s="9">
        <v>4</v>
      </c>
      <c r="G5" s="11" t="s">
        <v>26</v>
      </c>
    </row>
    <row r="6" spans="1:7" x14ac:dyDescent="0.3">
      <c r="A6" s="2">
        <v>2</v>
      </c>
      <c r="B6" s="2">
        <v>7</v>
      </c>
      <c r="C6" s="2" t="s">
        <v>8</v>
      </c>
      <c r="D6" s="16" t="s">
        <v>15</v>
      </c>
      <c r="F6" s="9">
        <v>5</v>
      </c>
      <c r="G6" s="11" t="s">
        <v>27</v>
      </c>
    </row>
    <row r="7" spans="1:7" x14ac:dyDescent="0.3">
      <c r="A7" s="2">
        <v>2</v>
      </c>
      <c r="B7" s="2">
        <v>6</v>
      </c>
      <c r="C7" s="2" t="s">
        <v>17</v>
      </c>
      <c r="D7" s="16" t="s">
        <v>21</v>
      </c>
      <c r="F7" s="9">
        <v>6</v>
      </c>
      <c r="G7" s="11" t="s">
        <v>9</v>
      </c>
    </row>
    <row r="8" spans="1:7" x14ac:dyDescent="0.3">
      <c r="A8" s="2">
        <v>2</v>
      </c>
      <c r="B8" s="2">
        <v>6</v>
      </c>
      <c r="C8" s="2" t="s">
        <v>18</v>
      </c>
      <c r="D8" s="16" t="s">
        <v>21</v>
      </c>
      <c r="F8" s="9">
        <v>7</v>
      </c>
      <c r="G8" s="11" t="s">
        <v>44</v>
      </c>
    </row>
    <row r="9" spans="1:7" x14ac:dyDescent="0.3">
      <c r="A9" s="2">
        <v>3</v>
      </c>
      <c r="B9" s="2">
        <v>6</v>
      </c>
      <c r="C9" s="2" t="s">
        <v>19</v>
      </c>
      <c r="D9" s="16" t="s">
        <v>21</v>
      </c>
      <c r="F9" s="9">
        <v>8</v>
      </c>
      <c r="G9" s="11" t="s">
        <v>28</v>
      </c>
    </row>
    <row r="10" spans="1:7" x14ac:dyDescent="0.3">
      <c r="A10" s="2">
        <v>2</v>
      </c>
      <c r="B10" s="2">
        <v>6</v>
      </c>
      <c r="C10" s="2" t="s">
        <v>20</v>
      </c>
      <c r="D10" s="16" t="s">
        <v>21</v>
      </c>
      <c r="F10" s="9">
        <v>9</v>
      </c>
      <c r="G10" s="11" t="s">
        <v>29</v>
      </c>
    </row>
    <row r="11" spans="1:7" x14ac:dyDescent="0.3">
      <c r="A11" s="2">
        <v>2</v>
      </c>
      <c r="B11" s="2">
        <v>9</v>
      </c>
      <c r="C11" s="2" t="s">
        <v>10</v>
      </c>
      <c r="D11" s="16" t="s">
        <v>24</v>
      </c>
      <c r="F11" s="9">
        <v>10</v>
      </c>
      <c r="G11" s="11" t="s">
        <v>30</v>
      </c>
    </row>
    <row r="12" spans="1:7" x14ac:dyDescent="0.3">
      <c r="A12" s="2">
        <v>2</v>
      </c>
      <c r="B12" s="2">
        <v>9</v>
      </c>
      <c r="C12" s="2" t="s">
        <v>22</v>
      </c>
      <c r="D12" s="16" t="s">
        <v>24</v>
      </c>
      <c r="F12" s="9">
        <v>11</v>
      </c>
      <c r="G12" s="11" t="s">
        <v>31</v>
      </c>
    </row>
    <row r="13" spans="1:7" x14ac:dyDescent="0.3">
      <c r="A13" s="2">
        <v>2</v>
      </c>
      <c r="B13" s="2">
        <v>9</v>
      </c>
      <c r="C13" s="2" t="s">
        <v>23</v>
      </c>
      <c r="D13" s="16" t="s">
        <v>24</v>
      </c>
      <c r="F13" s="9">
        <v>12</v>
      </c>
      <c r="G13" s="11" t="s">
        <v>33</v>
      </c>
    </row>
    <row r="14" spans="1:7" x14ac:dyDescent="0.3">
      <c r="A14" s="2">
        <v>2</v>
      </c>
      <c r="B14" s="2">
        <v>9</v>
      </c>
      <c r="C14" s="2" t="s">
        <v>3</v>
      </c>
      <c r="D14" s="16" t="s">
        <v>24</v>
      </c>
      <c r="F14" s="9">
        <v>13</v>
      </c>
      <c r="G14" s="11" t="s">
        <v>0</v>
      </c>
    </row>
    <row r="15" spans="1:7" x14ac:dyDescent="0.3">
      <c r="A15" s="2">
        <v>1</v>
      </c>
      <c r="B15" s="2">
        <v>9</v>
      </c>
      <c r="C15" s="2" t="s">
        <v>46</v>
      </c>
      <c r="D15" s="16" t="s">
        <v>15</v>
      </c>
      <c r="F15" s="9">
        <v>14</v>
      </c>
      <c r="G15" s="11" t="s">
        <v>10</v>
      </c>
    </row>
    <row r="16" spans="1:7" x14ac:dyDescent="0.3">
      <c r="A16" s="20">
        <v>1</v>
      </c>
      <c r="B16" s="20">
        <v>9</v>
      </c>
      <c r="C16" s="20" t="s">
        <v>44</v>
      </c>
      <c r="D16" s="21" t="s">
        <v>15</v>
      </c>
      <c r="F16" s="9">
        <v>15</v>
      </c>
      <c r="G16" s="11" t="s">
        <v>32</v>
      </c>
    </row>
    <row r="17" spans="2:7" x14ac:dyDescent="0.3">
      <c r="F17" s="9">
        <v>16</v>
      </c>
      <c r="G17" s="11" t="s">
        <v>1</v>
      </c>
    </row>
    <row r="18" spans="2:7" x14ac:dyDescent="0.3">
      <c r="F18" s="9">
        <v>17</v>
      </c>
      <c r="G18" s="11" t="s">
        <v>2</v>
      </c>
    </row>
    <row r="19" spans="2:7" x14ac:dyDescent="0.3">
      <c r="F19" s="9">
        <v>18</v>
      </c>
      <c r="G19" s="11" t="s">
        <v>34</v>
      </c>
    </row>
    <row r="20" spans="2:7" x14ac:dyDescent="0.3">
      <c r="F20" s="9">
        <v>20</v>
      </c>
      <c r="G20" s="11" t="s">
        <v>35</v>
      </c>
    </row>
    <row r="21" spans="2:7" x14ac:dyDescent="0.3">
      <c r="B21" s="24"/>
      <c r="F21" s="9">
        <v>23</v>
      </c>
      <c r="G21" s="11" t="s">
        <v>36</v>
      </c>
    </row>
    <row r="22" spans="2:7" x14ac:dyDescent="0.3">
      <c r="F22" s="9">
        <v>25</v>
      </c>
      <c r="G22" s="11" t="s">
        <v>37</v>
      </c>
    </row>
    <row r="23" spans="2:7" x14ac:dyDescent="0.3">
      <c r="F23" s="9">
        <v>28</v>
      </c>
      <c r="G23" s="11" t="s">
        <v>38</v>
      </c>
    </row>
    <row r="24" spans="2:7" x14ac:dyDescent="0.3">
      <c r="F24" s="9">
        <v>31</v>
      </c>
      <c r="G24" s="11" t="s">
        <v>39</v>
      </c>
    </row>
    <row r="25" spans="2:7" x14ac:dyDescent="0.3">
      <c r="F25" s="9">
        <v>32</v>
      </c>
      <c r="G25" s="11" t="s">
        <v>41</v>
      </c>
    </row>
    <row r="26" spans="2:7" x14ac:dyDescent="0.3">
      <c r="F26" s="9">
        <v>34</v>
      </c>
      <c r="G26" s="11" t="s">
        <v>42</v>
      </c>
    </row>
    <row r="27" spans="2:7" x14ac:dyDescent="0.3">
      <c r="F27" s="9">
        <v>36</v>
      </c>
      <c r="G27" s="11" t="s">
        <v>43</v>
      </c>
    </row>
    <row r="28" spans="2:7" x14ac:dyDescent="0.3">
      <c r="F28" s="9">
        <v>38</v>
      </c>
      <c r="G28" s="11" t="s">
        <v>40</v>
      </c>
    </row>
    <row r="29" spans="2:7" x14ac:dyDescent="0.3">
      <c r="F29" s="14">
        <v>40</v>
      </c>
      <c r="G29" s="15" t="s">
        <v>45</v>
      </c>
    </row>
  </sheetData>
  <conditionalFormatting sqref="F2:F29">
    <cfRule type="duplicateValues" dxfId="46" priority="9"/>
  </conditionalFormatting>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91EF6-510B-41D1-A763-9C60EDDC11CA}">
  <sheetPr codeName="Sheet4"/>
  <dimension ref="A1:B180"/>
  <sheetViews>
    <sheetView workbookViewId="0">
      <selection activeCell="D26" sqref="D26"/>
    </sheetView>
  </sheetViews>
  <sheetFormatPr defaultRowHeight="15" x14ac:dyDescent="0.25"/>
  <cols>
    <col min="2" max="2" width="9.7109375" bestFit="1" customWidth="1"/>
  </cols>
  <sheetData>
    <row r="1" spans="1:2" x14ac:dyDescent="0.25">
      <c r="A1" t="s">
        <v>50</v>
      </c>
      <c r="B1" t="s">
        <v>49</v>
      </c>
    </row>
    <row r="2" spans="1:2" x14ac:dyDescent="0.25">
      <c r="A2">
        <v>1</v>
      </c>
      <c r="B2" s="6">
        <v>45294</v>
      </c>
    </row>
    <row r="3" spans="1:2" x14ac:dyDescent="0.25">
      <c r="A3">
        <v>1</v>
      </c>
      <c r="B3" s="6">
        <v>45299</v>
      </c>
    </row>
    <row r="4" spans="1:2" x14ac:dyDescent="0.25">
      <c r="A4">
        <v>1</v>
      </c>
      <c r="B4" s="6">
        <v>45302</v>
      </c>
    </row>
    <row r="5" spans="1:2" x14ac:dyDescent="0.25">
      <c r="A5">
        <v>1</v>
      </c>
      <c r="B5" s="6">
        <v>45305</v>
      </c>
    </row>
    <row r="6" spans="1:2" x14ac:dyDescent="0.25">
      <c r="A6">
        <v>1</v>
      </c>
      <c r="B6" s="6">
        <v>45307</v>
      </c>
    </row>
    <row r="7" spans="1:2" x14ac:dyDescent="0.25">
      <c r="A7">
        <v>1</v>
      </c>
      <c r="B7" s="6">
        <v>45310</v>
      </c>
    </row>
    <row r="8" spans="1:2" x14ac:dyDescent="0.25">
      <c r="A8">
        <v>1</v>
      </c>
      <c r="B8" s="6">
        <v>45311</v>
      </c>
    </row>
    <row r="9" spans="1:2" x14ac:dyDescent="0.25">
      <c r="A9">
        <v>1</v>
      </c>
      <c r="B9" s="6">
        <v>45313</v>
      </c>
    </row>
    <row r="10" spans="1:2" x14ac:dyDescent="0.25">
      <c r="A10">
        <v>1</v>
      </c>
      <c r="B10" s="6">
        <v>45314</v>
      </c>
    </row>
    <row r="11" spans="1:2" x14ac:dyDescent="0.25">
      <c r="A11">
        <v>1</v>
      </c>
      <c r="B11" s="6">
        <v>45315</v>
      </c>
    </row>
    <row r="12" spans="1:2" x14ac:dyDescent="0.25">
      <c r="A12">
        <v>3</v>
      </c>
      <c r="B12" s="6">
        <v>45292</v>
      </c>
    </row>
    <row r="13" spans="1:2" x14ac:dyDescent="0.25">
      <c r="A13">
        <v>3</v>
      </c>
      <c r="B13" s="6">
        <v>45293</v>
      </c>
    </row>
    <row r="14" spans="1:2" x14ac:dyDescent="0.25">
      <c r="A14">
        <v>3</v>
      </c>
      <c r="B14" s="6">
        <v>45294</v>
      </c>
    </row>
    <row r="15" spans="1:2" x14ac:dyDescent="0.25">
      <c r="A15">
        <v>3</v>
      </c>
      <c r="B15" s="6">
        <v>45295</v>
      </c>
    </row>
    <row r="16" spans="1:2" x14ac:dyDescent="0.25">
      <c r="A16">
        <v>3</v>
      </c>
      <c r="B16" s="6">
        <v>45298</v>
      </c>
    </row>
    <row r="17" spans="1:2" x14ac:dyDescent="0.25">
      <c r="A17">
        <v>3</v>
      </c>
      <c r="B17" s="6">
        <v>45299</v>
      </c>
    </row>
    <row r="18" spans="1:2" x14ac:dyDescent="0.25">
      <c r="A18">
        <v>3</v>
      </c>
      <c r="B18" s="6">
        <v>45301</v>
      </c>
    </row>
    <row r="19" spans="1:2" x14ac:dyDescent="0.25">
      <c r="A19">
        <v>3</v>
      </c>
      <c r="B19" s="6">
        <v>45305</v>
      </c>
    </row>
    <row r="20" spans="1:2" x14ac:dyDescent="0.25">
      <c r="A20">
        <v>3</v>
      </c>
      <c r="B20" s="6">
        <v>45306</v>
      </c>
    </row>
    <row r="21" spans="1:2" x14ac:dyDescent="0.25">
      <c r="A21">
        <v>3</v>
      </c>
      <c r="B21" s="6">
        <v>45307</v>
      </c>
    </row>
    <row r="22" spans="1:2" x14ac:dyDescent="0.25">
      <c r="A22">
        <v>3</v>
      </c>
      <c r="B22" s="6">
        <v>45308</v>
      </c>
    </row>
    <row r="23" spans="1:2" x14ac:dyDescent="0.25">
      <c r="A23">
        <v>3</v>
      </c>
      <c r="B23" s="6">
        <v>45309</v>
      </c>
    </row>
    <row r="24" spans="1:2" x14ac:dyDescent="0.25">
      <c r="A24">
        <v>3</v>
      </c>
      <c r="B24" s="6">
        <v>45313</v>
      </c>
    </row>
    <row r="25" spans="1:2" x14ac:dyDescent="0.25">
      <c r="A25">
        <v>3</v>
      </c>
      <c r="B25" s="6">
        <v>45314</v>
      </c>
    </row>
    <row r="26" spans="1:2" x14ac:dyDescent="0.25">
      <c r="A26">
        <v>3</v>
      </c>
      <c r="B26" s="6">
        <v>45319</v>
      </c>
    </row>
    <row r="27" spans="1:2" x14ac:dyDescent="0.25">
      <c r="A27">
        <v>6</v>
      </c>
      <c r="B27" s="6">
        <v>45292</v>
      </c>
    </row>
    <row r="28" spans="1:2" x14ac:dyDescent="0.25">
      <c r="A28">
        <v>6</v>
      </c>
      <c r="B28" s="6">
        <v>45293</v>
      </c>
    </row>
    <row r="29" spans="1:2" x14ac:dyDescent="0.25">
      <c r="A29">
        <v>6</v>
      </c>
      <c r="B29" s="6">
        <v>45294</v>
      </c>
    </row>
    <row r="30" spans="1:2" x14ac:dyDescent="0.25">
      <c r="A30">
        <v>6</v>
      </c>
      <c r="B30" s="6">
        <v>45295</v>
      </c>
    </row>
    <row r="31" spans="1:2" x14ac:dyDescent="0.25">
      <c r="A31">
        <v>6</v>
      </c>
      <c r="B31" s="6">
        <v>45298</v>
      </c>
    </row>
    <row r="32" spans="1:2" x14ac:dyDescent="0.25">
      <c r="A32">
        <v>6</v>
      </c>
      <c r="B32" s="6">
        <v>45299</v>
      </c>
    </row>
    <row r="33" spans="1:2" x14ac:dyDescent="0.25">
      <c r="A33">
        <v>6</v>
      </c>
      <c r="B33" s="6">
        <v>45300</v>
      </c>
    </row>
    <row r="34" spans="1:2" x14ac:dyDescent="0.25">
      <c r="A34">
        <v>6</v>
      </c>
      <c r="B34" s="6">
        <v>45305</v>
      </c>
    </row>
    <row r="35" spans="1:2" x14ac:dyDescent="0.25">
      <c r="A35">
        <v>6</v>
      </c>
      <c r="B35" s="6">
        <v>45306</v>
      </c>
    </row>
    <row r="36" spans="1:2" x14ac:dyDescent="0.25">
      <c r="A36">
        <v>6</v>
      </c>
      <c r="B36" s="6">
        <v>45308</v>
      </c>
    </row>
    <row r="37" spans="1:2" x14ac:dyDescent="0.25">
      <c r="A37">
        <v>6</v>
      </c>
      <c r="B37" s="6">
        <v>45309</v>
      </c>
    </row>
    <row r="38" spans="1:2" x14ac:dyDescent="0.25">
      <c r="A38">
        <v>6</v>
      </c>
      <c r="B38" s="6">
        <v>45313</v>
      </c>
    </row>
    <row r="39" spans="1:2" x14ac:dyDescent="0.25">
      <c r="A39">
        <v>6</v>
      </c>
      <c r="B39" s="6">
        <v>45314</v>
      </c>
    </row>
    <row r="40" spans="1:2" x14ac:dyDescent="0.25">
      <c r="A40">
        <v>6</v>
      </c>
      <c r="B40" s="6">
        <v>45315</v>
      </c>
    </row>
    <row r="41" spans="1:2" x14ac:dyDescent="0.25">
      <c r="A41">
        <v>6</v>
      </c>
      <c r="B41" s="6">
        <v>45319</v>
      </c>
    </row>
    <row r="42" spans="1:2" x14ac:dyDescent="0.25">
      <c r="A42">
        <v>7</v>
      </c>
      <c r="B42" s="6">
        <v>45307</v>
      </c>
    </row>
    <row r="43" spans="1:2" x14ac:dyDescent="0.25">
      <c r="A43">
        <v>13</v>
      </c>
      <c r="B43" s="6">
        <v>45294</v>
      </c>
    </row>
    <row r="44" spans="1:2" x14ac:dyDescent="0.25">
      <c r="A44">
        <v>13</v>
      </c>
      <c r="B44" s="6">
        <v>45295</v>
      </c>
    </row>
    <row r="45" spans="1:2" x14ac:dyDescent="0.25">
      <c r="A45">
        <v>13</v>
      </c>
      <c r="B45" s="6">
        <v>45297</v>
      </c>
    </row>
    <row r="46" spans="1:2" x14ac:dyDescent="0.25">
      <c r="A46">
        <v>13</v>
      </c>
      <c r="B46" s="6">
        <v>45298</v>
      </c>
    </row>
    <row r="47" spans="1:2" x14ac:dyDescent="0.25">
      <c r="A47">
        <v>13</v>
      </c>
      <c r="B47" s="6">
        <v>45300</v>
      </c>
    </row>
    <row r="48" spans="1:2" x14ac:dyDescent="0.25">
      <c r="A48">
        <v>13</v>
      </c>
      <c r="B48" s="6">
        <v>45302</v>
      </c>
    </row>
    <row r="49" spans="1:2" x14ac:dyDescent="0.25">
      <c r="A49">
        <v>13</v>
      </c>
      <c r="B49" s="6">
        <v>45304</v>
      </c>
    </row>
    <row r="50" spans="1:2" x14ac:dyDescent="0.25">
      <c r="A50">
        <v>13</v>
      </c>
      <c r="B50" s="6">
        <v>45305</v>
      </c>
    </row>
    <row r="51" spans="1:2" x14ac:dyDescent="0.25">
      <c r="A51">
        <v>13</v>
      </c>
      <c r="B51" s="6">
        <v>45306</v>
      </c>
    </row>
    <row r="52" spans="1:2" x14ac:dyDescent="0.25">
      <c r="A52">
        <v>13</v>
      </c>
      <c r="B52" s="6">
        <v>45308</v>
      </c>
    </row>
    <row r="53" spans="1:2" x14ac:dyDescent="0.25">
      <c r="A53">
        <v>13</v>
      </c>
      <c r="B53" s="6">
        <v>45312</v>
      </c>
    </row>
    <row r="54" spans="1:2" x14ac:dyDescent="0.25">
      <c r="A54">
        <v>13</v>
      </c>
      <c r="B54" s="6">
        <v>45314</v>
      </c>
    </row>
    <row r="55" spans="1:2" x14ac:dyDescent="0.25">
      <c r="A55">
        <v>13</v>
      </c>
      <c r="B55" s="6">
        <v>45315</v>
      </c>
    </row>
    <row r="56" spans="1:2" x14ac:dyDescent="0.25">
      <c r="A56">
        <v>13</v>
      </c>
      <c r="B56" s="6">
        <v>45316</v>
      </c>
    </row>
    <row r="57" spans="1:2" x14ac:dyDescent="0.25">
      <c r="A57">
        <v>13</v>
      </c>
      <c r="B57" s="6">
        <v>45318</v>
      </c>
    </row>
    <row r="58" spans="1:2" x14ac:dyDescent="0.25">
      <c r="A58">
        <v>13</v>
      </c>
      <c r="B58" s="6">
        <v>45319</v>
      </c>
    </row>
    <row r="59" spans="1:2" x14ac:dyDescent="0.25">
      <c r="A59">
        <v>14</v>
      </c>
      <c r="B59" s="6">
        <v>45292</v>
      </c>
    </row>
    <row r="60" spans="1:2" x14ac:dyDescent="0.25">
      <c r="A60">
        <v>14</v>
      </c>
      <c r="B60" s="6">
        <v>45293</v>
      </c>
    </row>
    <row r="61" spans="1:2" x14ac:dyDescent="0.25">
      <c r="A61">
        <v>14</v>
      </c>
      <c r="B61" s="6">
        <v>45294</v>
      </c>
    </row>
    <row r="62" spans="1:2" x14ac:dyDescent="0.25">
      <c r="A62">
        <v>14</v>
      </c>
      <c r="B62" s="6">
        <v>45298</v>
      </c>
    </row>
    <row r="63" spans="1:2" x14ac:dyDescent="0.25">
      <c r="A63">
        <v>14</v>
      </c>
      <c r="B63" s="6">
        <v>45299</v>
      </c>
    </row>
    <row r="64" spans="1:2" x14ac:dyDescent="0.25">
      <c r="A64">
        <v>14</v>
      </c>
      <c r="B64" s="6">
        <v>45300</v>
      </c>
    </row>
    <row r="65" spans="1:2" x14ac:dyDescent="0.25">
      <c r="A65">
        <v>14</v>
      </c>
      <c r="B65" s="6">
        <v>45301</v>
      </c>
    </row>
    <row r="66" spans="1:2" x14ac:dyDescent="0.25">
      <c r="A66">
        <v>14</v>
      </c>
      <c r="B66" s="6">
        <v>45302</v>
      </c>
    </row>
    <row r="67" spans="1:2" x14ac:dyDescent="0.25">
      <c r="A67">
        <v>14</v>
      </c>
      <c r="B67" s="6">
        <v>45305</v>
      </c>
    </row>
    <row r="68" spans="1:2" x14ac:dyDescent="0.25">
      <c r="A68">
        <v>14</v>
      </c>
      <c r="B68" s="6">
        <v>45306</v>
      </c>
    </row>
    <row r="69" spans="1:2" x14ac:dyDescent="0.25">
      <c r="A69">
        <v>14</v>
      </c>
      <c r="B69" s="6">
        <v>45307</v>
      </c>
    </row>
    <row r="70" spans="1:2" x14ac:dyDescent="0.25">
      <c r="A70">
        <v>14</v>
      </c>
      <c r="B70" s="6">
        <v>45308</v>
      </c>
    </row>
    <row r="71" spans="1:2" x14ac:dyDescent="0.25">
      <c r="A71">
        <v>14</v>
      </c>
      <c r="B71" s="6">
        <v>45309</v>
      </c>
    </row>
    <row r="72" spans="1:2" x14ac:dyDescent="0.25">
      <c r="A72">
        <v>14</v>
      </c>
      <c r="B72" s="6">
        <v>45312</v>
      </c>
    </row>
    <row r="73" spans="1:2" x14ac:dyDescent="0.25">
      <c r="A73">
        <v>14</v>
      </c>
      <c r="B73" s="6">
        <v>45313</v>
      </c>
    </row>
    <row r="74" spans="1:2" x14ac:dyDescent="0.25">
      <c r="A74">
        <v>14</v>
      </c>
      <c r="B74" s="6">
        <v>45314</v>
      </c>
    </row>
    <row r="75" spans="1:2" x14ac:dyDescent="0.25">
      <c r="A75">
        <v>14</v>
      </c>
      <c r="B75" s="6">
        <v>45315</v>
      </c>
    </row>
    <row r="76" spans="1:2" x14ac:dyDescent="0.25">
      <c r="A76">
        <v>14</v>
      </c>
      <c r="B76" s="6">
        <v>45316</v>
      </c>
    </row>
    <row r="77" spans="1:2" x14ac:dyDescent="0.25">
      <c r="A77">
        <v>14</v>
      </c>
      <c r="B77" s="6">
        <v>45318</v>
      </c>
    </row>
    <row r="78" spans="1:2" x14ac:dyDescent="0.25">
      <c r="A78">
        <v>14</v>
      </c>
      <c r="B78" s="6">
        <v>45319</v>
      </c>
    </row>
    <row r="79" spans="1:2" x14ac:dyDescent="0.25">
      <c r="A79">
        <v>16</v>
      </c>
      <c r="B79" s="6">
        <v>45293</v>
      </c>
    </row>
    <row r="80" spans="1:2" x14ac:dyDescent="0.25">
      <c r="A80">
        <v>16</v>
      </c>
      <c r="B80" s="6">
        <v>45294</v>
      </c>
    </row>
    <row r="81" spans="1:2" x14ac:dyDescent="0.25">
      <c r="A81">
        <v>16</v>
      </c>
      <c r="B81" s="6">
        <v>45296</v>
      </c>
    </row>
    <row r="82" spans="1:2" x14ac:dyDescent="0.25">
      <c r="A82">
        <v>16</v>
      </c>
      <c r="B82" s="6">
        <v>45297</v>
      </c>
    </row>
    <row r="83" spans="1:2" x14ac:dyDescent="0.25">
      <c r="A83">
        <v>16</v>
      </c>
      <c r="B83" s="6">
        <v>45299</v>
      </c>
    </row>
    <row r="84" spans="1:2" x14ac:dyDescent="0.25">
      <c r="A84">
        <v>16</v>
      </c>
      <c r="B84" s="6">
        <v>45300</v>
      </c>
    </row>
    <row r="85" spans="1:2" x14ac:dyDescent="0.25">
      <c r="A85">
        <v>16</v>
      </c>
      <c r="B85" s="6">
        <v>45301</v>
      </c>
    </row>
    <row r="86" spans="1:2" x14ac:dyDescent="0.25">
      <c r="A86">
        <v>16</v>
      </c>
      <c r="B86" s="6">
        <v>45303</v>
      </c>
    </row>
    <row r="87" spans="1:2" x14ac:dyDescent="0.25">
      <c r="A87">
        <v>16</v>
      </c>
      <c r="B87" s="6">
        <v>45304</v>
      </c>
    </row>
    <row r="88" spans="1:2" x14ac:dyDescent="0.25">
      <c r="A88">
        <v>16</v>
      </c>
      <c r="B88" s="6">
        <v>45305</v>
      </c>
    </row>
    <row r="89" spans="1:2" x14ac:dyDescent="0.25">
      <c r="A89">
        <v>16</v>
      </c>
      <c r="B89" s="6">
        <v>45308</v>
      </c>
    </row>
    <row r="90" spans="1:2" x14ac:dyDescent="0.25">
      <c r="A90">
        <v>16</v>
      </c>
      <c r="B90" s="6">
        <v>45309</v>
      </c>
    </row>
    <row r="91" spans="1:2" x14ac:dyDescent="0.25">
      <c r="A91">
        <v>16</v>
      </c>
      <c r="B91" s="6">
        <v>45310</v>
      </c>
    </row>
    <row r="92" spans="1:2" x14ac:dyDescent="0.25">
      <c r="A92">
        <v>16</v>
      </c>
      <c r="B92" s="6">
        <v>45311</v>
      </c>
    </row>
    <row r="93" spans="1:2" x14ac:dyDescent="0.25">
      <c r="A93">
        <v>16</v>
      </c>
      <c r="B93" s="6">
        <v>45312</v>
      </c>
    </row>
    <row r="94" spans="1:2" x14ac:dyDescent="0.25">
      <c r="A94">
        <v>16</v>
      </c>
      <c r="B94" s="6">
        <v>45313</v>
      </c>
    </row>
    <row r="95" spans="1:2" x14ac:dyDescent="0.25">
      <c r="A95">
        <v>16</v>
      </c>
      <c r="B95" s="6">
        <v>45314</v>
      </c>
    </row>
    <row r="96" spans="1:2" x14ac:dyDescent="0.25">
      <c r="A96">
        <v>16</v>
      </c>
      <c r="B96" s="6">
        <v>45315</v>
      </c>
    </row>
    <row r="97" spans="1:2" x14ac:dyDescent="0.25">
      <c r="A97">
        <v>16</v>
      </c>
      <c r="B97" s="6">
        <v>45317</v>
      </c>
    </row>
    <row r="98" spans="1:2" x14ac:dyDescent="0.25">
      <c r="A98">
        <v>16</v>
      </c>
      <c r="B98" s="6">
        <v>45318</v>
      </c>
    </row>
    <row r="99" spans="1:2" x14ac:dyDescent="0.25">
      <c r="A99">
        <v>16</v>
      </c>
      <c r="B99" s="6">
        <v>45319</v>
      </c>
    </row>
    <row r="100" spans="1:2" x14ac:dyDescent="0.25">
      <c r="A100">
        <v>17</v>
      </c>
      <c r="B100" s="6">
        <v>45292</v>
      </c>
    </row>
    <row r="101" spans="1:2" x14ac:dyDescent="0.25">
      <c r="A101">
        <v>17</v>
      </c>
      <c r="B101" s="6">
        <v>45293</v>
      </c>
    </row>
    <row r="102" spans="1:2" x14ac:dyDescent="0.25">
      <c r="A102">
        <v>17</v>
      </c>
      <c r="B102" s="6">
        <v>45294</v>
      </c>
    </row>
    <row r="103" spans="1:2" x14ac:dyDescent="0.25">
      <c r="A103">
        <v>17</v>
      </c>
      <c r="B103" s="6">
        <v>45295</v>
      </c>
    </row>
    <row r="104" spans="1:2" x14ac:dyDescent="0.25">
      <c r="A104">
        <v>17</v>
      </c>
      <c r="B104" s="6">
        <v>45296</v>
      </c>
    </row>
    <row r="105" spans="1:2" x14ac:dyDescent="0.25">
      <c r="A105">
        <v>17</v>
      </c>
      <c r="B105" s="6">
        <v>45297</v>
      </c>
    </row>
    <row r="106" spans="1:2" x14ac:dyDescent="0.25">
      <c r="A106">
        <v>17</v>
      </c>
      <c r="B106" s="6">
        <v>45299</v>
      </c>
    </row>
    <row r="107" spans="1:2" x14ac:dyDescent="0.25">
      <c r="A107">
        <v>17</v>
      </c>
      <c r="B107" s="6">
        <v>45300</v>
      </c>
    </row>
    <row r="108" spans="1:2" x14ac:dyDescent="0.25">
      <c r="A108">
        <v>17</v>
      </c>
      <c r="B108" s="6">
        <v>45301</v>
      </c>
    </row>
    <row r="109" spans="1:2" x14ac:dyDescent="0.25">
      <c r="A109">
        <v>17</v>
      </c>
      <c r="B109" s="6">
        <v>45302</v>
      </c>
    </row>
    <row r="110" spans="1:2" x14ac:dyDescent="0.25">
      <c r="A110">
        <v>17</v>
      </c>
      <c r="B110" s="6">
        <v>45303</v>
      </c>
    </row>
    <row r="111" spans="1:2" x14ac:dyDescent="0.25">
      <c r="A111">
        <v>17</v>
      </c>
      <c r="B111" s="6">
        <v>45304</v>
      </c>
    </row>
    <row r="112" spans="1:2" x14ac:dyDescent="0.25">
      <c r="A112">
        <v>17</v>
      </c>
      <c r="B112" s="6">
        <v>45306</v>
      </c>
    </row>
    <row r="113" spans="1:2" x14ac:dyDescent="0.25">
      <c r="A113">
        <v>17</v>
      </c>
      <c r="B113" s="6">
        <v>45307</v>
      </c>
    </row>
    <row r="114" spans="1:2" x14ac:dyDescent="0.25">
      <c r="A114">
        <v>17</v>
      </c>
      <c r="B114" s="6">
        <v>45308</v>
      </c>
    </row>
    <row r="115" spans="1:2" x14ac:dyDescent="0.25">
      <c r="A115">
        <v>17</v>
      </c>
      <c r="B115" s="6">
        <v>45309</v>
      </c>
    </row>
    <row r="116" spans="1:2" x14ac:dyDescent="0.25">
      <c r="A116">
        <v>17</v>
      </c>
      <c r="B116" s="6">
        <v>45310</v>
      </c>
    </row>
    <row r="117" spans="1:2" x14ac:dyDescent="0.25">
      <c r="A117">
        <v>17</v>
      </c>
      <c r="B117" s="6">
        <v>45311</v>
      </c>
    </row>
    <row r="118" spans="1:2" x14ac:dyDescent="0.25">
      <c r="A118">
        <v>17</v>
      </c>
      <c r="B118" s="6">
        <v>45313</v>
      </c>
    </row>
    <row r="119" spans="1:2" x14ac:dyDescent="0.25">
      <c r="A119">
        <v>17</v>
      </c>
      <c r="B119" s="6">
        <v>45314</v>
      </c>
    </row>
    <row r="120" spans="1:2" x14ac:dyDescent="0.25">
      <c r="A120">
        <v>17</v>
      </c>
      <c r="B120" s="6">
        <v>45315</v>
      </c>
    </row>
    <row r="121" spans="1:2" x14ac:dyDescent="0.25">
      <c r="A121">
        <v>17</v>
      </c>
      <c r="B121" s="6">
        <v>45316</v>
      </c>
    </row>
    <row r="122" spans="1:2" x14ac:dyDescent="0.25">
      <c r="A122">
        <v>17</v>
      </c>
      <c r="B122" s="6">
        <v>45317</v>
      </c>
    </row>
    <row r="123" spans="1:2" x14ac:dyDescent="0.25">
      <c r="A123">
        <v>17</v>
      </c>
      <c r="B123" s="6">
        <v>45318</v>
      </c>
    </row>
    <row r="124" spans="1:2" x14ac:dyDescent="0.25">
      <c r="A124">
        <v>23</v>
      </c>
      <c r="B124" s="6">
        <v>45300</v>
      </c>
    </row>
    <row r="125" spans="1:2" x14ac:dyDescent="0.25">
      <c r="A125">
        <v>23</v>
      </c>
      <c r="B125" s="6">
        <v>45313</v>
      </c>
    </row>
    <row r="126" spans="1:2" x14ac:dyDescent="0.25">
      <c r="A126">
        <v>23</v>
      </c>
      <c r="B126" s="6">
        <v>45319</v>
      </c>
    </row>
    <row r="127" spans="1:2" x14ac:dyDescent="0.25">
      <c r="A127">
        <v>25</v>
      </c>
      <c r="B127" s="6">
        <v>45292</v>
      </c>
    </row>
    <row r="128" spans="1:2" x14ac:dyDescent="0.25">
      <c r="A128">
        <v>25</v>
      </c>
      <c r="B128" s="6">
        <v>45293</v>
      </c>
    </row>
    <row r="129" spans="1:2" x14ac:dyDescent="0.25">
      <c r="A129">
        <v>25</v>
      </c>
      <c r="B129" s="6">
        <v>45294</v>
      </c>
    </row>
    <row r="130" spans="1:2" x14ac:dyDescent="0.25">
      <c r="A130">
        <v>25</v>
      </c>
      <c r="B130" s="6">
        <v>45297</v>
      </c>
    </row>
    <row r="131" spans="1:2" x14ac:dyDescent="0.25">
      <c r="A131">
        <v>25</v>
      </c>
      <c r="B131" s="6">
        <v>45298</v>
      </c>
    </row>
    <row r="132" spans="1:2" x14ac:dyDescent="0.25">
      <c r="A132">
        <v>25</v>
      </c>
      <c r="B132" s="6">
        <v>45299</v>
      </c>
    </row>
    <row r="133" spans="1:2" x14ac:dyDescent="0.25">
      <c r="A133">
        <v>25</v>
      </c>
      <c r="B133" s="6">
        <v>45300</v>
      </c>
    </row>
    <row r="134" spans="1:2" x14ac:dyDescent="0.25">
      <c r="A134">
        <v>25</v>
      </c>
      <c r="B134" s="6">
        <v>45301</v>
      </c>
    </row>
    <row r="135" spans="1:2" x14ac:dyDescent="0.25">
      <c r="A135">
        <v>25</v>
      </c>
      <c r="B135" s="6">
        <v>45304</v>
      </c>
    </row>
    <row r="136" spans="1:2" x14ac:dyDescent="0.25">
      <c r="A136">
        <v>25</v>
      </c>
      <c r="B136" s="6">
        <v>45305</v>
      </c>
    </row>
    <row r="137" spans="1:2" x14ac:dyDescent="0.25">
      <c r="A137">
        <v>25</v>
      </c>
      <c r="B137" s="6">
        <v>45306</v>
      </c>
    </row>
    <row r="138" spans="1:2" x14ac:dyDescent="0.25">
      <c r="A138">
        <v>25</v>
      </c>
      <c r="B138" s="6">
        <v>45307</v>
      </c>
    </row>
    <row r="139" spans="1:2" x14ac:dyDescent="0.25">
      <c r="A139">
        <v>25</v>
      </c>
      <c r="B139" s="6">
        <v>45308</v>
      </c>
    </row>
    <row r="140" spans="1:2" x14ac:dyDescent="0.25">
      <c r="A140">
        <v>25</v>
      </c>
      <c r="B140" s="6">
        <v>45311</v>
      </c>
    </row>
    <row r="141" spans="1:2" x14ac:dyDescent="0.25">
      <c r="A141">
        <v>25</v>
      </c>
      <c r="B141" s="6">
        <v>45312</v>
      </c>
    </row>
    <row r="142" spans="1:2" x14ac:dyDescent="0.25">
      <c r="A142">
        <v>25</v>
      </c>
      <c r="B142" s="6">
        <v>45313</v>
      </c>
    </row>
    <row r="143" spans="1:2" x14ac:dyDescent="0.25">
      <c r="A143">
        <v>25</v>
      </c>
      <c r="B143" s="6">
        <v>45314</v>
      </c>
    </row>
    <row r="144" spans="1:2" x14ac:dyDescent="0.25">
      <c r="A144">
        <v>25</v>
      </c>
      <c r="B144" s="6">
        <v>45317</v>
      </c>
    </row>
    <row r="145" spans="1:2" x14ac:dyDescent="0.25">
      <c r="A145">
        <v>25</v>
      </c>
      <c r="B145" s="6">
        <v>45318</v>
      </c>
    </row>
    <row r="146" spans="1:2" x14ac:dyDescent="0.25">
      <c r="A146">
        <v>25</v>
      </c>
      <c r="B146" s="6">
        <v>45319</v>
      </c>
    </row>
    <row r="147" spans="1:2" x14ac:dyDescent="0.25">
      <c r="A147">
        <v>36</v>
      </c>
      <c r="B147" s="6">
        <v>45292</v>
      </c>
    </row>
    <row r="148" spans="1:2" x14ac:dyDescent="0.25">
      <c r="A148">
        <v>36</v>
      </c>
      <c r="B148" s="6">
        <v>45296</v>
      </c>
    </row>
    <row r="149" spans="1:2" x14ac:dyDescent="0.25">
      <c r="A149">
        <v>36</v>
      </c>
      <c r="B149" s="6">
        <v>45302</v>
      </c>
    </row>
    <row r="150" spans="1:2" x14ac:dyDescent="0.25">
      <c r="A150">
        <v>36</v>
      </c>
      <c r="B150" s="6">
        <v>45303</v>
      </c>
    </row>
    <row r="151" spans="1:2" x14ac:dyDescent="0.25">
      <c r="A151">
        <v>36</v>
      </c>
      <c r="B151" s="6">
        <v>45305</v>
      </c>
    </row>
    <row r="152" spans="1:2" x14ac:dyDescent="0.25">
      <c r="A152">
        <v>36</v>
      </c>
      <c r="B152" s="6">
        <v>45306</v>
      </c>
    </row>
    <row r="153" spans="1:2" x14ac:dyDescent="0.25">
      <c r="A153">
        <v>36</v>
      </c>
      <c r="B153" s="6">
        <v>45310</v>
      </c>
    </row>
    <row r="154" spans="1:2" x14ac:dyDescent="0.25">
      <c r="A154">
        <v>36</v>
      </c>
      <c r="B154" s="6">
        <v>45311</v>
      </c>
    </row>
    <row r="155" spans="1:2" x14ac:dyDescent="0.25">
      <c r="A155">
        <v>36</v>
      </c>
      <c r="B155" s="6">
        <v>45312</v>
      </c>
    </row>
    <row r="156" spans="1:2" x14ac:dyDescent="0.25">
      <c r="A156">
        <v>36</v>
      </c>
      <c r="B156" s="6">
        <v>45313</v>
      </c>
    </row>
    <row r="157" spans="1:2" x14ac:dyDescent="0.25">
      <c r="A157">
        <v>36</v>
      </c>
      <c r="B157" s="6">
        <v>45316</v>
      </c>
    </row>
    <row r="158" spans="1:2" x14ac:dyDescent="0.25">
      <c r="A158">
        <v>36</v>
      </c>
      <c r="B158" s="6">
        <v>45317</v>
      </c>
    </row>
    <row r="159" spans="1:2" x14ac:dyDescent="0.25">
      <c r="A159">
        <v>36</v>
      </c>
      <c r="B159" s="6">
        <v>45319</v>
      </c>
    </row>
    <row r="160" spans="1:2" x14ac:dyDescent="0.25">
      <c r="A160">
        <v>40</v>
      </c>
      <c r="B160" s="6">
        <v>45292</v>
      </c>
    </row>
    <row r="161" spans="1:2" x14ac:dyDescent="0.25">
      <c r="A161">
        <v>40</v>
      </c>
      <c r="B161" s="6">
        <v>45295</v>
      </c>
    </row>
    <row r="162" spans="1:2" x14ac:dyDescent="0.25">
      <c r="A162">
        <v>40</v>
      </c>
      <c r="B162" s="6">
        <v>45296</v>
      </c>
    </row>
    <row r="163" spans="1:2" x14ac:dyDescent="0.25">
      <c r="A163">
        <v>40</v>
      </c>
      <c r="B163" s="6">
        <v>45297</v>
      </c>
    </row>
    <row r="164" spans="1:2" x14ac:dyDescent="0.25">
      <c r="A164">
        <v>40</v>
      </c>
      <c r="B164" s="6">
        <v>45298</v>
      </c>
    </row>
    <row r="165" spans="1:2" x14ac:dyDescent="0.25">
      <c r="A165">
        <v>40</v>
      </c>
      <c r="B165" s="6">
        <v>45300</v>
      </c>
    </row>
    <row r="166" spans="1:2" x14ac:dyDescent="0.25">
      <c r="A166">
        <v>40</v>
      </c>
      <c r="B166" s="6">
        <v>45301</v>
      </c>
    </row>
    <row r="167" spans="1:2" x14ac:dyDescent="0.25">
      <c r="A167">
        <v>40</v>
      </c>
      <c r="B167" s="6">
        <v>45302</v>
      </c>
    </row>
    <row r="168" spans="1:2" x14ac:dyDescent="0.25">
      <c r="A168">
        <v>40</v>
      </c>
      <c r="B168" s="6">
        <v>45303</v>
      </c>
    </row>
    <row r="169" spans="1:2" x14ac:dyDescent="0.25">
      <c r="A169">
        <v>40</v>
      </c>
      <c r="B169" s="6">
        <v>45304</v>
      </c>
    </row>
    <row r="170" spans="1:2" x14ac:dyDescent="0.25">
      <c r="A170">
        <v>40</v>
      </c>
      <c r="B170" s="6">
        <v>45305</v>
      </c>
    </row>
    <row r="171" spans="1:2" x14ac:dyDescent="0.25">
      <c r="A171">
        <v>40</v>
      </c>
      <c r="B171" s="6">
        <v>45306</v>
      </c>
    </row>
    <row r="172" spans="1:2" x14ac:dyDescent="0.25">
      <c r="A172">
        <v>40</v>
      </c>
      <c r="B172" s="6">
        <v>45307</v>
      </c>
    </row>
    <row r="173" spans="1:2" x14ac:dyDescent="0.25">
      <c r="A173">
        <v>40</v>
      </c>
      <c r="B173" s="6">
        <v>45310</v>
      </c>
    </row>
    <row r="174" spans="1:2" x14ac:dyDescent="0.25">
      <c r="A174">
        <v>40</v>
      </c>
      <c r="B174" s="6">
        <v>45311</v>
      </c>
    </row>
    <row r="175" spans="1:2" x14ac:dyDescent="0.25">
      <c r="A175">
        <v>40</v>
      </c>
      <c r="B175" s="6">
        <v>45312</v>
      </c>
    </row>
    <row r="176" spans="1:2" x14ac:dyDescent="0.25">
      <c r="A176">
        <v>40</v>
      </c>
      <c r="B176" s="6">
        <v>45313</v>
      </c>
    </row>
    <row r="177" spans="1:2" x14ac:dyDescent="0.25">
      <c r="A177">
        <v>40</v>
      </c>
      <c r="B177" s="6">
        <v>45314</v>
      </c>
    </row>
    <row r="178" spans="1:2" x14ac:dyDescent="0.25">
      <c r="A178">
        <v>40</v>
      </c>
      <c r="B178" s="6">
        <v>45317</v>
      </c>
    </row>
    <row r="179" spans="1:2" x14ac:dyDescent="0.25">
      <c r="A179">
        <v>40</v>
      </c>
      <c r="B179" s="6">
        <v>45318</v>
      </c>
    </row>
    <row r="180" spans="1:2" x14ac:dyDescent="0.25">
      <c r="A180">
        <v>40</v>
      </c>
      <c r="B180" s="6">
        <v>45319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38"/>
  <sheetViews>
    <sheetView showGridLines="0" workbookViewId="0">
      <selection activeCell="E6" sqref="E6"/>
    </sheetView>
  </sheetViews>
  <sheetFormatPr defaultRowHeight="15" x14ac:dyDescent="0.25"/>
  <cols>
    <col min="3" max="3" width="14.85546875" customWidth="1"/>
    <col min="4" max="4" width="11.42578125" bestFit="1" customWidth="1"/>
  </cols>
  <sheetData>
    <row r="1" spans="1:4" x14ac:dyDescent="0.25">
      <c r="A1" t="s">
        <v>50</v>
      </c>
      <c r="B1" t="s">
        <v>47</v>
      </c>
      <c r="C1" s="4" t="s">
        <v>49</v>
      </c>
      <c r="D1" s="5" t="s">
        <v>48</v>
      </c>
    </row>
    <row r="2" spans="1:4" x14ac:dyDescent="0.25">
      <c r="A2" s="7" t="str">
        <f>Table1[[#This Row],[No.]]&amp;Table1[[#This Row],[Date]]</f>
        <v>145294</v>
      </c>
      <c r="B2" s="28">
        <v>1</v>
      </c>
      <c r="C2" s="6">
        <v>45294</v>
      </c>
      <c r="D2" s="26">
        <v>0.68913194444444448</v>
      </c>
    </row>
    <row r="3" spans="1:4" x14ac:dyDescent="0.25">
      <c r="A3" s="7" t="str">
        <f>Table1[[#This Row],[No.]]&amp;Table1[[#This Row],[Date]]</f>
        <v>145299</v>
      </c>
      <c r="B3" s="28">
        <v>1</v>
      </c>
      <c r="C3" s="6">
        <v>45299</v>
      </c>
      <c r="D3" s="26">
        <v>0.64392361111111118</v>
      </c>
    </row>
    <row r="4" spans="1:4" x14ac:dyDescent="0.25">
      <c r="A4" s="7" t="str">
        <f>Table1[[#This Row],[No.]]&amp;Table1[[#This Row],[Date]]</f>
        <v>145302</v>
      </c>
      <c r="B4" s="28">
        <v>1</v>
      </c>
      <c r="C4" s="6">
        <v>45302</v>
      </c>
      <c r="D4" s="26">
        <v>0.59408564814814813</v>
      </c>
    </row>
    <row r="5" spans="1:4" x14ac:dyDescent="0.25">
      <c r="A5" s="7" t="str">
        <f>Table1[[#This Row],[No.]]&amp;Table1[[#This Row],[Date]]</f>
        <v>145305</v>
      </c>
      <c r="B5" s="28">
        <v>1</v>
      </c>
      <c r="C5" s="6">
        <v>45305</v>
      </c>
      <c r="D5" s="26">
        <v>0.53817129629629623</v>
      </c>
    </row>
    <row r="6" spans="1:4" x14ac:dyDescent="0.25">
      <c r="A6" s="7" t="str">
        <f>Table1[[#This Row],[No.]]&amp;Table1[[#This Row],[Date]]</f>
        <v>145307</v>
      </c>
      <c r="B6" s="28">
        <v>1</v>
      </c>
      <c r="C6" s="6">
        <v>45307</v>
      </c>
      <c r="D6" s="26">
        <v>0.76864583333333336</v>
      </c>
    </row>
    <row r="7" spans="1:4" x14ac:dyDescent="0.25">
      <c r="A7" s="7" t="str">
        <f>Table1[[#This Row],[No.]]&amp;Table1[[#This Row],[Date]]</f>
        <v>145310</v>
      </c>
      <c r="B7" s="28">
        <v>1</v>
      </c>
      <c r="C7" s="6">
        <v>45310</v>
      </c>
      <c r="D7" s="26">
        <v>0.81464120370370363</v>
      </c>
    </row>
    <row r="8" spans="1:4" x14ac:dyDescent="0.25">
      <c r="A8" s="7" t="str">
        <f>Table1[[#This Row],[No.]]&amp;Table1[[#This Row],[Date]]</f>
        <v>145311</v>
      </c>
      <c r="B8" s="28">
        <v>1</v>
      </c>
      <c r="C8" s="6">
        <v>45311</v>
      </c>
      <c r="D8" s="26">
        <v>0.75473379629629633</v>
      </c>
    </row>
    <row r="9" spans="1:4" x14ac:dyDescent="0.25">
      <c r="A9" s="7" t="str">
        <f>Table1[[#This Row],[No.]]&amp;Table1[[#This Row],[Date]]</f>
        <v>145311</v>
      </c>
      <c r="B9" s="28">
        <v>1</v>
      </c>
      <c r="C9" s="6">
        <v>45311</v>
      </c>
      <c r="D9" s="26">
        <v>0.76800925925925922</v>
      </c>
    </row>
    <row r="10" spans="1:4" x14ac:dyDescent="0.25">
      <c r="A10" s="7" t="str">
        <f>Table1[[#This Row],[No.]]&amp;Table1[[#This Row],[Date]]</f>
        <v>145313</v>
      </c>
      <c r="B10" s="28">
        <v>1</v>
      </c>
      <c r="C10" s="6">
        <v>45313</v>
      </c>
      <c r="D10" s="26">
        <v>0.6517708333333333</v>
      </c>
    </row>
    <row r="11" spans="1:4" x14ac:dyDescent="0.25">
      <c r="A11" s="7" t="str">
        <f>Table1[[#This Row],[No.]]&amp;Table1[[#This Row],[Date]]</f>
        <v>145314</v>
      </c>
      <c r="B11" s="28">
        <v>1</v>
      </c>
      <c r="C11" s="6">
        <v>45314</v>
      </c>
      <c r="D11" s="26">
        <v>0.83761574074074074</v>
      </c>
    </row>
    <row r="12" spans="1:4" x14ac:dyDescent="0.25">
      <c r="A12" s="7" t="str">
        <f>Table1[[#This Row],[No.]]&amp;Table1[[#This Row],[Date]]</f>
        <v>145315</v>
      </c>
      <c r="B12" s="28">
        <v>1</v>
      </c>
      <c r="C12" s="6">
        <v>45315</v>
      </c>
      <c r="D12" s="26">
        <v>0.57123842592592589</v>
      </c>
    </row>
    <row r="13" spans="1:4" x14ac:dyDescent="0.25">
      <c r="A13" s="7" t="str">
        <f>Table1[[#This Row],[No.]]&amp;Table1[[#This Row],[Date]]</f>
        <v>145315</v>
      </c>
      <c r="B13" s="28">
        <v>1</v>
      </c>
      <c r="C13" s="6">
        <v>45315</v>
      </c>
      <c r="D13" s="26">
        <v>0.57126157407407407</v>
      </c>
    </row>
    <row r="14" spans="1:4" x14ac:dyDescent="0.25">
      <c r="A14" s="7" t="str">
        <f>Table1[[#This Row],[No.]]&amp;Table1[[#This Row],[Date]]</f>
        <v>345292</v>
      </c>
      <c r="B14">
        <v>3</v>
      </c>
      <c r="C14" s="6">
        <v>45292</v>
      </c>
      <c r="D14" s="26">
        <v>0.63520833333333326</v>
      </c>
    </row>
    <row r="15" spans="1:4" x14ac:dyDescent="0.25">
      <c r="A15" s="7" t="str">
        <f>Table1[[#This Row],[No.]]&amp;Table1[[#This Row],[Date]]</f>
        <v>345292</v>
      </c>
      <c r="B15">
        <v>3</v>
      </c>
      <c r="C15" s="6">
        <v>45292</v>
      </c>
      <c r="D15" s="26">
        <v>0.93753472222222223</v>
      </c>
    </row>
    <row r="16" spans="1:4" x14ac:dyDescent="0.25">
      <c r="A16" s="7" t="str">
        <f>Table1[[#This Row],[No.]]&amp;Table1[[#This Row],[Date]]</f>
        <v>345293</v>
      </c>
      <c r="B16">
        <v>3</v>
      </c>
      <c r="C16" s="6">
        <v>45293</v>
      </c>
      <c r="D16" s="26">
        <v>0.66554398148148153</v>
      </c>
    </row>
    <row r="17" spans="1:4" x14ac:dyDescent="0.25">
      <c r="A17" s="7" t="str">
        <f>Table1[[#This Row],[No.]]&amp;Table1[[#This Row],[Date]]</f>
        <v>345293</v>
      </c>
      <c r="B17">
        <v>3</v>
      </c>
      <c r="C17" s="6">
        <v>45293</v>
      </c>
      <c r="D17" s="26">
        <v>0.91710648148148144</v>
      </c>
    </row>
    <row r="18" spans="1:4" x14ac:dyDescent="0.25">
      <c r="A18" s="7" t="str">
        <f>Table1[[#This Row],[No.]]&amp;Table1[[#This Row],[Date]]</f>
        <v>345294</v>
      </c>
      <c r="B18">
        <v>3</v>
      </c>
      <c r="C18" s="6">
        <v>45294</v>
      </c>
      <c r="D18" s="26">
        <v>0.61872685185185183</v>
      </c>
    </row>
    <row r="19" spans="1:4" x14ac:dyDescent="0.25">
      <c r="A19" s="7" t="str">
        <f>Table1[[#This Row],[No.]]&amp;Table1[[#This Row],[Date]]</f>
        <v>345294</v>
      </c>
      <c r="B19">
        <v>3</v>
      </c>
      <c r="C19" s="6">
        <v>45294</v>
      </c>
      <c r="D19" s="26">
        <v>0.90446759259259257</v>
      </c>
    </row>
    <row r="20" spans="1:4" x14ac:dyDescent="0.25">
      <c r="A20" s="7" t="str">
        <f>Table1[[#This Row],[No.]]&amp;Table1[[#This Row],[Date]]</f>
        <v>345295</v>
      </c>
      <c r="B20">
        <v>3</v>
      </c>
      <c r="C20" s="6">
        <v>45295</v>
      </c>
      <c r="D20" s="26">
        <v>0.66002314814814811</v>
      </c>
    </row>
    <row r="21" spans="1:4" x14ac:dyDescent="0.25">
      <c r="A21" s="7" t="str">
        <f>Table1[[#This Row],[No.]]&amp;Table1[[#This Row],[Date]]</f>
        <v>345295</v>
      </c>
      <c r="B21">
        <v>3</v>
      </c>
      <c r="C21" s="6">
        <v>45295</v>
      </c>
      <c r="D21" s="26">
        <v>0.91371527777777783</v>
      </c>
    </row>
    <row r="22" spans="1:4" x14ac:dyDescent="0.25">
      <c r="A22" s="7" t="str">
        <f>Table1[[#This Row],[No.]]&amp;Table1[[#This Row],[Date]]</f>
        <v>345298</v>
      </c>
      <c r="B22">
        <v>3</v>
      </c>
      <c r="C22" s="6">
        <v>45298</v>
      </c>
      <c r="D22" s="26">
        <v>0.6386574074074074</v>
      </c>
    </row>
    <row r="23" spans="1:4" x14ac:dyDescent="0.25">
      <c r="A23" s="7" t="str">
        <f>Table1[[#This Row],[No.]]&amp;Table1[[#This Row],[Date]]</f>
        <v>345298</v>
      </c>
      <c r="B23">
        <v>3</v>
      </c>
      <c r="C23" s="6">
        <v>45298</v>
      </c>
      <c r="D23" s="26">
        <v>0.98048611111111106</v>
      </c>
    </row>
    <row r="24" spans="1:4" x14ac:dyDescent="0.25">
      <c r="A24" s="7" t="str">
        <f>Table1[[#This Row],[No.]]&amp;Table1[[#This Row],[Date]]</f>
        <v>345298</v>
      </c>
      <c r="B24">
        <v>3</v>
      </c>
      <c r="C24" s="6">
        <v>45298</v>
      </c>
      <c r="D24" s="26">
        <v>0.98061342592592593</v>
      </c>
    </row>
    <row r="25" spans="1:4" x14ac:dyDescent="0.25">
      <c r="A25" s="7" t="str">
        <f>Table1[[#This Row],[No.]]&amp;Table1[[#This Row],[Date]]</f>
        <v>345299</v>
      </c>
      <c r="B25">
        <v>3</v>
      </c>
      <c r="C25" s="6">
        <v>45299</v>
      </c>
      <c r="D25" s="26">
        <v>0.62994212962962959</v>
      </c>
    </row>
    <row r="26" spans="1:4" x14ac:dyDescent="0.25">
      <c r="A26" s="7" t="str">
        <f>Table1[[#This Row],[No.]]&amp;Table1[[#This Row],[Date]]</f>
        <v>345299</v>
      </c>
      <c r="B26">
        <v>3</v>
      </c>
      <c r="C26" s="6">
        <v>45299</v>
      </c>
      <c r="D26" s="26">
        <v>0.94452546296296302</v>
      </c>
    </row>
    <row r="27" spans="1:4" x14ac:dyDescent="0.25">
      <c r="A27" s="7" t="str">
        <f>Table1[[#This Row],[No.]]&amp;Table1[[#This Row],[Date]]</f>
        <v>345301</v>
      </c>
      <c r="B27">
        <v>3</v>
      </c>
      <c r="C27" s="6">
        <v>45301</v>
      </c>
      <c r="D27" s="26">
        <v>0.61783564814814818</v>
      </c>
    </row>
    <row r="28" spans="1:4" x14ac:dyDescent="0.25">
      <c r="A28" s="7" t="str">
        <f>Table1[[#This Row],[No.]]&amp;Table1[[#This Row],[Date]]</f>
        <v>345301</v>
      </c>
      <c r="B28">
        <v>3</v>
      </c>
      <c r="C28" s="6">
        <v>45301</v>
      </c>
      <c r="D28" s="26">
        <v>0.92721064814814813</v>
      </c>
    </row>
    <row r="29" spans="1:4" x14ac:dyDescent="0.25">
      <c r="A29" s="7" t="str">
        <f>Table1[[#This Row],[No.]]&amp;Table1[[#This Row],[Date]]</f>
        <v>345305</v>
      </c>
      <c r="B29">
        <v>3</v>
      </c>
      <c r="C29" s="6">
        <v>45305</v>
      </c>
      <c r="D29" s="26">
        <v>0.92271990740740739</v>
      </c>
    </row>
    <row r="30" spans="1:4" x14ac:dyDescent="0.25">
      <c r="A30" s="7" t="str">
        <f>Table1[[#This Row],[No.]]&amp;Table1[[#This Row],[Date]]</f>
        <v>345305</v>
      </c>
      <c r="B30">
        <v>3</v>
      </c>
      <c r="C30" s="6">
        <v>45305</v>
      </c>
      <c r="D30" s="26">
        <v>0.67711805555555549</v>
      </c>
    </row>
    <row r="31" spans="1:4" x14ac:dyDescent="0.25">
      <c r="A31" s="7" t="str">
        <f>Table1[[#This Row],[No.]]&amp;Table1[[#This Row],[Date]]</f>
        <v>345306</v>
      </c>
      <c r="B31">
        <v>3</v>
      </c>
      <c r="C31" s="6">
        <v>45306</v>
      </c>
      <c r="D31" s="26">
        <v>0.63980324074074069</v>
      </c>
    </row>
    <row r="32" spans="1:4" x14ac:dyDescent="0.25">
      <c r="A32" s="7" t="str">
        <f>Table1[[#This Row],[No.]]&amp;Table1[[#This Row],[Date]]</f>
        <v>345306</v>
      </c>
      <c r="B32">
        <v>3</v>
      </c>
      <c r="C32" s="6">
        <v>45306</v>
      </c>
      <c r="D32" s="26">
        <v>0.93686342592592586</v>
      </c>
    </row>
    <row r="33" spans="1:4" x14ac:dyDescent="0.25">
      <c r="A33" s="7" t="str">
        <f>Table1[[#This Row],[No.]]&amp;Table1[[#This Row],[Date]]</f>
        <v>345307</v>
      </c>
      <c r="B33">
        <v>3</v>
      </c>
      <c r="C33" s="6">
        <v>45307</v>
      </c>
      <c r="D33" s="26">
        <v>0.63717592592592587</v>
      </c>
    </row>
    <row r="34" spans="1:4" x14ac:dyDescent="0.25">
      <c r="A34" s="7" t="str">
        <f>Table1[[#This Row],[No.]]&amp;Table1[[#This Row],[Date]]</f>
        <v>345307</v>
      </c>
      <c r="B34">
        <v>3</v>
      </c>
      <c r="C34" s="6">
        <v>45307</v>
      </c>
      <c r="D34" s="26">
        <v>0.95569444444444451</v>
      </c>
    </row>
    <row r="35" spans="1:4" x14ac:dyDescent="0.25">
      <c r="A35" s="7" t="str">
        <f>Table1[[#This Row],[No.]]&amp;Table1[[#This Row],[Date]]</f>
        <v>345308</v>
      </c>
      <c r="B35">
        <v>3</v>
      </c>
      <c r="C35" s="6">
        <v>45308</v>
      </c>
      <c r="D35" s="26">
        <v>0.66144675925925933</v>
      </c>
    </row>
    <row r="36" spans="1:4" x14ac:dyDescent="0.25">
      <c r="A36" s="7" t="str">
        <f>Table1[[#This Row],[No.]]&amp;Table1[[#This Row],[Date]]</f>
        <v>345308</v>
      </c>
      <c r="B36">
        <v>3</v>
      </c>
      <c r="C36" s="6">
        <v>45308</v>
      </c>
      <c r="D36" s="26">
        <v>0.94017361111111108</v>
      </c>
    </row>
    <row r="37" spans="1:4" x14ac:dyDescent="0.25">
      <c r="A37" s="7" t="str">
        <f>Table1[[#This Row],[No.]]&amp;Table1[[#This Row],[Date]]</f>
        <v>345309</v>
      </c>
      <c r="B37">
        <v>3</v>
      </c>
      <c r="C37" s="6">
        <v>45309</v>
      </c>
      <c r="D37" s="26">
        <v>0.66671296296296301</v>
      </c>
    </row>
    <row r="38" spans="1:4" x14ac:dyDescent="0.25">
      <c r="A38" s="7" t="str">
        <f>Table1[[#This Row],[No.]]&amp;Table1[[#This Row],[Date]]</f>
        <v>345309</v>
      </c>
      <c r="B38">
        <v>3</v>
      </c>
      <c r="C38" s="6">
        <v>45309</v>
      </c>
      <c r="D38" s="26">
        <v>0.91008101851851853</v>
      </c>
    </row>
    <row r="39" spans="1:4" x14ac:dyDescent="0.25">
      <c r="A39" s="7" t="str">
        <f>Table1[[#This Row],[No.]]&amp;Table1[[#This Row],[Date]]</f>
        <v>345313</v>
      </c>
      <c r="B39">
        <v>3</v>
      </c>
      <c r="C39" s="6">
        <v>45313</v>
      </c>
      <c r="D39" s="26">
        <v>0.62905092592592593</v>
      </c>
    </row>
    <row r="40" spans="1:4" x14ac:dyDescent="0.25">
      <c r="A40" s="7" t="str">
        <f>Table1[[#This Row],[No.]]&amp;Table1[[#This Row],[Date]]</f>
        <v>345313</v>
      </c>
      <c r="B40">
        <v>3</v>
      </c>
      <c r="C40" s="6">
        <v>45313</v>
      </c>
      <c r="D40" s="26">
        <v>0.8982175925925926</v>
      </c>
    </row>
    <row r="41" spans="1:4" x14ac:dyDescent="0.25">
      <c r="A41" s="7" t="str">
        <f>Table1[[#This Row],[No.]]&amp;Table1[[#This Row],[Date]]</f>
        <v>345314</v>
      </c>
      <c r="B41">
        <v>3</v>
      </c>
      <c r="C41" s="6">
        <v>45314</v>
      </c>
      <c r="D41" s="26">
        <v>0.64325231481481482</v>
      </c>
    </row>
    <row r="42" spans="1:4" x14ac:dyDescent="0.25">
      <c r="A42" s="7" t="str">
        <f>Table1[[#This Row],[No.]]&amp;Table1[[#This Row],[Date]]</f>
        <v>345314</v>
      </c>
      <c r="B42">
        <v>3</v>
      </c>
      <c r="C42" s="6">
        <v>45314</v>
      </c>
      <c r="D42" s="26">
        <v>0.89922453703703698</v>
      </c>
    </row>
    <row r="43" spans="1:4" x14ac:dyDescent="0.25">
      <c r="A43" s="7" t="str">
        <f>Table1[[#This Row],[No.]]&amp;Table1[[#This Row],[Date]]</f>
        <v>345319</v>
      </c>
      <c r="B43">
        <v>3</v>
      </c>
      <c r="C43" s="6">
        <v>45319</v>
      </c>
      <c r="D43" s="26">
        <v>0.61924768518518525</v>
      </c>
    </row>
    <row r="44" spans="1:4" x14ac:dyDescent="0.25">
      <c r="A44" s="7" t="str">
        <f>Table1[[#This Row],[No.]]&amp;Table1[[#This Row],[Date]]</f>
        <v>645292</v>
      </c>
      <c r="B44">
        <v>6</v>
      </c>
      <c r="C44" s="6">
        <v>45292</v>
      </c>
      <c r="D44" s="26">
        <v>0.5682638888888889</v>
      </c>
    </row>
    <row r="45" spans="1:4" x14ac:dyDescent="0.25">
      <c r="A45" s="7" t="str">
        <f>Table1[[#This Row],[No.]]&amp;Table1[[#This Row],[Date]]</f>
        <v>645293</v>
      </c>
      <c r="B45">
        <v>6</v>
      </c>
      <c r="C45" s="6">
        <v>45293</v>
      </c>
      <c r="D45" s="26">
        <v>0.98237268518518517</v>
      </c>
    </row>
    <row r="46" spans="1:4" x14ac:dyDescent="0.25">
      <c r="A46" s="7" t="str">
        <f>Table1[[#This Row],[No.]]&amp;Table1[[#This Row],[Date]]</f>
        <v>645294</v>
      </c>
      <c r="B46">
        <v>6</v>
      </c>
      <c r="C46" s="6">
        <v>45294</v>
      </c>
      <c r="D46" s="26">
        <v>0.97773148148148159</v>
      </c>
    </row>
    <row r="47" spans="1:4" x14ac:dyDescent="0.25">
      <c r="A47" s="7" t="str">
        <f>Table1[[#This Row],[No.]]&amp;Table1[[#This Row],[Date]]</f>
        <v>645295</v>
      </c>
      <c r="B47">
        <v>6</v>
      </c>
      <c r="C47" s="6">
        <v>45295</v>
      </c>
      <c r="D47" s="26">
        <v>0.9070717592592592</v>
      </c>
    </row>
    <row r="48" spans="1:4" x14ac:dyDescent="0.25">
      <c r="A48" s="7" t="str">
        <f>Table1[[#This Row],[No.]]&amp;Table1[[#This Row],[Date]]</f>
        <v>645298</v>
      </c>
      <c r="B48">
        <v>6</v>
      </c>
      <c r="C48" s="6">
        <v>45298</v>
      </c>
      <c r="D48" s="26">
        <v>0.57344907407407408</v>
      </c>
    </row>
    <row r="49" spans="1:4" x14ac:dyDescent="0.25">
      <c r="A49" s="7" t="str">
        <f>Table1[[#This Row],[No.]]&amp;Table1[[#This Row],[Date]]</f>
        <v>645299</v>
      </c>
      <c r="B49">
        <v>6</v>
      </c>
      <c r="C49" s="6">
        <v>45299</v>
      </c>
      <c r="D49" s="26">
        <v>0.5115277777777778</v>
      </c>
    </row>
    <row r="50" spans="1:4" x14ac:dyDescent="0.25">
      <c r="A50" s="7" t="str">
        <f>Table1[[#This Row],[No.]]&amp;Table1[[#This Row],[Date]]</f>
        <v>645300</v>
      </c>
      <c r="B50">
        <v>6</v>
      </c>
      <c r="C50" s="6">
        <v>45300</v>
      </c>
      <c r="D50" s="26">
        <v>0.99148148148148152</v>
      </c>
    </row>
    <row r="51" spans="1:4" x14ac:dyDescent="0.25">
      <c r="A51" s="7" t="str">
        <f>Table1[[#This Row],[No.]]&amp;Table1[[#This Row],[Date]]</f>
        <v>645305</v>
      </c>
      <c r="B51">
        <v>6</v>
      </c>
      <c r="C51" s="6">
        <v>45305</v>
      </c>
      <c r="D51" s="26">
        <v>0.9196643518518518</v>
      </c>
    </row>
    <row r="52" spans="1:4" x14ac:dyDescent="0.25">
      <c r="A52" s="7" t="str">
        <f>Table1[[#This Row],[No.]]&amp;Table1[[#This Row],[Date]]</f>
        <v>645306</v>
      </c>
      <c r="B52">
        <v>6</v>
      </c>
      <c r="C52" s="6">
        <v>45306</v>
      </c>
      <c r="D52" s="26">
        <v>0.50730324074074074</v>
      </c>
    </row>
    <row r="53" spans="1:4" x14ac:dyDescent="0.25">
      <c r="A53" s="7" t="str">
        <f>Table1[[#This Row],[No.]]&amp;Table1[[#This Row],[Date]]</f>
        <v>645308</v>
      </c>
      <c r="B53">
        <v>6</v>
      </c>
      <c r="C53" s="6">
        <v>45308</v>
      </c>
      <c r="D53" s="26">
        <v>0.54392361111111109</v>
      </c>
    </row>
    <row r="54" spans="1:4" x14ac:dyDescent="0.25">
      <c r="A54" s="7" t="str">
        <f>Table1[[#This Row],[No.]]&amp;Table1[[#This Row],[Date]]</f>
        <v>645309</v>
      </c>
      <c r="B54">
        <v>6</v>
      </c>
      <c r="C54" s="6">
        <v>45309</v>
      </c>
      <c r="D54" s="26">
        <v>0.98928240740740747</v>
      </c>
    </row>
    <row r="55" spans="1:4" x14ac:dyDescent="0.25">
      <c r="A55" s="7" t="str">
        <f>Table1[[#This Row],[No.]]&amp;Table1[[#This Row],[Date]]</f>
        <v>645313</v>
      </c>
      <c r="B55">
        <v>6</v>
      </c>
      <c r="C55" s="6">
        <v>45313</v>
      </c>
      <c r="D55" s="26">
        <v>0.98773148148148149</v>
      </c>
    </row>
    <row r="56" spans="1:4" x14ac:dyDescent="0.25">
      <c r="A56" s="7" t="str">
        <f>Table1[[#This Row],[No.]]&amp;Table1[[#This Row],[Date]]</f>
        <v>645314</v>
      </c>
      <c r="B56">
        <v>6</v>
      </c>
      <c r="C56" s="6">
        <v>45314</v>
      </c>
      <c r="D56" s="26">
        <v>0.54300925925925925</v>
      </c>
    </row>
    <row r="57" spans="1:4" x14ac:dyDescent="0.25">
      <c r="A57" s="7" t="str">
        <f>Table1[[#This Row],[No.]]&amp;Table1[[#This Row],[Date]]</f>
        <v>645315</v>
      </c>
      <c r="B57">
        <v>6</v>
      </c>
      <c r="C57" s="6">
        <v>45315</v>
      </c>
      <c r="D57" s="26">
        <v>0.50368055555555558</v>
      </c>
    </row>
    <row r="58" spans="1:4" x14ac:dyDescent="0.25">
      <c r="A58" s="7" t="str">
        <f>Table1[[#This Row],[No.]]&amp;Table1[[#This Row],[Date]]</f>
        <v>645319</v>
      </c>
      <c r="B58">
        <v>6</v>
      </c>
      <c r="C58" s="6">
        <v>45319</v>
      </c>
      <c r="D58" s="26">
        <v>0.96467592592592588</v>
      </c>
    </row>
    <row r="59" spans="1:4" x14ac:dyDescent="0.25">
      <c r="A59" s="7" t="str">
        <f>Table1[[#This Row],[No.]]&amp;Table1[[#This Row],[Date]]</f>
        <v>745307</v>
      </c>
      <c r="B59">
        <v>7</v>
      </c>
      <c r="C59" s="6">
        <v>45307</v>
      </c>
      <c r="D59" s="26">
        <v>0.93966435185185182</v>
      </c>
    </row>
    <row r="60" spans="1:4" x14ac:dyDescent="0.25">
      <c r="A60" s="7" t="str">
        <f>Table1[[#This Row],[No.]]&amp;Table1[[#This Row],[Date]]</f>
        <v>745307</v>
      </c>
      <c r="B60">
        <v>7</v>
      </c>
      <c r="C60" s="6">
        <v>45307</v>
      </c>
      <c r="D60" s="26">
        <v>0.93974537037037031</v>
      </c>
    </row>
    <row r="61" spans="1:4" x14ac:dyDescent="0.25">
      <c r="A61" s="7" t="str">
        <f>Table1[[#This Row],[No.]]&amp;Table1[[#This Row],[Date]]</f>
        <v>1345294</v>
      </c>
      <c r="B61">
        <v>13</v>
      </c>
      <c r="C61" s="6">
        <v>45294</v>
      </c>
      <c r="D61" s="26">
        <v>0.55054398148148154</v>
      </c>
    </row>
    <row r="62" spans="1:4" x14ac:dyDescent="0.25">
      <c r="A62" s="7" t="str">
        <f>Table1[[#This Row],[No.]]&amp;Table1[[#This Row],[Date]]</f>
        <v>1345294</v>
      </c>
      <c r="B62">
        <v>13</v>
      </c>
      <c r="C62" s="6">
        <v>45294</v>
      </c>
      <c r="D62" s="26">
        <v>0.90467592592592594</v>
      </c>
    </row>
    <row r="63" spans="1:4" x14ac:dyDescent="0.25">
      <c r="A63" s="7" t="str">
        <f>Table1[[#This Row],[No.]]&amp;Table1[[#This Row],[Date]]</f>
        <v>1345295</v>
      </c>
      <c r="B63">
        <v>13</v>
      </c>
      <c r="C63" s="6">
        <v>45295</v>
      </c>
      <c r="D63" s="26">
        <v>0.54020833333333329</v>
      </c>
    </row>
    <row r="64" spans="1:4" x14ac:dyDescent="0.25">
      <c r="A64" s="7" t="str">
        <f>Table1[[#This Row],[No.]]&amp;Table1[[#This Row],[Date]]</f>
        <v>1345295</v>
      </c>
      <c r="B64">
        <v>13</v>
      </c>
      <c r="C64" s="6">
        <v>45295</v>
      </c>
      <c r="D64" s="26">
        <v>0.91304398148148147</v>
      </c>
    </row>
    <row r="65" spans="1:4" x14ac:dyDescent="0.25">
      <c r="A65" s="7" t="str">
        <f>Table1[[#This Row],[No.]]&amp;Table1[[#This Row],[Date]]</f>
        <v>1345297</v>
      </c>
      <c r="B65">
        <v>13</v>
      </c>
      <c r="C65" s="6">
        <v>45297</v>
      </c>
      <c r="D65" s="26">
        <v>0.54298611111111106</v>
      </c>
    </row>
    <row r="66" spans="1:4" x14ac:dyDescent="0.25">
      <c r="A66" s="7" t="str">
        <f>Table1[[#This Row],[No.]]&amp;Table1[[#This Row],[Date]]</f>
        <v>1345297</v>
      </c>
      <c r="B66">
        <v>13</v>
      </c>
      <c r="C66" s="6">
        <v>45297</v>
      </c>
      <c r="D66" s="26">
        <v>0.92703703703703699</v>
      </c>
    </row>
    <row r="67" spans="1:4" x14ac:dyDescent="0.25">
      <c r="A67" s="7" t="str">
        <f>Table1[[#This Row],[No.]]&amp;Table1[[#This Row],[Date]]</f>
        <v>1345298</v>
      </c>
      <c r="B67">
        <v>13</v>
      </c>
      <c r="C67" s="6">
        <v>45298</v>
      </c>
      <c r="D67" s="26">
        <v>0.54379629629629633</v>
      </c>
    </row>
    <row r="68" spans="1:4" x14ac:dyDescent="0.25">
      <c r="A68" s="7" t="str">
        <f>Table1[[#This Row],[No.]]&amp;Table1[[#This Row],[Date]]</f>
        <v>1345298</v>
      </c>
      <c r="B68">
        <v>13</v>
      </c>
      <c r="C68" s="6">
        <v>45298</v>
      </c>
      <c r="D68" s="26">
        <v>0.98041666666666671</v>
      </c>
    </row>
    <row r="69" spans="1:4" x14ac:dyDescent="0.25">
      <c r="A69" s="7" t="str">
        <f>Table1[[#This Row],[No.]]&amp;Table1[[#This Row],[Date]]</f>
        <v>1345300</v>
      </c>
      <c r="B69">
        <v>13</v>
      </c>
      <c r="C69" s="6">
        <v>45300</v>
      </c>
      <c r="D69" s="26">
        <v>0.56537037037037041</v>
      </c>
    </row>
    <row r="70" spans="1:4" x14ac:dyDescent="0.25">
      <c r="A70" s="7" t="str">
        <f>Table1[[#This Row],[No.]]&amp;Table1[[#This Row],[Date]]</f>
        <v>1345300</v>
      </c>
      <c r="B70">
        <v>13</v>
      </c>
      <c r="C70" s="6">
        <v>45300</v>
      </c>
      <c r="D70" s="26">
        <v>0.90715277777777781</v>
      </c>
    </row>
    <row r="71" spans="1:4" x14ac:dyDescent="0.25">
      <c r="A71" s="7" t="str">
        <f>Table1[[#This Row],[No.]]&amp;Table1[[#This Row],[Date]]</f>
        <v>1345302</v>
      </c>
      <c r="B71">
        <v>13</v>
      </c>
      <c r="C71" s="6">
        <v>45302</v>
      </c>
      <c r="D71" s="26">
        <v>0.55299768518518522</v>
      </c>
    </row>
    <row r="72" spans="1:4" x14ac:dyDescent="0.25">
      <c r="A72" s="7" t="str">
        <f>Table1[[#This Row],[No.]]&amp;Table1[[#This Row],[Date]]</f>
        <v>1345302</v>
      </c>
      <c r="B72">
        <v>13</v>
      </c>
      <c r="C72" s="6">
        <v>45302</v>
      </c>
      <c r="D72" s="26">
        <v>0.93278935185185186</v>
      </c>
    </row>
    <row r="73" spans="1:4" x14ac:dyDescent="0.25">
      <c r="A73" s="7" t="str">
        <f>Table1[[#This Row],[No.]]&amp;Table1[[#This Row],[Date]]</f>
        <v>1345302</v>
      </c>
      <c r="B73">
        <v>13</v>
      </c>
      <c r="C73" s="6">
        <v>45302</v>
      </c>
      <c r="D73" s="26">
        <v>0.93281249999999993</v>
      </c>
    </row>
    <row r="74" spans="1:4" x14ac:dyDescent="0.25">
      <c r="A74" s="7" t="str">
        <f>Table1[[#This Row],[No.]]&amp;Table1[[#This Row],[Date]]</f>
        <v>1345304</v>
      </c>
      <c r="B74">
        <v>13</v>
      </c>
      <c r="C74" s="6">
        <v>45304</v>
      </c>
      <c r="D74" s="26">
        <v>0.53369212962962964</v>
      </c>
    </row>
    <row r="75" spans="1:4" x14ac:dyDescent="0.25">
      <c r="A75" s="7" t="str">
        <f>Table1[[#This Row],[No.]]&amp;Table1[[#This Row],[Date]]</f>
        <v>1345305</v>
      </c>
      <c r="B75">
        <v>13</v>
      </c>
      <c r="C75" s="6">
        <v>45305</v>
      </c>
      <c r="D75" s="26">
        <v>0.52277777777777779</v>
      </c>
    </row>
    <row r="76" spans="1:4" x14ac:dyDescent="0.25">
      <c r="A76" s="7" t="str">
        <f>Table1[[#This Row],[No.]]&amp;Table1[[#This Row],[Date]]</f>
        <v>1345305</v>
      </c>
      <c r="B76">
        <v>13</v>
      </c>
      <c r="C76" s="6">
        <v>45305</v>
      </c>
      <c r="D76" s="26">
        <v>0.52309027777777783</v>
      </c>
    </row>
    <row r="77" spans="1:4" x14ac:dyDescent="0.25">
      <c r="A77" s="7" t="str">
        <f>Table1[[#This Row],[No.]]&amp;Table1[[#This Row],[Date]]</f>
        <v>1345305</v>
      </c>
      <c r="B77">
        <v>13</v>
      </c>
      <c r="C77" s="6">
        <v>45305</v>
      </c>
      <c r="D77" s="26">
        <v>0.54394675925925928</v>
      </c>
    </row>
    <row r="78" spans="1:4" x14ac:dyDescent="0.25">
      <c r="A78" s="7" t="str">
        <f>Table1[[#This Row],[No.]]&amp;Table1[[#This Row],[Date]]</f>
        <v>1345305</v>
      </c>
      <c r="B78">
        <v>13</v>
      </c>
      <c r="C78" s="6">
        <v>45305</v>
      </c>
      <c r="D78" s="26">
        <v>0.95060185185185186</v>
      </c>
    </row>
    <row r="79" spans="1:4" x14ac:dyDescent="0.25">
      <c r="A79" s="7" t="str">
        <f>Table1[[#This Row],[No.]]&amp;Table1[[#This Row],[Date]]</f>
        <v>1345306</v>
      </c>
      <c r="B79">
        <v>13</v>
      </c>
      <c r="C79" s="6">
        <v>45306</v>
      </c>
      <c r="D79" s="26">
        <v>0.56521990740740746</v>
      </c>
    </row>
    <row r="80" spans="1:4" x14ac:dyDescent="0.25">
      <c r="A80" s="7" t="str">
        <f>Table1[[#This Row],[No.]]&amp;Table1[[#This Row],[Date]]</f>
        <v>1345306</v>
      </c>
      <c r="B80">
        <v>13</v>
      </c>
      <c r="C80" s="6">
        <v>45306</v>
      </c>
      <c r="D80" s="26">
        <v>0.93677083333333344</v>
      </c>
    </row>
    <row r="81" spans="1:4" x14ac:dyDescent="0.25">
      <c r="A81" s="7" t="str">
        <f>Table1[[#This Row],[No.]]&amp;Table1[[#This Row],[Date]]</f>
        <v>1345308</v>
      </c>
      <c r="B81">
        <v>13</v>
      </c>
      <c r="C81" s="6">
        <v>45308</v>
      </c>
      <c r="D81" s="26">
        <v>0.53597222222222218</v>
      </c>
    </row>
    <row r="82" spans="1:4" x14ac:dyDescent="0.25">
      <c r="A82" s="7" t="str">
        <f>Table1[[#This Row],[No.]]&amp;Table1[[#This Row],[Date]]</f>
        <v>1345308</v>
      </c>
      <c r="B82">
        <v>13</v>
      </c>
      <c r="C82" s="6">
        <v>45308</v>
      </c>
      <c r="D82" s="26">
        <v>0.91494212962962962</v>
      </c>
    </row>
    <row r="83" spans="1:4" x14ac:dyDescent="0.25">
      <c r="A83" s="7" t="str">
        <f>Table1[[#This Row],[No.]]&amp;Table1[[#This Row],[Date]]</f>
        <v>1345312</v>
      </c>
      <c r="B83">
        <v>13</v>
      </c>
      <c r="C83" s="6">
        <v>45312</v>
      </c>
      <c r="D83" s="26">
        <v>0.53503472222222226</v>
      </c>
    </row>
    <row r="84" spans="1:4" x14ac:dyDescent="0.25">
      <c r="A84" s="7" t="str">
        <f>Table1[[#This Row],[No.]]&amp;Table1[[#This Row],[Date]]</f>
        <v>1345314</v>
      </c>
      <c r="B84">
        <v>13</v>
      </c>
      <c r="C84" s="6">
        <v>45314</v>
      </c>
      <c r="D84" s="26">
        <v>0.54393518518518513</v>
      </c>
    </row>
    <row r="85" spans="1:4" x14ac:dyDescent="0.25">
      <c r="A85" s="7" t="str">
        <f>Table1[[#This Row],[No.]]&amp;Table1[[#This Row],[Date]]</f>
        <v>1345314</v>
      </c>
      <c r="B85">
        <v>13</v>
      </c>
      <c r="C85" s="6">
        <v>45314</v>
      </c>
      <c r="D85" s="26">
        <v>0.54394675925925928</v>
      </c>
    </row>
    <row r="86" spans="1:4" x14ac:dyDescent="0.25">
      <c r="A86" s="7" t="str">
        <f>Table1[[#This Row],[No.]]&amp;Table1[[#This Row],[Date]]</f>
        <v>1345314</v>
      </c>
      <c r="B86">
        <v>13</v>
      </c>
      <c r="C86" s="6">
        <v>45314</v>
      </c>
      <c r="D86" s="26">
        <v>0.54396990740740747</v>
      </c>
    </row>
    <row r="87" spans="1:4" x14ac:dyDescent="0.25">
      <c r="A87" s="7" t="str">
        <f>Table1[[#This Row],[No.]]&amp;Table1[[#This Row],[Date]]</f>
        <v>1345314</v>
      </c>
      <c r="B87">
        <v>13</v>
      </c>
      <c r="C87" s="6">
        <v>45314</v>
      </c>
      <c r="D87" s="26">
        <v>0.91236111111111118</v>
      </c>
    </row>
    <row r="88" spans="1:4" x14ac:dyDescent="0.25">
      <c r="A88" s="7" t="str">
        <f>Table1[[#This Row],[No.]]&amp;Table1[[#This Row],[Date]]</f>
        <v>1345315</v>
      </c>
      <c r="B88">
        <v>13</v>
      </c>
      <c r="C88" s="6">
        <v>45315</v>
      </c>
      <c r="D88" s="26">
        <v>0.54841435185185183</v>
      </c>
    </row>
    <row r="89" spans="1:4" x14ac:dyDescent="0.25">
      <c r="A89" s="7" t="str">
        <f>Table1[[#This Row],[No.]]&amp;Table1[[#This Row],[Date]]</f>
        <v>1345315</v>
      </c>
      <c r="B89">
        <v>13</v>
      </c>
      <c r="C89" s="6">
        <v>45315</v>
      </c>
      <c r="D89" s="26">
        <v>0.94758101851851861</v>
      </c>
    </row>
    <row r="90" spans="1:4" x14ac:dyDescent="0.25">
      <c r="A90" s="7" t="str">
        <f>Table1[[#This Row],[No.]]&amp;Table1[[#This Row],[Date]]</f>
        <v>1345316</v>
      </c>
      <c r="B90">
        <v>13</v>
      </c>
      <c r="C90" s="6">
        <v>45316</v>
      </c>
      <c r="D90" s="26">
        <v>0.54592592592592593</v>
      </c>
    </row>
    <row r="91" spans="1:4" x14ac:dyDescent="0.25">
      <c r="A91" s="7" t="str">
        <f>Table1[[#This Row],[No.]]&amp;Table1[[#This Row],[Date]]</f>
        <v>1345316</v>
      </c>
      <c r="B91">
        <v>13</v>
      </c>
      <c r="C91" s="6">
        <v>45316</v>
      </c>
      <c r="D91" s="26">
        <v>0.91528935185185178</v>
      </c>
    </row>
    <row r="92" spans="1:4" x14ac:dyDescent="0.25">
      <c r="A92" s="7" t="str">
        <f>Table1[[#This Row],[No.]]&amp;Table1[[#This Row],[Date]]</f>
        <v>1345318</v>
      </c>
      <c r="B92">
        <v>13</v>
      </c>
      <c r="C92" s="6">
        <v>45318</v>
      </c>
      <c r="D92" s="26">
        <v>0.53914351851851849</v>
      </c>
    </row>
    <row r="93" spans="1:4" x14ac:dyDescent="0.25">
      <c r="A93" s="7" t="str">
        <f>Table1[[#This Row],[No.]]&amp;Table1[[#This Row],[Date]]</f>
        <v>1345319</v>
      </c>
      <c r="B93">
        <v>13</v>
      </c>
      <c r="C93" s="6">
        <v>45319</v>
      </c>
      <c r="D93" s="26">
        <v>0.50449074074074074</v>
      </c>
    </row>
    <row r="94" spans="1:4" x14ac:dyDescent="0.25">
      <c r="A94" s="7" t="str">
        <f>Table1[[#This Row],[No.]]&amp;Table1[[#This Row],[Date]]</f>
        <v>1445292</v>
      </c>
      <c r="B94">
        <v>14</v>
      </c>
      <c r="C94" s="6">
        <v>45292</v>
      </c>
      <c r="D94" s="26">
        <v>0.80868055555555562</v>
      </c>
    </row>
    <row r="95" spans="1:4" x14ac:dyDescent="0.25">
      <c r="A95" s="7" t="str">
        <f>Table1[[#This Row],[No.]]&amp;Table1[[#This Row],[Date]]</f>
        <v>1445293</v>
      </c>
      <c r="B95">
        <v>14</v>
      </c>
      <c r="C95" s="6">
        <v>45293</v>
      </c>
      <c r="D95" s="26">
        <v>0.54609953703703706</v>
      </c>
    </row>
    <row r="96" spans="1:4" x14ac:dyDescent="0.25">
      <c r="A96" s="7" t="str">
        <f>Table1[[#This Row],[No.]]&amp;Table1[[#This Row],[Date]]</f>
        <v>1445293</v>
      </c>
      <c r="B96">
        <v>14</v>
      </c>
      <c r="C96" s="6">
        <v>45293</v>
      </c>
      <c r="D96" s="26">
        <v>0.91089120370370369</v>
      </c>
    </row>
    <row r="97" spans="1:4" x14ac:dyDescent="0.25">
      <c r="A97" s="7" t="str">
        <f>Table1[[#This Row],[No.]]&amp;Table1[[#This Row],[Date]]</f>
        <v>1445294</v>
      </c>
      <c r="B97">
        <v>14</v>
      </c>
      <c r="C97" s="6">
        <v>45294</v>
      </c>
      <c r="D97" s="26">
        <v>0.53561342592592587</v>
      </c>
    </row>
    <row r="98" spans="1:4" x14ac:dyDescent="0.25">
      <c r="A98" s="7" t="str">
        <f>Table1[[#This Row],[No.]]&amp;Table1[[#This Row],[Date]]</f>
        <v>1445294</v>
      </c>
      <c r="B98">
        <v>14</v>
      </c>
      <c r="C98" s="6">
        <v>45294</v>
      </c>
      <c r="D98" s="26">
        <v>0.90410879629629637</v>
      </c>
    </row>
    <row r="99" spans="1:4" x14ac:dyDescent="0.25">
      <c r="A99" s="7" t="str">
        <f>Table1[[#This Row],[No.]]&amp;Table1[[#This Row],[Date]]</f>
        <v>1445298</v>
      </c>
      <c r="B99">
        <v>14</v>
      </c>
      <c r="C99" s="6">
        <v>45298</v>
      </c>
      <c r="D99" s="26">
        <v>0.52778935185185183</v>
      </c>
    </row>
    <row r="100" spans="1:4" x14ac:dyDescent="0.25">
      <c r="A100" s="7" t="str">
        <f>Table1[[#This Row],[No.]]&amp;Table1[[#This Row],[Date]]</f>
        <v>1445298</v>
      </c>
      <c r="B100">
        <v>14</v>
      </c>
      <c r="C100" s="6">
        <v>45298</v>
      </c>
      <c r="D100" s="26">
        <v>0.97295138888888888</v>
      </c>
    </row>
    <row r="101" spans="1:4" x14ac:dyDescent="0.25">
      <c r="A101" s="7" t="str">
        <f>Table1[[#This Row],[No.]]&amp;Table1[[#This Row],[Date]]</f>
        <v>1445299</v>
      </c>
      <c r="B101">
        <v>14</v>
      </c>
      <c r="C101" s="6">
        <v>45299</v>
      </c>
      <c r="D101" s="26">
        <v>0.5350462962962963</v>
      </c>
    </row>
    <row r="102" spans="1:4" x14ac:dyDescent="0.25">
      <c r="A102" s="7" t="str">
        <f>Table1[[#This Row],[No.]]&amp;Table1[[#This Row],[Date]]</f>
        <v>1445299</v>
      </c>
      <c r="B102">
        <v>14</v>
      </c>
      <c r="C102" s="6">
        <v>45299</v>
      </c>
      <c r="D102" s="26">
        <v>0.94546296296296306</v>
      </c>
    </row>
    <row r="103" spans="1:4" x14ac:dyDescent="0.25">
      <c r="A103" s="7" t="str">
        <f>Table1[[#This Row],[No.]]&amp;Table1[[#This Row],[Date]]</f>
        <v>1445300</v>
      </c>
      <c r="B103">
        <v>14</v>
      </c>
      <c r="C103" s="6">
        <v>45300</v>
      </c>
      <c r="D103" s="26">
        <v>0.53442129629629631</v>
      </c>
    </row>
    <row r="104" spans="1:4" x14ac:dyDescent="0.25">
      <c r="A104" s="7" t="str">
        <f>Table1[[#This Row],[No.]]&amp;Table1[[#This Row],[Date]]</f>
        <v>1445300</v>
      </c>
      <c r="B104">
        <v>14</v>
      </c>
      <c r="C104" s="6">
        <v>45300</v>
      </c>
      <c r="D104" s="26">
        <v>0.89174768518518521</v>
      </c>
    </row>
    <row r="105" spans="1:4" x14ac:dyDescent="0.25">
      <c r="A105" s="7" t="str">
        <f>Table1[[#This Row],[No.]]&amp;Table1[[#This Row],[Date]]</f>
        <v>1445301</v>
      </c>
      <c r="B105">
        <v>14</v>
      </c>
      <c r="C105" s="6">
        <v>45301</v>
      </c>
      <c r="D105" s="26">
        <v>0.51314814814814813</v>
      </c>
    </row>
    <row r="106" spans="1:4" x14ac:dyDescent="0.25">
      <c r="A106" s="7" t="str">
        <f>Table1[[#This Row],[No.]]&amp;Table1[[#This Row],[Date]]</f>
        <v>1445301</v>
      </c>
      <c r="B106">
        <v>14</v>
      </c>
      <c r="C106" s="6">
        <v>45301</v>
      </c>
      <c r="D106" s="26">
        <v>0.51568287037037031</v>
      </c>
    </row>
    <row r="107" spans="1:4" x14ac:dyDescent="0.25">
      <c r="A107" s="7" t="str">
        <f>Table1[[#This Row],[No.]]&amp;Table1[[#This Row],[Date]]</f>
        <v>1445301</v>
      </c>
      <c r="B107">
        <v>14</v>
      </c>
      <c r="C107" s="6">
        <v>45301</v>
      </c>
      <c r="D107" s="26">
        <v>0.91184027777777776</v>
      </c>
    </row>
    <row r="108" spans="1:4" x14ac:dyDescent="0.25">
      <c r="A108" s="7" t="str">
        <f>Table1[[#This Row],[No.]]&amp;Table1[[#This Row],[Date]]</f>
        <v>1445302</v>
      </c>
      <c r="B108">
        <v>14</v>
      </c>
      <c r="C108" s="6">
        <v>45302</v>
      </c>
      <c r="D108" s="26">
        <v>0.53274305555555557</v>
      </c>
    </row>
    <row r="109" spans="1:4" x14ac:dyDescent="0.25">
      <c r="A109" s="7" t="str">
        <f>Table1[[#This Row],[No.]]&amp;Table1[[#This Row],[Date]]</f>
        <v>1445302</v>
      </c>
      <c r="B109">
        <v>14</v>
      </c>
      <c r="C109" s="6">
        <v>45302</v>
      </c>
      <c r="D109" s="26">
        <v>0.93229166666666663</v>
      </c>
    </row>
    <row r="110" spans="1:4" x14ac:dyDescent="0.25">
      <c r="A110" s="7" t="str">
        <f>Table1[[#This Row],[No.]]&amp;Table1[[#This Row],[Date]]</f>
        <v>1445305</v>
      </c>
      <c r="B110">
        <v>14</v>
      </c>
      <c r="C110" s="6">
        <v>45305</v>
      </c>
      <c r="D110" s="26">
        <v>0.92037037037037039</v>
      </c>
    </row>
    <row r="111" spans="1:4" x14ac:dyDescent="0.25">
      <c r="A111" s="7" t="str">
        <f>Table1[[#This Row],[No.]]&amp;Table1[[#This Row],[Date]]</f>
        <v>1445305</v>
      </c>
      <c r="B111">
        <v>14</v>
      </c>
      <c r="C111" s="6">
        <v>45305</v>
      </c>
      <c r="D111" s="26">
        <v>0.52199074074074081</v>
      </c>
    </row>
    <row r="112" spans="1:4" x14ac:dyDescent="0.25">
      <c r="A112" s="7" t="str">
        <f>Table1[[#This Row],[No.]]&amp;Table1[[#This Row],[Date]]</f>
        <v>1445305</v>
      </c>
      <c r="B112">
        <v>14</v>
      </c>
      <c r="C112" s="6">
        <v>45305</v>
      </c>
      <c r="D112" s="26">
        <v>0.8712847222222222</v>
      </c>
    </row>
    <row r="113" spans="1:4" x14ac:dyDescent="0.25">
      <c r="A113" s="7" t="str">
        <f>Table1[[#This Row],[No.]]&amp;Table1[[#This Row],[Date]]</f>
        <v>1445306</v>
      </c>
      <c r="B113">
        <v>14</v>
      </c>
      <c r="C113" s="6">
        <v>45306</v>
      </c>
      <c r="D113" s="26">
        <v>0.52998842592592588</v>
      </c>
    </row>
    <row r="114" spans="1:4" x14ac:dyDescent="0.25">
      <c r="A114" s="7" t="str">
        <f>Table1[[#This Row],[No.]]&amp;Table1[[#This Row],[Date]]</f>
        <v>1445306</v>
      </c>
      <c r="B114">
        <v>14</v>
      </c>
      <c r="C114" s="6">
        <v>45306</v>
      </c>
      <c r="D114" s="26">
        <v>0.53002314814814822</v>
      </c>
    </row>
    <row r="115" spans="1:4" x14ac:dyDescent="0.25">
      <c r="A115" s="7" t="str">
        <f>Table1[[#This Row],[No.]]&amp;Table1[[#This Row],[Date]]</f>
        <v>1445306</v>
      </c>
      <c r="B115">
        <v>14</v>
      </c>
      <c r="C115" s="6">
        <v>45306</v>
      </c>
      <c r="D115" s="26">
        <v>0.76967592592592593</v>
      </c>
    </row>
    <row r="116" spans="1:4" x14ac:dyDescent="0.25">
      <c r="A116" s="7" t="str">
        <f>Table1[[#This Row],[No.]]&amp;Table1[[#This Row],[Date]]</f>
        <v>1445307</v>
      </c>
      <c r="B116">
        <v>14</v>
      </c>
      <c r="C116" s="6">
        <v>45307</v>
      </c>
      <c r="D116" s="26">
        <v>0.5277546296296296</v>
      </c>
    </row>
    <row r="117" spans="1:4" x14ac:dyDescent="0.25">
      <c r="A117" s="7" t="str">
        <f>Table1[[#This Row],[No.]]&amp;Table1[[#This Row],[Date]]</f>
        <v>1445307</v>
      </c>
      <c r="B117">
        <v>14</v>
      </c>
      <c r="C117" s="6">
        <v>45307</v>
      </c>
      <c r="D117" s="26">
        <v>0.81383101851851858</v>
      </c>
    </row>
    <row r="118" spans="1:4" x14ac:dyDescent="0.25">
      <c r="A118" s="7" t="str">
        <f>Table1[[#This Row],[No.]]&amp;Table1[[#This Row],[Date]]</f>
        <v>1445308</v>
      </c>
      <c r="B118">
        <v>14</v>
      </c>
      <c r="C118" s="6">
        <v>45308</v>
      </c>
      <c r="D118" s="26">
        <v>0.52175925925925926</v>
      </c>
    </row>
    <row r="119" spans="1:4" x14ac:dyDescent="0.25">
      <c r="A119" s="7" t="str">
        <f>Table1[[#This Row],[No.]]&amp;Table1[[#This Row],[Date]]</f>
        <v>1445308</v>
      </c>
      <c r="B119">
        <v>14</v>
      </c>
      <c r="C119" s="6">
        <v>45308</v>
      </c>
      <c r="D119" s="26">
        <v>0.91358796296296296</v>
      </c>
    </row>
    <row r="120" spans="1:4" x14ac:dyDescent="0.25">
      <c r="A120" s="7" t="str">
        <f>Table1[[#This Row],[No.]]&amp;Table1[[#This Row],[Date]]</f>
        <v>1445308</v>
      </c>
      <c r="B120">
        <v>14</v>
      </c>
      <c r="C120" s="6">
        <v>45308</v>
      </c>
      <c r="D120" s="26">
        <v>0.9324189814814815</v>
      </c>
    </row>
    <row r="121" spans="1:4" x14ac:dyDescent="0.25">
      <c r="A121" s="7" t="str">
        <f>Table1[[#This Row],[No.]]&amp;Table1[[#This Row],[Date]]</f>
        <v>1445309</v>
      </c>
      <c r="B121">
        <v>14</v>
      </c>
      <c r="C121" s="6">
        <v>45309</v>
      </c>
      <c r="D121" s="26">
        <v>0.53373842592592591</v>
      </c>
    </row>
    <row r="122" spans="1:4" x14ac:dyDescent="0.25">
      <c r="A122" s="7" t="str">
        <f>Table1[[#This Row],[No.]]&amp;Table1[[#This Row],[Date]]</f>
        <v>1445309</v>
      </c>
      <c r="B122">
        <v>14</v>
      </c>
      <c r="C122" s="6">
        <v>45309</v>
      </c>
      <c r="D122" s="26">
        <v>0.9098032407407407</v>
      </c>
    </row>
    <row r="123" spans="1:4" x14ac:dyDescent="0.25">
      <c r="A123" s="7" t="str">
        <f>Table1[[#This Row],[No.]]&amp;Table1[[#This Row],[Date]]</f>
        <v>1445312</v>
      </c>
      <c r="B123">
        <v>14</v>
      </c>
      <c r="C123" s="6">
        <v>45312</v>
      </c>
      <c r="D123" s="26">
        <v>0.81328703703703698</v>
      </c>
    </row>
    <row r="124" spans="1:4" x14ac:dyDescent="0.25">
      <c r="A124" s="7" t="str">
        <f>Table1[[#This Row],[No.]]&amp;Table1[[#This Row],[Date]]</f>
        <v>1445313</v>
      </c>
      <c r="B124">
        <v>14</v>
      </c>
      <c r="C124" s="6">
        <v>45313</v>
      </c>
      <c r="D124" s="26">
        <v>0.54193287037037041</v>
      </c>
    </row>
    <row r="125" spans="1:4" x14ac:dyDescent="0.25">
      <c r="A125" s="7" t="str">
        <f>Table1[[#This Row],[No.]]&amp;Table1[[#This Row],[Date]]</f>
        <v>1445313</v>
      </c>
      <c r="B125">
        <v>14</v>
      </c>
      <c r="C125" s="6">
        <v>45313</v>
      </c>
      <c r="D125" s="26">
        <v>0.91351851851851851</v>
      </c>
    </row>
    <row r="126" spans="1:4" x14ac:dyDescent="0.25">
      <c r="A126" s="7" t="str">
        <f>Table1[[#This Row],[No.]]&amp;Table1[[#This Row],[Date]]</f>
        <v>1445313</v>
      </c>
      <c r="B126">
        <v>14</v>
      </c>
      <c r="C126" s="6">
        <v>45313</v>
      </c>
      <c r="D126" s="26">
        <v>0.9135416666666667</v>
      </c>
    </row>
    <row r="127" spans="1:4" x14ac:dyDescent="0.25">
      <c r="A127" s="7" t="str">
        <f>Table1[[#This Row],[No.]]&amp;Table1[[#This Row],[Date]]</f>
        <v>1445314</v>
      </c>
      <c r="B127">
        <v>14</v>
      </c>
      <c r="C127" s="6">
        <v>45314</v>
      </c>
      <c r="D127" s="26">
        <v>0.53643518518518518</v>
      </c>
    </row>
    <row r="128" spans="1:4" x14ac:dyDescent="0.25">
      <c r="A128" s="7" t="str">
        <f>Table1[[#This Row],[No.]]&amp;Table1[[#This Row],[Date]]</f>
        <v>1445314</v>
      </c>
      <c r="B128">
        <v>14</v>
      </c>
      <c r="C128" s="6">
        <v>45314</v>
      </c>
      <c r="D128" s="26">
        <v>0.53645833333333337</v>
      </c>
    </row>
    <row r="129" spans="1:4" x14ac:dyDescent="0.25">
      <c r="A129" s="7" t="str">
        <f>Table1[[#This Row],[No.]]&amp;Table1[[#This Row],[Date]]</f>
        <v>1445314</v>
      </c>
      <c r="B129">
        <v>14</v>
      </c>
      <c r="C129" s="6">
        <v>45314</v>
      </c>
      <c r="D129" s="26">
        <v>0.84366898148148151</v>
      </c>
    </row>
    <row r="130" spans="1:4" x14ac:dyDescent="0.25">
      <c r="A130" s="7" t="str">
        <f>Table1[[#This Row],[No.]]&amp;Table1[[#This Row],[Date]]</f>
        <v>1445315</v>
      </c>
      <c r="B130">
        <v>14</v>
      </c>
      <c r="C130" s="6">
        <v>45315</v>
      </c>
      <c r="D130" s="26">
        <v>2.6018518518518521E-2</v>
      </c>
    </row>
    <row r="131" spans="1:4" x14ac:dyDescent="0.25">
      <c r="A131" s="7" t="str">
        <f>Table1[[#This Row],[No.]]&amp;Table1[[#This Row],[Date]]</f>
        <v>1445315</v>
      </c>
      <c r="B131">
        <v>14</v>
      </c>
      <c r="C131" s="6">
        <v>45315</v>
      </c>
      <c r="D131" s="26">
        <v>0.94666666666666666</v>
      </c>
    </row>
    <row r="132" spans="1:4" x14ac:dyDescent="0.25">
      <c r="A132" s="7" t="str">
        <f>Table1[[#This Row],[No.]]&amp;Table1[[#This Row],[Date]]</f>
        <v>1445316</v>
      </c>
      <c r="B132">
        <v>14</v>
      </c>
      <c r="C132" s="6">
        <v>45316</v>
      </c>
      <c r="D132" s="26">
        <v>0.53277777777777779</v>
      </c>
    </row>
    <row r="133" spans="1:4" x14ac:dyDescent="0.25">
      <c r="A133" s="7" t="str">
        <f>Table1[[#This Row],[No.]]&amp;Table1[[#This Row],[Date]]</f>
        <v>1445316</v>
      </c>
      <c r="B133">
        <v>14</v>
      </c>
      <c r="C133" s="6">
        <v>45316</v>
      </c>
      <c r="D133" s="26">
        <v>0.91581018518518509</v>
      </c>
    </row>
    <row r="134" spans="1:4" x14ac:dyDescent="0.25">
      <c r="A134" s="7" t="str">
        <f>Table1[[#This Row],[No.]]&amp;Table1[[#This Row],[Date]]</f>
        <v>1445318</v>
      </c>
      <c r="B134">
        <v>14</v>
      </c>
      <c r="C134" s="6">
        <v>45318</v>
      </c>
      <c r="D134" s="26">
        <v>0.52650462962962963</v>
      </c>
    </row>
    <row r="135" spans="1:4" x14ac:dyDescent="0.25">
      <c r="A135" s="7" t="str">
        <f>Table1[[#This Row],[No.]]&amp;Table1[[#This Row],[Date]]</f>
        <v>1445319</v>
      </c>
      <c r="B135">
        <v>14</v>
      </c>
      <c r="C135" s="6">
        <v>45319</v>
      </c>
      <c r="D135" s="26">
        <v>0.96791666666666665</v>
      </c>
    </row>
    <row r="136" spans="1:4" x14ac:dyDescent="0.25">
      <c r="A136" s="7" t="str">
        <f>Table1[[#This Row],[No.]]&amp;Table1[[#This Row],[Date]]</f>
        <v>1645293</v>
      </c>
      <c r="B136">
        <v>16</v>
      </c>
      <c r="C136" s="6">
        <v>45293</v>
      </c>
      <c r="D136" s="26">
        <v>0.58564814814814814</v>
      </c>
    </row>
    <row r="137" spans="1:4" x14ac:dyDescent="0.25">
      <c r="A137" s="7" t="str">
        <f>Table1[[#This Row],[No.]]&amp;Table1[[#This Row],[Date]]</f>
        <v>1645293</v>
      </c>
      <c r="B137">
        <v>16</v>
      </c>
      <c r="C137" s="6">
        <v>45293</v>
      </c>
      <c r="D137" s="26">
        <v>0.9164699074074073</v>
      </c>
    </row>
    <row r="138" spans="1:4" x14ac:dyDescent="0.25">
      <c r="A138" s="7" t="str">
        <f>Table1[[#This Row],[No.]]&amp;Table1[[#This Row],[Date]]</f>
        <v>1645294</v>
      </c>
      <c r="B138">
        <v>16</v>
      </c>
      <c r="C138" s="6">
        <v>45294</v>
      </c>
      <c r="D138" s="26">
        <v>0.57697916666666671</v>
      </c>
    </row>
    <row r="139" spans="1:4" x14ac:dyDescent="0.25">
      <c r="A139" s="7" t="str">
        <f>Table1[[#This Row],[No.]]&amp;Table1[[#This Row],[Date]]</f>
        <v>1645294</v>
      </c>
      <c r="B139">
        <v>16</v>
      </c>
      <c r="C139" s="6">
        <v>45294</v>
      </c>
      <c r="D139" s="26">
        <v>0.90476851851851858</v>
      </c>
    </row>
    <row r="140" spans="1:4" x14ac:dyDescent="0.25">
      <c r="A140" s="7" t="str">
        <f>Table1[[#This Row],[No.]]&amp;Table1[[#This Row],[Date]]</f>
        <v>1645296</v>
      </c>
      <c r="B140">
        <v>16</v>
      </c>
      <c r="C140" s="6">
        <v>45296</v>
      </c>
      <c r="D140" s="26">
        <v>0.63398148148148148</v>
      </c>
    </row>
    <row r="141" spans="1:4" x14ac:dyDescent="0.25">
      <c r="A141" s="7" t="str">
        <f>Table1[[#This Row],[No.]]&amp;Table1[[#This Row],[Date]]</f>
        <v>1645296</v>
      </c>
      <c r="B141">
        <v>16</v>
      </c>
      <c r="C141" s="6">
        <v>45296</v>
      </c>
      <c r="D141" s="26">
        <v>0.99584490740740739</v>
      </c>
    </row>
    <row r="142" spans="1:4" x14ac:dyDescent="0.25">
      <c r="A142" s="7" t="str">
        <f>Table1[[#This Row],[No.]]&amp;Table1[[#This Row],[Date]]</f>
        <v>1645297</v>
      </c>
      <c r="B142">
        <v>16</v>
      </c>
      <c r="C142" s="6">
        <v>45297</v>
      </c>
      <c r="D142" s="26">
        <v>0.60398148148148145</v>
      </c>
    </row>
    <row r="143" spans="1:4" x14ac:dyDescent="0.25">
      <c r="A143" s="7" t="str">
        <f>Table1[[#This Row],[No.]]&amp;Table1[[#This Row],[Date]]</f>
        <v>1645297</v>
      </c>
      <c r="B143">
        <v>16</v>
      </c>
      <c r="C143" s="6">
        <v>45297</v>
      </c>
      <c r="D143" s="26">
        <v>0.92729166666666663</v>
      </c>
    </row>
    <row r="144" spans="1:4" x14ac:dyDescent="0.25">
      <c r="A144" s="7" t="str">
        <f>Table1[[#This Row],[No.]]&amp;Table1[[#This Row],[Date]]</f>
        <v>1645299</v>
      </c>
      <c r="B144">
        <v>16</v>
      </c>
      <c r="C144" s="6">
        <v>45299</v>
      </c>
      <c r="D144" s="26">
        <v>0.57337962962962963</v>
      </c>
    </row>
    <row r="145" spans="1:4" x14ac:dyDescent="0.25">
      <c r="A145" s="7" t="str">
        <f>Table1[[#This Row],[No.]]&amp;Table1[[#This Row],[Date]]</f>
        <v>1645299</v>
      </c>
      <c r="B145">
        <v>16</v>
      </c>
      <c r="C145" s="6">
        <v>45299</v>
      </c>
      <c r="D145" s="26">
        <v>0.94499999999999995</v>
      </c>
    </row>
    <row r="146" spans="1:4" x14ac:dyDescent="0.25">
      <c r="A146" s="7" t="str">
        <f>Table1[[#This Row],[No.]]&amp;Table1[[#This Row],[Date]]</f>
        <v>1645300</v>
      </c>
      <c r="B146">
        <v>16</v>
      </c>
      <c r="C146" s="6">
        <v>45300</v>
      </c>
      <c r="D146" s="26">
        <v>0.59729166666666667</v>
      </c>
    </row>
    <row r="147" spans="1:4" x14ac:dyDescent="0.25">
      <c r="A147" s="7" t="str">
        <f>Table1[[#This Row],[No.]]&amp;Table1[[#This Row],[Date]]</f>
        <v>1645300</v>
      </c>
      <c r="B147">
        <v>16</v>
      </c>
      <c r="C147" s="6">
        <v>45300</v>
      </c>
      <c r="D147" s="26">
        <v>0.90728009259259268</v>
      </c>
    </row>
    <row r="148" spans="1:4" x14ac:dyDescent="0.25">
      <c r="A148" s="7" t="str">
        <f>Table1[[#This Row],[No.]]&amp;Table1[[#This Row],[Date]]</f>
        <v>1645301</v>
      </c>
      <c r="B148">
        <v>16</v>
      </c>
      <c r="C148" s="6">
        <v>45301</v>
      </c>
      <c r="D148" s="26">
        <v>0.53123842592592596</v>
      </c>
    </row>
    <row r="149" spans="1:4" x14ac:dyDescent="0.25">
      <c r="A149" s="7" t="str">
        <f>Table1[[#This Row],[No.]]&amp;Table1[[#This Row],[Date]]</f>
        <v>1645301</v>
      </c>
      <c r="B149">
        <v>16</v>
      </c>
      <c r="C149" s="6">
        <v>45301</v>
      </c>
      <c r="D149" s="26">
        <v>0.92700231481481488</v>
      </c>
    </row>
    <row r="150" spans="1:4" x14ac:dyDescent="0.25">
      <c r="A150" s="7" t="str">
        <f>Table1[[#This Row],[No.]]&amp;Table1[[#This Row],[Date]]</f>
        <v>1645303</v>
      </c>
      <c r="B150">
        <v>16</v>
      </c>
      <c r="C150" s="6">
        <v>45303</v>
      </c>
      <c r="D150" s="26">
        <v>0.58385416666666667</v>
      </c>
    </row>
    <row r="151" spans="1:4" x14ac:dyDescent="0.25">
      <c r="A151" s="7" t="str">
        <f>Table1[[#This Row],[No.]]&amp;Table1[[#This Row],[Date]]</f>
        <v>1645303</v>
      </c>
      <c r="B151">
        <v>16</v>
      </c>
      <c r="C151" s="6">
        <v>45303</v>
      </c>
      <c r="D151" s="26">
        <v>0.91483796296296294</v>
      </c>
    </row>
    <row r="152" spans="1:4" x14ac:dyDescent="0.25">
      <c r="A152" s="7" t="str">
        <f>Table1[[#This Row],[No.]]&amp;Table1[[#This Row],[Date]]</f>
        <v>1645304</v>
      </c>
      <c r="B152">
        <v>16</v>
      </c>
      <c r="C152" s="6">
        <v>45304</v>
      </c>
      <c r="D152" s="26">
        <v>0.57959490740740738</v>
      </c>
    </row>
    <row r="153" spans="1:4" x14ac:dyDescent="0.25">
      <c r="A153" s="7" t="str">
        <f>Table1[[#This Row],[No.]]&amp;Table1[[#This Row],[Date]]</f>
        <v>1645305</v>
      </c>
      <c r="B153">
        <v>16</v>
      </c>
      <c r="C153" s="6">
        <v>45305</v>
      </c>
      <c r="D153" s="26">
        <v>0.52254629629629623</v>
      </c>
    </row>
    <row r="154" spans="1:4" x14ac:dyDescent="0.25">
      <c r="A154" s="7" t="str">
        <f>Table1[[#This Row],[No.]]&amp;Table1[[#This Row],[Date]]</f>
        <v>1645308</v>
      </c>
      <c r="B154">
        <v>16</v>
      </c>
      <c r="C154" s="6">
        <v>45308</v>
      </c>
      <c r="D154" s="26">
        <v>0.58518518518518514</v>
      </c>
    </row>
    <row r="155" spans="1:4" x14ac:dyDescent="0.25">
      <c r="A155" s="7" t="str">
        <f>Table1[[#This Row],[No.]]&amp;Table1[[#This Row],[Date]]</f>
        <v>1645308</v>
      </c>
      <c r="B155">
        <v>16</v>
      </c>
      <c r="C155" s="6">
        <v>45308</v>
      </c>
      <c r="D155" s="26">
        <v>0.914525462962963</v>
      </c>
    </row>
    <row r="156" spans="1:4" x14ac:dyDescent="0.25">
      <c r="A156" s="7" t="str">
        <f>Table1[[#This Row],[No.]]&amp;Table1[[#This Row],[Date]]</f>
        <v>1645309</v>
      </c>
      <c r="B156">
        <v>16</v>
      </c>
      <c r="C156" s="6">
        <v>45309</v>
      </c>
      <c r="D156" s="26">
        <v>0.5784259259259259</v>
      </c>
    </row>
    <row r="157" spans="1:4" x14ac:dyDescent="0.25">
      <c r="A157" s="7" t="str">
        <f>Table1[[#This Row],[No.]]&amp;Table1[[#This Row],[Date]]</f>
        <v>1645309</v>
      </c>
      <c r="B157">
        <v>16</v>
      </c>
      <c r="C157" s="6">
        <v>45309</v>
      </c>
      <c r="D157" s="26">
        <v>0.91019675925925936</v>
      </c>
    </row>
    <row r="158" spans="1:4" x14ac:dyDescent="0.25">
      <c r="A158" s="7" t="str">
        <f>Table1[[#This Row],[No.]]&amp;Table1[[#This Row],[Date]]</f>
        <v>1645310</v>
      </c>
      <c r="B158">
        <v>16</v>
      </c>
      <c r="C158" s="6">
        <v>45310</v>
      </c>
      <c r="D158" s="26">
        <v>0.59339120370370368</v>
      </c>
    </row>
    <row r="159" spans="1:4" x14ac:dyDescent="0.25">
      <c r="A159" s="7" t="str">
        <f>Table1[[#This Row],[No.]]&amp;Table1[[#This Row],[Date]]</f>
        <v>1645310</v>
      </c>
      <c r="B159">
        <v>16</v>
      </c>
      <c r="C159" s="6">
        <v>45310</v>
      </c>
      <c r="D159" s="26">
        <v>0.95079861111111119</v>
      </c>
    </row>
    <row r="160" spans="1:4" x14ac:dyDescent="0.25">
      <c r="A160" s="7" t="str">
        <f>Table1[[#This Row],[No.]]&amp;Table1[[#This Row],[Date]]</f>
        <v>1645311</v>
      </c>
      <c r="B160">
        <v>16</v>
      </c>
      <c r="C160" s="6">
        <v>45311</v>
      </c>
      <c r="D160" s="26">
        <v>0.56616898148148154</v>
      </c>
    </row>
    <row r="161" spans="1:4" x14ac:dyDescent="0.25">
      <c r="A161" s="7" t="str">
        <f>Table1[[#This Row],[No.]]&amp;Table1[[#This Row],[Date]]</f>
        <v>1645312</v>
      </c>
      <c r="B161">
        <v>16</v>
      </c>
      <c r="C161" s="6">
        <v>45312</v>
      </c>
      <c r="D161" s="26">
        <v>0.50998842592592586</v>
      </c>
    </row>
    <row r="162" spans="1:4" x14ac:dyDescent="0.25">
      <c r="A162" s="7" t="str">
        <f>Table1[[#This Row],[No.]]&amp;Table1[[#This Row],[Date]]</f>
        <v>1645313</v>
      </c>
      <c r="B162">
        <v>16</v>
      </c>
      <c r="C162" s="6">
        <v>45313</v>
      </c>
      <c r="D162" s="26">
        <v>0.57554398148148145</v>
      </c>
    </row>
    <row r="163" spans="1:4" x14ac:dyDescent="0.25">
      <c r="A163" s="7" t="str">
        <f>Table1[[#This Row],[No.]]&amp;Table1[[#This Row],[Date]]</f>
        <v>1645313</v>
      </c>
      <c r="B163">
        <v>16</v>
      </c>
      <c r="C163" s="6">
        <v>45313</v>
      </c>
      <c r="D163" s="26">
        <v>0.90913194444444445</v>
      </c>
    </row>
    <row r="164" spans="1:4" x14ac:dyDescent="0.25">
      <c r="A164" s="7" t="str">
        <f>Table1[[#This Row],[No.]]&amp;Table1[[#This Row],[Date]]</f>
        <v>1645314</v>
      </c>
      <c r="B164">
        <v>16</v>
      </c>
      <c r="C164" s="6">
        <v>45314</v>
      </c>
      <c r="D164" s="26">
        <v>0.56989583333333338</v>
      </c>
    </row>
    <row r="165" spans="1:4" x14ac:dyDescent="0.25">
      <c r="A165" s="7" t="str">
        <f>Table1[[#This Row],[No.]]&amp;Table1[[#This Row],[Date]]</f>
        <v>1645314</v>
      </c>
      <c r="B165">
        <v>16</v>
      </c>
      <c r="C165" s="6">
        <v>45314</v>
      </c>
      <c r="D165" s="26">
        <v>0.91218749999999993</v>
      </c>
    </row>
    <row r="166" spans="1:4" x14ac:dyDescent="0.25">
      <c r="A166" s="7" t="str">
        <f>Table1[[#This Row],[No.]]&amp;Table1[[#This Row],[Date]]</f>
        <v>1645315</v>
      </c>
      <c r="B166">
        <v>16</v>
      </c>
      <c r="C166" s="6">
        <v>45315</v>
      </c>
      <c r="D166" s="26">
        <v>0.57724537037037038</v>
      </c>
    </row>
    <row r="167" spans="1:4" x14ac:dyDescent="0.25">
      <c r="A167" s="7" t="str">
        <f>Table1[[#This Row],[No.]]&amp;Table1[[#This Row],[Date]]</f>
        <v>1645315</v>
      </c>
      <c r="B167">
        <v>16</v>
      </c>
      <c r="C167" s="6">
        <v>45315</v>
      </c>
      <c r="D167" s="26">
        <v>0.9474189814814814</v>
      </c>
    </row>
    <row r="168" spans="1:4" x14ac:dyDescent="0.25">
      <c r="A168" s="7" t="str">
        <f>Table1[[#This Row],[No.]]&amp;Table1[[#This Row],[Date]]</f>
        <v>1645317</v>
      </c>
      <c r="B168">
        <v>16</v>
      </c>
      <c r="C168" s="6">
        <v>45317</v>
      </c>
      <c r="D168" s="26">
        <v>0.57903935185185185</v>
      </c>
    </row>
    <row r="169" spans="1:4" x14ac:dyDescent="0.25">
      <c r="A169" s="7" t="str">
        <f>Table1[[#This Row],[No.]]&amp;Table1[[#This Row],[Date]]</f>
        <v>1645317</v>
      </c>
      <c r="B169">
        <v>16</v>
      </c>
      <c r="C169" s="6">
        <v>45317</v>
      </c>
      <c r="D169" s="26">
        <v>0.91547453703703707</v>
      </c>
    </row>
    <row r="170" spans="1:4" x14ac:dyDescent="0.25">
      <c r="A170" s="7" t="str">
        <f>Table1[[#This Row],[No.]]&amp;Table1[[#This Row],[Date]]</f>
        <v>1645318</v>
      </c>
      <c r="B170">
        <v>16</v>
      </c>
      <c r="C170" s="6">
        <v>45318</v>
      </c>
      <c r="D170" s="26">
        <v>0.56497685185185187</v>
      </c>
    </row>
    <row r="171" spans="1:4" x14ac:dyDescent="0.25">
      <c r="A171" s="7" t="str">
        <f>Table1[[#This Row],[No.]]&amp;Table1[[#This Row],[Date]]</f>
        <v>1645319</v>
      </c>
      <c r="B171">
        <v>16</v>
      </c>
      <c r="C171" s="6">
        <v>45319</v>
      </c>
      <c r="D171" s="26">
        <v>0.50440972222222225</v>
      </c>
    </row>
    <row r="172" spans="1:4" x14ac:dyDescent="0.25">
      <c r="A172" s="7" t="str">
        <f>Table1[[#This Row],[No.]]&amp;Table1[[#This Row],[Date]]</f>
        <v>1745292</v>
      </c>
      <c r="B172">
        <v>17</v>
      </c>
      <c r="C172" s="6">
        <v>45292</v>
      </c>
      <c r="D172" s="26">
        <v>0.56543981481481487</v>
      </c>
    </row>
    <row r="173" spans="1:4" x14ac:dyDescent="0.25">
      <c r="A173" s="7" t="str">
        <f>Table1[[#This Row],[No.]]&amp;Table1[[#This Row],[Date]]</f>
        <v>1745292</v>
      </c>
      <c r="B173">
        <v>17</v>
      </c>
      <c r="C173" s="6">
        <v>45292</v>
      </c>
      <c r="D173" s="26">
        <v>0.56546296296296295</v>
      </c>
    </row>
    <row r="174" spans="1:4" x14ac:dyDescent="0.25">
      <c r="A174" s="7" t="str">
        <f>Table1[[#This Row],[No.]]&amp;Table1[[#This Row],[Date]]</f>
        <v>1745292</v>
      </c>
      <c r="B174">
        <v>17</v>
      </c>
      <c r="C174" s="6">
        <v>45292</v>
      </c>
      <c r="D174" s="26">
        <v>0.56547453703703698</v>
      </c>
    </row>
    <row r="175" spans="1:4" x14ac:dyDescent="0.25">
      <c r="A175" s="7" t="str">
        <f>Table1[[#This Row],[No.]]&amp;Table1[[#This Row],[Date]]</f>
        <v>1745292</v>
      </c>
      <c r="B175">
        <v>17</v>
      </c>
      <c r="C175" s="6">
        <v>45292</v>
      </c>
      <c r="D175" s="26">
        <v>0.76067129629629626</v>
      </c>
    </row>
    <row r="176" spans="1:4" x14ac:dyDescent="0.25">
      <c r="A176" s="7" t="str">
        <f>Table1[[#This Row],[No.]]&amp;Table1[[#This Row],[Date]]</f>
        <v>1745293</v>
      </c>
      <c r="B176">
        <v>17</v>
      </c>
      <c r="C176" s="6">
        <v>45293</v>
      </c>
      <c r="D176" s="26">
        <v>0.56309027777777776</v>
      </c>
    </row>
    <row r="177" spans="1:4" x14ac:dyDescent="0.25">
      <c r="A177" s="7" t="str">
        <f>Table1[[#This Row],[No.]]&amp;Table1[[#This Row],[Date]]</f>
        <v>1745293</v>
      </c>
      <c r="B177">
        <v>17</v>
      </c>
      <c r="C177" s="6">
        <v>45293</v>
      </c>
      <c r="D177" s="26">
        <v>0.7774537037037037</v>
      </c>
    </row>
    <row r="178" spans="1:4" x14ac:dyDescent="0.25">
      <c r="A178" s="7" t="str">
        <f>Table1[[#This Row],[No.]]&amp;Table1[[#This Row],[Date]]</f>
        <v>1745294</v>
      </c>
      <c r="B178">
        <v>17</v>
      </c>
      <c r="C178" s="6">
        <v>45294</v>
      </c>
      <c r="D178" s="26">
        <v>0.55303240740740744</v>
      </c>
    </row>
    <row r="179" spans="1:4" x14ac:dyDescent="0.25">
      <c r="A179" s="7" t="str">
        <f>Table1[[#This Row],[No.]]&amp;Table1[[#This Row],[Date]]</f>
        <v>1745294</v>
      </c>
      <c r="B179">
        <v>17</v>
      </c>
      <c r="C179" s="6">
        <v>45294</v>
      </c>
      <c r="D179" s="26">
        <v>0.74688657407407411</v>
      </c>
    </row>
    <row r="180" spans="1:4" x14ac:dyDescent="0.25">
      <c r="A180" s="7" t="str">
        <f>Table1[[#This Row],[No.]]&amp;Table1[[#This Row],[Date]]</f>
        <v>1745295</v>
      </c>
      <c r="B180">
        <v>17</v>
      </c>
      <c r="C180" s="6">
        <v>45295</v>
      </c>
      <c r="D180" s="26">
        <v>0.55203703703703699</v>
      </c>
    </row>
    <row r="181" spans="1:4" x14ac:dyDescent="0.25">
      <c r="A181" s="7" t="str">
        <f>Table1[[#This Row],[No.]]&amp;Table1[[#This Row],[Date]]</f>
        <v>1745295</v>
      </c>
      <c r="B181">
        <v>17</v>
      </c>
      <c r="C181" s="6">
        <v>45295</v>
      </c>
      <c r="D181" s="26">
        <v>0.80758101851851849</v>
      </c>
    </row>
    <row r="182" spans="1:4" x14ac:dyDescent="0.25">
      <c r="A182" s="7" t="str">
        <f>Table1[[#This Row],[No.]]&amp;Table1[[#This Row],[Date]]</f>
        <v>1745296</v>
      </c>
      <c r="B182">
        <v>17</v>
      </c>
      <c r="C182" s="6">
        <v>45296</v>
      </c>
      <c r="D182" s="26">
        <v>0.55556712962962962</v>
      </c>
    </row>
    <row r="183" spans="1:4" x14ac:dyDescent="0.25">
      <c r="A183" s="7" t="str">
        <f>Table1[[#This Row],[No.]]&amp;Table1[[#This Row],[Date]]</f>
        <v>1745296</v>
      </c>
      <c r="B183">
        <v>17</v>
      </c>
      <c r="C183" s="6">
        <v>45296</v>
      </c>
      <c r="D183" s="26">
        <v>0.55557870370370377</v>
      </c>
    </row>
    <row r="184" spans="1:4" x14ac:dyDescent="0.25">
      <c r="A184" s="7" t="str">
        <f>Table1[[#This Row],[No.]]&amp;Table1[[#This Row],[Date]]</f>
        <v>1745296</v>
      </c>
      <c r="B184">
        <v>17</v>
      </c>
      <c r="C184" s="6">
        <v>45296</v>
      </c>
      <c r="D184" s="26">
        <v>0.77631944444444445</v>
      </c>
    </row>
    <row r="185" spans="1:4" x14ac:dyDescent="0.25">
      <c r="A185" s="7" t="str">
        <f>Table1[[#This Row],[No.]]&amp;Table1[[#This Row],[Date]]</f>
        <v>1745297</v>
      </c>
      <c r="B185">
        <v>17</v>
      </c>
      <c r="C185" s="6">
        <v>45297</v>
      </c>
      <c r="D185" s="26">
        <v>0.56127314814814822</v>
      </c>
    </row>
    <row r="186" spans="1:4" x14ac:dyDescent="0.25">
      <c r="A186" s="7" t="str">
        <f>Table1[[#This Row],[No.]]&amp;Table1[[#This Row],[Date]]</f>
        <v>1745297</v>
      </c>
      <c r="B186">
        <v>17</v>
      </c>
      <c r="C186" s="6">
        <v>45297</v>
      </c>
      <c r="D186" s="26">
        <v>0.75509259259259265</v>
      </c>
    </row>
    <row r="187" spans="1:4" x14ac:dyDescent="0.25">
      <c r="A187" s="7" t="str">
        <f>Table1[[#This Row],[No.]]&amp;Table1[[#This Row],[Date]]</f>
        <v>1745299</v>
      </c>
      <c r="B187">
        <v>17</v>
      </c>
      <c r="C187" s="6">
        <v>45299</v>
      </c>
      <c r="D187" s="26">
        <v>0.5443634259259259</v>
      </c>
    </row>
    <row r="188" spans="1:4" x14ac:dyDescent="0.25">
      <c r="A188" s="7" t="str">
        <f>Table1[[#This Row],[No.]]&amp;Table1[[#This Row],[Date]]</f>
        <v>1745299</v>
      </c>
      <c r="B188">
        <v>17</v>
      </c>
      <c r="C188" s="6">
        <v>45299</v>
      </c>
      <c r="D188" s="26">
        <v>0.7780555555555555</v>
      </c>
    </row>
    <row r="189" spans="1:4" x14ac:dyDescent="0.25">
      <c r="A189" s="7" t="str">
        <f>Table1[[#This Row],[No.]]&amp;Table1[[#This Row],[Date]]</f>
        <v>1745300</v>
      </c>
      <c r="B189">
        <v>17</v>
      </c>
      <c r="C189" s="6">
        <v>45300</v>
      </c>
      <c r="D189" s="26">
        <v>0.55402777777777779</v>
      </c>
    </row>
    <row r="190" spans="1:4" x14ac:dyDescent="0.25">
      <c r="A190" s="7" t="str">
        <f>Table1[[#This Row],[No.]]&amp;Table1[[#This Row],[Date]]</f>
        <v>1745300</v>
      </c>
      <c r="B190">
        <v>17</v>
      </c>
      <c r="C190" s="6">
        <v>45300</v>
      </c>
      <c r="D190" s="26">
        <v>0.55405092592592597</v>
      </c>
    </row>
    <row r="191" spans="1:4" x14ac:dyDescent="0.25">
      <c r="A191" s="7" t="str">
        <f>Table1[[#This Row],[No.]]&amp;Table1[[#This Row],[Date]]</f>
        <v>1745300</v>
      </c>
      <c r="B191">
        <v>17</v>
      </c>
      <c r="C191" s="6">
        <v>45300</v>
      </c>
      <c r="D191" s="26">
        <v>0.75380787037037045</v>
      </c>
    </row>
    <row r="192" spans="1:4" x14ac:dyDescent="0.25">
      <c r="A192" s="7" t="str">
        <f>Table1[[#This Row],[No.]]&amp;Table1[[#This Row],[Date]]</f>
        <v>1745300</v>
      </c>
      <c r="B192">
        <v>17</v>
      </c>
      <c r="C192" s="6">
        <v>45300</v>
      </c>
      <c r="D192" s="26">
        <v>0.75383101851851853</v>
      </c>
    </row>
    <row r="193" spans="1:4" x14ac:dyDescent="0.25">
      <c r="A193" s="7" t="str">
        <f>Table1[[#This Row],[No.]]&amp;Table1[[#This Row],[Date]]</f>
        <v>1745301</v>
      </c>
      <c r="B193">
        <v>17</v>
      </c>
      <c r="C193" s="6">
        <v>45301</v>
      </c>
      <c r="D193" s="26">
        <v>0.56258101851851849</v>
      </c>
    </row>
    <row r="194" spans="1:4" x14ac:dyDescent="0.25">
      <c r="A194" s="7" t="str">
        <f>Table1[[#This Row],[No.]]&amp;Table1[[#This Row],[Date]]</f>
        <v>1745301</v>
      </c>
      <c r="B194">
        <v>17</v>
      </c>
      <c r="C194" s="6">
        <v>45301</v>
      </c>
      <c r="D194" s="26">
        <v>0.56260416666666668</v>
      </c>
    </row>
    <row r="195" spans="1:4" x14ac:dyDescent="0.25">
      <c r="A195" s="7" t="str">
        <f>Table1[[#This Row],[No.]]&amp;Table1[[#This Row],[Date]]</f>
        <v>1745301</v>
      </c>
      <c r="B195">
        <v>17</v>
      </c>
      <c r="C195" s="6">
        <v>45301</v>
      </c>
      <c r="D195" s="26">
        <v>0.78652777777777771</v>
      </c>
    </row>
    <row r="196" spans="1:4" x14ac:dyDescent="0.25">
      <c r="A196" s="7" t="str">
        <f>Table1[[#This Row],[No.]]&amp;Table1[[#This Row],[Date]]</f>
        <v>1745302</v>
      </c>
      <c r="B196">
        <v>17</v>
      </c>
      <c r="C196" s="6">
        <v>45302</v>
      </c>
      <c r="D196" s="26">
        <v>0.55193287037037042</v>
      </c>
    </row>
    <row r="197" spans="1:4" x14ac:dyDescent="0.25">
      <c r="A197" s="7" t="str">
        <f>Table1[[#This Row],[No.]]&amp;Table1[[#This Row],[Date]]</f>
        <v>1745302</v>
      </c>
      <c r="B197">
        <v>17</v>
      </c>
      <c r="C197" s="6">
        <v>45302</v>
      </c>
      <c r="D197" s="26">
        <v>0.75987268518518514</v>
      </c>
    </row>
    <row r="198" spans="1:4" x14ac:dyDescent="0.25">
      <c r="A198" s="7" t="str">
        <f>Table1[[#This Row],[No.]]&amp;Table1[[#This Row],[Date]]</f>
        <v>1745303</v>
      </c>
      <c r="B198">
        <v>17</v>
      </c>
      <c r="C198" s="6">
        <v>45303</v>
      </c>
      <c r="D198" s="26">
        <v>0.57046296296296295</v>
      </c>
    </row>
    <row r="199" spans="1:4" x14ac:dyDescent="0.25">
      <c r="A199" s="7" t="str">
        <f>Table1[[#This Row],[No.]]&amp;Table1[[#This Row],[Date]]</f>
        <v>1745303</v>
      </c>
      <c r="B199">
        <v>17</v>
      </c>
      <c r="C199" s="6">
        <v>45303</v>
      </c>
      <c r="D199" s="26">
        <v>0.5704745370370371</v>
      </c>
    </row>
    <row r="200" spans="1:4" x14ac:dyDescent="0.25">
      <c r="A200" s="7" t="str">
        <f>Table1[[#This Row],[No.]]&amp;Table1[[#This Row],[Date]]</f>
        <v>1745303</v>
      </c>
      <c r="B200">
        <v>17</v>
      </c>
      <c r="C200" s="6">
        <v>45303</v>
      </c>
      <c r="D200" s="26">
        <v>0.74885416666666671</v>
      </c>
    </row>
    <row r="201" spans="1:4" x14ac:dyDescent="0.25">
      <c r="A201" s="7" t="str">
        <f>Table1[[#This Row],[No.]]&amp;Table1[[#This Row],[Date]]</f>
        <v>1745304</v>
      </c>
      <c r="B201">
        <v>17</v>
      </c>
      <c r="C201" s="6">
        <v>45304</v>
      </c>
      <c r="D201" s="26">
        <v>0.56252314814814819</v>
      </c>
    </row>
    <row r="202" spans="1:4" x14ac:dyDescent="0.25">
      <c r="A202" s="7" t="str">
        <f>Table1[[#This Row],[No.]]&amp;Table1[[#This Row],[Date]]</f>
        <v>1745304</v>
      </c>
      <c r="B202">
        <v>17</v>
      </c>
      <c r="C202" s="6">
        <v>45304</v>
      </c>
      <c r="D202" s="26">
        <v>0.75631944444444443</v>
      </c>
    </row>
    <row r="203" spans="1:4" x14ac:dyDescent="0.25">
      <c r="A203" s="7" t="str">
        <f>Table1[[#This Row],[No.]]&amp;Table1[[#This Row],[Date]]</f>
        <v>1745306</v>
      </c>
      <c r="B203">
        <v>17</v>
      </c>
      <c r="C203" s="6">
        <v>45306</v>
      </c>
      <c r="D203" s="26">
        <v>0.61085648148148153</v>
      </c>
    </row>
    <row r="204" spans="1:4" x14ac:dyDescent="0.25">
      <c r="A204" s="7" t="str">
        <f>Table1[[#This Row],[No.]]&amp;Table1[[#This Row],[Date]]</f>
        <v>1745306</v>
      </c>
      <c r="B204">
        <v>17</v>
      </c>
      <c r="C204" s="6">
        <v>45306</v>
      </c>
      <c r="D204" s="26">
        <v>0.80560185185185185</v>
      </c>
    </row>
    <row r="205" spans="1:4" x14ac:dyDescent="0.25">
      <c r="A205" s="7" t="str">
        <f>Table1[[#This Row],[No.]]&amp;Table1[[#This Row],[Date]]</f>
        <v>1745307</v>
      </c>
      <c r="B205">
        <v>17</v>
      </c>
      <c r="C205" s="6">
        <v>45307</v>
      </c>
      <c r="D205" s="26">
        <v>0.54303240740740744</v>
      </c>
    </row>
    <row r="206" spans="1:4" x14ac:dyDescent="0.25">
      <c r="A206" s="7" t="str">
        <f>Table1[[#This Row],[No.]]&amp;Table1[[#This Row],[Date]]</f>
        <v>1745307</v>
      </c>
      <c r="B206">
        <v>17</v>
      </c>
      <c r="C206" s="6">
        <v>45307</v>
      </c>
      <c r="D206" s="26">
        <v>0.75222222222222224</v>
      </c>
    </row>
    <row r="207" spans="1:4" x14ac:dyDescent="0.25">
      <c r="A207" s="7" t="str">
        <f>Table1[[#This Row],[No.]]&amp;Table1[[#This Row],[Date]]</f>
        <v>1745308</v>
      </c>
      <c r="B207">
        <v>17</v>
      </c>
      <c r="C207" s="6">
        <v>45308</v>
      </c>
      <c r="D207" s="26">
        <v>0.56534722222222222</v>
      </c>
    </row>
    <row r="208" spans="1:4" x14ac:dyDescent="0.25">
      <c r="A208" s="7" t="str">
        <f>Table1[[#This Row],[No.]]&amp;Table1[[#This Row],[Date]]</f>
        <v>1745308</v>
      </c>
      <c r="B208">
        <v>17</v>
      </c>
      <c r="C208" s="6">
        <v>45308</v>
      </c>
      <c r="D208" s="26">
        <v>0.56535879629629626</v>
      </c>
    </row>
    <row r="209" spans="1:4" x14ac:dyDescent="0.25">
      <c r="A209" s="7" t="str">
        <f>Table1[[#This Row],[No.]]&amp;Table1[[#This Row],[Date]]</f>
        <v>1745308</v>
      </c>
      <c r="B209">
        <v>17</v>
      </c>
      <c r="C209" s="6">
        <v>45308</v>
      </c>
      <c r="D209" s="26">
        <v>0.56538194444444445</v>
      </c>
    </row>
    <row r="210" spans="1:4" x14ac:dyDescent="0.25">
      <c r="A210" s="7" t="str">
        <f>Table1[[#This Row],[No.]]&amp;Table1[[#This Row],[Date]]</f>
        <v>1745308</v>
      </c>
      <c r="B210">
        <v>17</v>
      </c>
      <c r="C210" s="6">
        <v>45308</v>
      </c>
      <c r="D210" s="26">
        <v>0.763738425925926</v>
      </c>
    </row>
    <row r="211" spans="1:4" x14ac:dyDescent="0.25">
      <c r="A211" s="7" t="str">
        <f>Table1[[#This Row],[No.]]&amp;Table1[[#This Row],[Date]]</f>
        <v>1745309</v>
      </c>
      <c r="B211">
        <v>17</v>
      </c>
      <c r="C211" s="6">
        <v>45309</v>
      </c>
      <c r="D211" s="26">
        <v>0.54546296296296293</v>
      </c>
    </row>
    <row r="212" spans="1:4" x14ac:dyDescent="0.25">
      <c r="A212" s="7" t="str">
        <f>Table1[[#This Row],[No.]]&amp;Table1[[#This Row],[Date]]</f>
        <v>1745309</v>
      </c>
      <c r="B212">
        <v>17</v>
      </c>
      <c r="C212" s="6">
        <v>45309</v>
      </c>
      <c r="D212" s="26">
        <v>0.71980324074074076</v>
      </c>
    </row>
    <row r="213" spans="1:4" x14ac:dyDescent="0.25">
      <c r="A213" s="7" t="str">
        <f>Table1[[#This Row],[No.]]&amp;Table1[[#This Row],[Date]]</f>
        <v>1745310</v>
      </c>
      <c r="B213">
        <v>17</v>
      </c>
      <c r="C213" s="6">
        <v>45310</v>
      </c>
      <c r="D213" s="26">
        <v>0.53831018518518514</v>
      </c>
    </row>
    <row r="214" spans="1:4" x14ac:dyDescent="0.25">
      <c r="A214" s="7" t="str">
        <f>Table1[[#This Row],[No.]]&amp;Table1[[#This Row],[Date]]</f>
        <v>1745310</v>
      </c>
      <c r="B214">
        <v>17</v>
      </c>
      <c r="C214" s="6">
        <v>45310</v>
      </c>
      <c r="D214" s="26">
        <v>0.74989583333333332</v>
      </c>
    </row>
    <row r="215" spans="1:4" x14ac:dyDescent="0.25">
      <c r="A215" s="7" t="str">
        <f>Table1[[#This Row],[No.]]&amp;Table1[[#This Row],[Date]]</f>
        <v>1745311</v>
      </c>
      <c r="B215">
        <v>17</v>
      </c>
      <c r="C215" s="6">
        <v>45311</v>
      </c>
      <c r="D215" s="26">
        <v>0.55821759259259263</v>
      </c>
    </row>
    <row r="216" spans="1:4" x14ac:dyDescent="0.25">
      <c r="A216" s="7" t="str">
        <f>Table1[[#This Row],[No.]]&amp;Table1[[#This Row],[Date]]</f>
        <v>1745311</v>
      </c>
      <c r="B216">
        <v>17</v>
      </c>
      <c r="C216" s="6">
        <v>45311</v>
      </c>
      <c r="D216" s="26">
        <v>0.5582407407407407</v>
      </c>
    </row>
    <row r="217" spans="1:4" x14ac:dyDescent="0.25">
      <c r="A217" s="7" t="str">
        <f>Table1[[#This Row],[No.]]&amp;Table1[[#This Row],[Date]]</f>
        <v>1745311</v>
      </c>
      <c r="B217">
        <v>17</v>
      </c>
      <c r="C217" s="6">
        <v>45311</v>
      </c>
      <c r="D217" s="26">
        <v>0.75774305555555566</v>
      </c>
    </row>
    <row r="218" spans="1:4" x14ac:dyDescent="0.25">
      <c r="A218" s="7" t="str">
        <f>Table1[[#This Row],[No.]]&amp;Table1[[#This Row],[Date]]</f>
        <v>1745313</v>
      </c>
      <c r="B218">
        <v>17</v>
      </c>
      <c r="C218" s="6">
        <v>45313</v>
      </c>
      <c r="D218" s="26">
        <v>0.55305555555555552</v>
      </c>
    </row>
    <row r="219" spans="1:4" x14ac:dyDescent="0.25">
      <c r="A219" s="7" t="str">
        <f>Table1[[#This Row],[No.]]&amp;Table1[[#This Row],[Date]]</f>
        <v>1745313</v>
      </c>
      <c r="B219">
        <v>17</v>
      </c>
      <c r="C219" s="6">
        <v>45313</v>
      </c>
      <c r="D219" s="26">
        <v>0.55306712962962956</v>
      </c>
    </row>
    <row r="220" spans="1:4" x14ac:dyDescent="0.25">
      <c r="A220" s="7" t="str">
        <f>Table1[[#This Row],[No.]]&amp;Table1[[#This Row],[Date]]</f>
        <v>1745313</v>
      </c>
      <c r="B220">
        <v>17</v>
      </c>
      <c r="C220" s="6">
        <v>45313</v>
      </c>
      <c r="D220" s="26">
        <v>0.74383101851851852</v>
      </c>
    </row>
    <row r="221" spans="1:4" x14ac:dyDescent="0.25">
      <c r="A221" s="7" t="str">
        <f>Table1[[#This Row],[No.]]&amp;Table1[[#This Row],[Date]]</f>
        <v>1745314</v>
      </c>
      <c r="B221">
        <v>17</v>
      </c>
      <c r="C221" s="6">
        <v>45314</v>
      </c>
      <c r="D221" s="26">
        <v>0.55821759259259263</v>
      </c>
    </row>
    <row r="222" spans="1:4" x14ac:dyDescent="0.25">
      <c r="A222" s="7" t="str">
        <f>Table1[[#This Row],[No.]]&amp;Table1[[#This Row],[Date]]</f>
        <v>1745314</v>
      </c>
      <c r="B222">
        <v>17</v>
      </c>
      <c r="C222" s="6">
        <v>45314</v>
      </c>
      <c r="D222" s="26">
        <v>0.5582407407407407</v>
      </c>
    </row>
    <row r="223" spans="1:4" x14ac:dyDescent="0.25">
      <c r="A223" s="7" t="str">
        <f>Table1[[#This Row],[No.]]&amp;Table1[[#This Row],[Date]]</f>
        <v>1745314</v>
      </c>
      <c r="B223">
        <v>17</v>
      </c>
      <c r="C223" s="6">
        <v>45314</v>
      </c>
      <c r="D223" s="26">
        <v>0.7524074074074073</v>
      </c>
    </row>
    <row r="224" spans="1:4" x14ac:dyDescent="0.25">
      <c r="A224" s="7" t="str">
        <f>Table1[[#This Row],[No.]]&amp;Table1[[#This Row],[Date]]</f>
        <v>1745315</v>
      </c>
      <c r="B224">
        <v>17</v>
      </c>
      <c r="C224" s="6">
        <v>45315</v>
      </c>
      <c r="D224" s="26">
        <v>0.5502083333333333</v>
      </c>
    </row>
    <row r="225" spans="1:4" x14ac:dyDescent="0.25">
      <c r="A225" s="7" t="str">
        <f>Table1[[#This Row],[No.]]&amp;Table1[[#This Row],[Date]]</f>
        <v>1745315</v>
      </c>
      <c r="B225">
        <v>17</v>
      </c>
      <c r="C225" s="6">
        <v>45315</v>
      </c>
      <c r="D225" s="26">
        <v>0.71167824074074071</v>
      </c>
    </row>
    <row r="226" spans="1:4" x14ac:dyDescent="0.25">
      <c r="A226" s="7" t="str">
        <f>Table1[[#This Row],[No.]]&amp;Table1[[#This Row],[Date]]</f>
        <v>1745315</v>
      </c>
      <c r="B226">
        <v>17</v>
      </c>
      <c r="C226" s="6">
        <v>45315</v>
      </c>
      <c r="D226" s="26">
        <v>0.7117013888888889</v>
      </c>
    </row>
    <row r="227" spans="1:4" x14ac:dyDescent="0.25">
      <c r="A227" s="7" t="str">
        <f>Table1[[#This Row],[No.]]&amp;Table1[[#This Row],[Date]]</f>
        <v>1745316</v>
      </c>
      <c r="B227">
        <v>17</v>
      </c>
      <c r="C227" s="6">
        <v>45316</v>
      </c>
      <c r="D227" s="26">
        <v>0.54953703703703705</v>
      </c>
    </row>
    <row r="228" spans="1:4" x14ac:dyDescent="0.25">
      <c r="A228" s="7" t="str">
        <f>Table1[[#This Row],[No.]]&amp;Table1[[#This Row],[Date]]</f>
        <v>1745316</v>
      </c>
      <c r="B228">
        <v>17</v>
      </c>
      <c r="C228" s="6">
        <v>45316</v>
      </c>
      <c r="D228" s="26">
        <v>0.54956018518518512</v>
      </c>
    </row>
    <row r="229" spans="1:4" x14ac:dyDescent="0.25">
      <c r="A229" s="7" t="str">
        <f>Table1[[#This Row],[No.]]&amp;Table1[[#This Row],[Date]]</f>
        <v>1745316</v>
      </c>
      <c r="B229">
        <v>17</v>
      </c>
      <c r="C229" s="6">
        <v>45316</v>
      </c>
      <c r="D229" s="26">
        <v>0.7322453703703703</v>
      </c>
    </row>
    <row r="230" spans="1:4" x14ac:dyDescent="0.25">
      <c r="A230" s="7" t="str">
        <f>Table1[[#This Row],[No.]]&amp;Table1[[#This Row],[Date]]</f>
        <v>1745317</v>
      </c>
      <c r="B230">
        <v>17</v>
      </c>
      <c r="C230" s="6">
        <v>45317</v>
      </c>
      <c r="D230" s="26">
        <v>0.5543865740740741</v>
      </c>
    </row>
    <row r="231" spans="1:4" x14ac:dyDescent="0.25">
      <c r="A231" s="7" t="str">
        <f>Table1[[#This Row],[No.]]&amp;Table1[[#This Row],[Date]]</f>
        <v>1745317</v>
      </c>
      <c r="B231">
        <v>17</v>
      </c>
      <c r="C231" s="6">
        <v>45317</v>
      </c>
      <c r="D231" s="26">
        <v>0.78545138888888888</v>
      </c>
    </row>
    <row r="232" spans="1:4" x14ac:dyDescent="0.25">
      <c r="A232" s="7" t="str">
        <f>Table1[[#This Row],[No.]]&amp;Table1[[#This Row],[Date]]</f>
        <v>1745318</v>
      </c>
      <c r="B232">
        <v>17</v>
      </c>
      <c r="C232" s="6">
        <v>45318</v>
      </c>
      <c r="D232" s="26">
        <v>0.55460648148148151</v>
      </c>
    </row>
    <row r="233" spans="1:4" x14ac:dyDescent="0.25">
      <c r="A233" s="7" t="str">
        <f>Table1[[#This Row],[No.]]&amp;Table1[[#This Row],[Date]]</f>
        <v>1745318</v>
      </c>
      <c r="B233">
        <v>17</v>
      </c>
      <c r="C233" s="6">
        <v>45318</v>
      </c>
      <c r="D233" s="26">
        <v>0.74181712962962953</v>
      </c>
    </row>
    <row r="234" spans="1:4" x14ac:dyDescent="0.25">
      <c r="A234" s="7" t="str">
        <f>Table1[[#This Row],[No.]]&amp;Table1[[#This Row],[Date]]</f>
        <v>2345300</v>
      </c>
      <c r="B234">
        <v>23</v>
      </c>
      <c r="C234" s="6">
        <v>45300</v>
      </c>
      <c r="D234" s="26">
        <v>0.56194444444444447</v>
      </c>
    </row>
    <row r="235" spans="1:4" x14ac:dyDescent="0.25">
      <c r="A235" s="7" t="str">
        <f>Table1[[#This Row],[No.]]&amp;Table1[[#This Row],[Date]]</f>
        <v>2345313</v>
      </c>
      <c r="B235">
        <v>23</v>
      </c>
      <c r="C235" s="6">
        <v>45313</v>
      </c>
      <c r="D235" s="26">
        <v>0.91385416666666675</v>
      </c>
    </row>
    <row r="236" spans="1:4" x14ac:dyDescent="0.25">
      <c r="A236" s="7" t="str">
        <f>Table1[[#This Row],[No.]]&amp;Table1[[#This Row],[Date]]</f>
        <v>2345319</v>
      </c>
      <c r="B236">
        <v>23</v>
      </c>
      <c r="C236" s="6">
        <v>45319</v>
      </c>
      <c r="D236" s="26">
        <v>0.96743055555555557</v>
      </c>
    </row>
    <row r="237" spans="1:4" x14ac:dyDescent="0.25">
      <c r="A237" s="7" t="str">
        <f>Table1[[#This Row],[No.]]&amp;Table1[[#This Row],[Date]]</f>
        <v>2545292</v>
      </c>
      <c r="B237">
        <v>25</v>
      </c>
      <c r="C237" s="6">
        <v>45292</v>
      </c>
      <c r="D237" s="26">
        <v>0.53738425925925926</v>
      </c>
    </row>
    <row r="238" spans="1:4" x14ac:dyDescent="0.25">
      <c r="A238" s="7" t="str">
        <f>Table1[[#This Row],[No.]]&amp;Table1[[#This Row],[Date]]</f>
        <v>2545292</v>
      </c>
      <c r="B238">
        <v>25</v>
      </c>
      <c r="C238" s="6">
        <v>45292</v>
      </c>
      <c r="D238" s="26">
        <v>0.87783564814814818</v>
      </c>
    </row>
    <row r="239" spans="1:4" x14ac:dyDescent="0.25">
      <c r="A239" s="7" t="str">
        <f>Table1[[#This Row],[No.]]&amp;Table1[[#This Row],[Date]]</f>
        <v>2545293</v>
      </c>
      <c r="B239">
        <v>25</v>
      </c>
      <c r="C239" s="6">
        <v>45293</v>
      </c>
      <c r="D239" s="26">
        <v>0.5489236111111111</v>
      </c>
    </row>
    <row r="240" spans="1:4" x14ac:dyDescent="0.25">
      <c r="A240" s="7" t="str">
        <f>Table1[[#This Row],[No.]]&amp;Table1[[#This Row],[Date]]</f>
        <v>2545293</v>
      </c>
      <c r="B240">
        <v>25</v>
      </c>
      <c r="C240" s="6">
        <v>45293</v>
      </c>
      <c r="D240" s="26">
        <v>0.88430555555555557</v>
      </c>
    </row>
    <row r="241" spans="1:4" x14ac:dyDescent="0.25">
      <c r="A241" s="7" t="str">
        <f>Table1[[#This Row],[No.]]&amp;Table1[[#This Row],[Date]]</f>
        <v>2545294</v>
      </c>
      <c r="B241">
        <v>25</v>
      </c>
      <c r="C241" s="6">
        <v>45294</v>
      </c>
      <c r="D241" s="26">
        <v>0.54334490740740737</v>
      </c>
    </row>
    <row r="242" spans="1:4" x14ac:dyDescent="0.25">
      <c r="A242" s="7" t="str">
        <f>Table1[[#This Row],[No.]]&amp;Table1[[#This Row],[Date]]</f>
        <v>2545294</v>
      </c>
      <c r="B242">
        <v>25</v>
      </c>
      <c r="C242" s="6">
        <v>45294</v>
      </c>
      <c r="D242" s="26">
        <v>0.87702546296296291</v>
      </c>
    </row>
    <row r="243" spans="1:4" x14ac:dyDescent="0.25">
      <c r="A243" s="7" t="str">
        <f>Table1[[#This Row],[No.]]&amp;Table1[[#This Row],[Date]]</f>
        <v>2545297</v>
      </c>
      <c r="B243">
        <v>25</v>
      </c>
      <c r="C243" s="6">
        <v>45297</v>
      </c>
      <c r="D243" s="26">
        <v>0.56118055555555557</v>
      </c>
    </row>
    <row r="244" spans="1:4" x14ac:dyDescent="0.25">
      <c r="A244" s="7" t="str">
        <f>Table1[[#This Row],[No.]]&amp;Table1[[#This Row],[Date]]</f>
        <v>2545297</v>
      </c>
      <c r="B244">
        <v>25</v>
      </c>
      <c r="C244" s="6">
        <v>45297</v>
      </c>
      <c r="D244" s="26">
        <v>0.88734953703703701</v>
      </c>
    </row>
    <row r="245" spans="1:4" x14ac:dyDescent="0.25">
      <c r="A245" s="7" t="str">
        <f>Table1[[#This Row],[No.]]&amp;Table1[[#This Row],[Date]]</f>
        <v>2545298</v>
      </c>
      <c r="B245">
        <v>25</v>
      </c>
      <c r="C245" s="6">
        <v>45298</v>
      </c>
      <c r="D245" s="26">
        <v>0.54585648148148147</v>
      </c>
    </row>
    <row r="246" spans="1:4" x14ac:dyDescent="0.25">
      <c r="A246" s="7" t="str">
        <f>Table1[[#This Row],[No.]]&amp;Table1[[#This Row],[Date]]</f>
        <v>2545298</v>
      </c>
      <c r="B246">
        <v>25</v>
      </c>
      <c r="C246" s="6">
        <v>45298</v>
      </c>
      <c r="D246" s="26">
        <v>0.86789351851851848</v>
      </c>
    </row>
    <row r="247" spans="1:4" x14ac:dyDescent="0.25">
      <c r="A247" s="7" t="str">
        <f>Table1[[#This Row],[No.]]&amp;Table1[[#This Row],[Date]]</f>
        <v>2545299</v>
      </c>
      <c r="B247">
        <v>25</v>
      </c>
      <c r="C247" s="6">
        <v>45299</v>
      </c>
      <c r="D247" s="26">
        <v>0.55667824074074079</v>
      </c>
    </row>
    <row r="248" spans="1:4" x14ac:dyDescent="0.25">
      <c r="A248" s="7" t="str">
        <f>Table1[[#This Row],[No.]]&amp;Table1[[#This Row],[Date]]</f>
        <v>2545299</v>
      </c>
      <c r="B248">
        <v>25</v>
      </c>
      <c r="C248" s="6">
        <v>45299</v>
      </c>
      <c r="D248" s="26">
        <v>0.85947916666666668</v>
      </c>
    </row>
    <row r="249" spans="1:4" x14ac:dyDescent="0.25">
      <c r="A249" s="7" t="str">
        <f>Table1[[#This Row],[No.]]&amp;Table1[[#This Row],[Date]]</f>
        <v>2545299</v>
      </c>
      <c r="B249">
        <v>25</v>
      </c>
      <c r="C249" s="6">
        <v>45299</v>
      </c>
      <c r="D249" s="26">
        <v>0.85950231481481476</v>
      </c>
    </row>
    <row r="250" spans="1:4" x14ac:dyDescent="0.25">
      <c r="A250" s="7" t="str">
        <f>Table1[[#This Row],[No.]]&amp;Table1[[#This Row],[Date]]</f>
        <v>2545300</v>
      </c>
      <c r="B250">
        <v>25</v>
      </c>
      <c r="C250" s="6">
        <v>45300</v>
      </c>
      <c r="D250" s="26">
        <v>0.56783564814814813</v>
      </c>
    </row>
    <row r="251" spans="1:4" x14ac:dyDescent="0.25">
      <c r="A251" s="7" t="str">
        <f>Table1[[#This Row],[No.]]&amp;Table1[[#This Row],[Date]]</f>
        <v>2545300</v>
      </c>
      <c r="B251">
        <v>25</v>
      </c>
      <c r="C251" s="6">
        <v>45300</v>
      </c>
      <c r="D251" s="26">
        <v>0.87353009259259251</v>
      </c>
    </row>
    <row r="252" spans="1:4" x14ac:dyDescent="0.25">
      <c r="A252" s="7" t="str">
        <f>Table1[[#This Row],[No.]]&amp;Table1[[#This Row],[Date]]</f>
        <v>2545301</v>
      </c>
      <c r="B252">
        <v>25</v>
      </c>
      <c r="C252" s="6">
        <v>45301</v>
      </c>
      <c r="D252" s="26">
        <v>0.5472569444444445</v>
      </c>
    </row>
    <row r="253" spans="1:4" x14ac:dyDescent="0.25">
      <c r="A253" s="7" t="str">
        <f>Table1[[#This Row],[No.]]&amp;Table1[[#This Row],[Date]]</f>
        <v>2545301</v>
      </c>
      <c r="B253">
        <v>25</v>
      </c>
      <c r="C253" s="6">
        <v>45301</v>
      </c>
      <c r="D253" s="26">
        <v>0.82990740740740743</v>
      </c>
    </row>
    <row r="254" spans="1:4" x14ac:dyDescent="0.25">
      <c r="A254" s="7" t="str">
        <f>Table1[[#This Row],[No.]]&amp;Table1[[#This Row],[Date]]</f>
        <v>2545304</v>
      </c>
      <c r="B254">
        <v>25</v>
      </c>
      <c r="C254" s="6">
        <v>45304</v>
      </c>
      <c r="D254" s="26">
        <v>0.87872685185185195</v>
      </c>
    </row>
    <row r="255" spans="1:4" x14ac:dyDescent="0.25">
      <c r="A255" s="7" t="str">
        <f>Table1[[#This Row],[No.]]&amp;Table1[[#This Row],[Date]]</f>
        <v>2545305</v>
      </c>
      <c r="B255">
        <v>25</v>
      </c>
      <c r="C255" s="6">
        <v>45305</v>
      </c>
      <c r="D255" s="26">
        <v>0.54728009259259258</v>
      </c>
    </row>
    <row r="256" spans="1:4" x14ac:dyDescent="0.25">
      <c r="A256" s="7" t="str">
        <f>Table1[[#This Row],[No.]]&amp;Table1[[#This Row],[Date]]</f>
        <v>2545305</v>
      </c>
      <c r="B256">
        <v>25</v>
      </c>
      <c r="C256" s="6">
        <v>45305</v>
      </c>
      <c r="D256" s="26">
        <v>0.87179398148148157</v>
      </c>
    </row>
    <row r="257" spans="1:4" x14ac:dyDescent="0.25">
      <c r="A257" s="7" t="str">
        <f>Table1[[#This Row],[No.]]&amp;Table1[[#This Row],[Date]]</f>
        <v>2545306</v>
      </c>
      <c r="B257">
        <v>25</v>
      </c>
      <c r="C257" s="6">
        <v>45306</v>
      </c>
      <c r="D257" s="26">
        <v>0.56056712962962962</v>
      </c>
    </row>
    <row r="258" spans="1:4" x14ac:dyDescent="0.25">
      <c r="A258" s="7" t="str">
        <f>Table1[[#This Row],[No.]]&amp;Table1[[#This Row],[Date]]</f>
        <v>2545307</v>
      </c>
      <c r="B258">
        <v>25</v>
      </c>
      <c r="C258" s="6">
        <v>45307</v>
      </c>
      <c r="D258" s="26">
        <v>0.55902777777777779</v>
      </c>
    </row>
    <row r="259" spans="1:4" x14ac:dyDescent="0.25">
      <c r="A259" s="7" t="str">
        <f>Table1[[#This Row],[No.]]&amp;Table1[[#This Row],[Date]]</f>
        <v>2545308</v>
      </c>
      <c r="B259">
        <v>25</v>
      </c>
      <c r="C259" s="6">
        <v>45308</v>
      </c>
      <c r="D259" s="26">
        <v>0.56833333333333336</v>
      </c>
    </row>
    <row r="260" spans="1:4" x14ac:dyDescent="0.25">
      <c r="A260" s="7" t="str">
        <f>Table1[[#This Row],[No.]]&amp;Table1[[#This Row],[Date]]</f>
        <v>2545308</v>
      </c>
      <c r="B260">
        <v>25</v>
      </c>
      <c r="C260" s="6">
        <v>45308</v>
      </c>
      <c r="D260" s="26">
        <v>0.88079861111111113</v>
      </c>
    </row>
    <row r="261" spans="1:4" x14ac:dyDescent="0.25">
      <c r="A261" s="7" t="str">
        <f>Table1[[#This Row],[No.]]&amp;Table1[[#This Row],[Date]]</f>
        <v>2545311</v>
      </c>
      <c r="B261">
        <v>25</v>
      </c>
      <c r="C261" s="6">
        <v>45311</v>
      </c>
      <c r="D261" s="26">
        <v>0.56641203703703702</v>
      </c>
    </row>
    <row r="262" spans="1:4" x14ac:dyDescent="0.25">
      <c r="A262" s="7" t="str">
        <f>Table1[[#This Row],[No.]]&amp;Table1[[#This Row],[Date]]</f>
        <v>2545311</v>
      </c>
      <c r="B262">
        <v>25</v>
      </c>
      <c r="C262" s="6">
        <v>45311</v>
      </c>
      <c r="D262" s="26">
        <v>0.88224537037037043</v>
      </c>
    </row>
    <row r="263" spans="1:4" x14ac:dyDescent="0.25">
      <c r="A263" s="7" t="str">
        <f>Table1[[#This Row],[No.]]&amp;Table1[[#This Row],[Date]]</f>
        <v>2545312</v>
      </c>
      <c r="B263">
        <v>25</v>
      </c>
      <c r="C263" s="6">
        <v>45312</v>
      </c>
      <c r="D263" s="26">
        <v>0.5554513888888889</v>
      </c>
    </row>
    <row r="264" spans="1:4" x14ac:dyDescent="0.25">
      <c r="A264" s="7" t="str">
        <f>Table1[[#This Row],[No.]]&amp;Table1[[#This Row],[Date]]</f>
        <v>2545312</v>
      </c>
      <c r="B264">
        <v>25</v>
      </c>
      <c r="C264" s="6">
        <v>45312</v>
      </c>
      <c r="D264" s="26">
        <v>0.55546296296296294</v>
      </c>
    </row>
    <row r="265" spans="1:4" x14ac:dyDescent="0.25">
      <c r="A265" s="7" t="str">
        <f>Table1[[#This Row],[No.]]&amp;Table1[[#This Row],[Date]]</f>
        <v>2545312</v>
      </c>
      <c r="B265">
        <v>25</v>
      </c>
      <c r="C265" s="6">
        <v>45312</v>
      </c>
      <c r="D265" s="26">
        <v>0.87709490740740748</v>
      </c>
    </row>
    <row r="266" spans="1:4" x14ac:dyDescent="0.25">
      <c r="A266" s="7" t="str">
        <f>Table1[[#This Row],[No.]]&amp;Table1[[#This Row],[Date]]</f>
        <v>2545313</v>
      </c>
      <c r="B266">
        <v>25</v>
      </c>
      <c r="C266" s="6">
        <v>45313</v>
      </c>
      <c r="D266" s="26">
        <v>0.55204861111111114</v>
      </c>
    </row>
    <row r="267" spans="1:4" x14ac:dyDescent="0.25">
      <c r="A267" s="7" t="str">
        <f>Table1[[#This Row],[No.]]&amp;Table1[[#This Row],[Date]]</f>
        <v>2545314</v>
      </c>
      <c r="B267">
        <v>25</v>
      </c>
      <c r="C267" s="6">
        <v>45314</v>
      </c>
      <c r="D267" s="26">
        <v>0.55636574074074074</v>
      </c>
    </row>
    <row r="268" spans="1:4" x14ac:dyDescent="0.25">
      <c r="A268" s="7" t="str">
        <f>Table1[[#This Row],[No.]]&amp;Table1[[#This Row],[Date]]</f>
        <v>2545317</v>
      </c>
      <c r="B268">
        <v>25</v>
      </c>
      <c r="C268" s="6">
        <v>45317</v>
      </c>
      <c r="D268" s="26">
        <v>0.55134259259259266</v>
      </c>
    </row>
    <row r="269" spans="1:4" x14ac:dyDescent="0.25">
      <c r="A269" s="7" t="str">
        <f>Table1[[#This Row],[No.]]&amp;Table1[[#This Row],[Date]]</f>
        <v>2545317</v>
      </c>
      <c r="B269">
        <v>25</v>
      </c>
      <c r="C269" s="6">
        <v>45317</v>
      </c>
      <c r="D269" s="26">
        <v>0.86811342592592589</v>
      </c>
    </row>
    <row r="270" spans="1:4" x14ac:dyDescent="0.25">
      <c r="A270" s="7" t="str">
        <f>Table1[[#This Row],[No.]]&amp;Table1[[#This Row],[Date]]</f>
        <v>2545318</v>
      </c>
      <c r="B270">
        <v>25</v>
      </c>
      <c r="C270" s="6">
        <v>45318</v>
      </c>
      <c r="D270" s="26">
        <v>0.55202546296296295</v>
      </c>
    </row>
    <row r="271" spans="1:4" x14ac:dyDescent="0.25">
      <c r="A271" s="7" t="str">
        <f>Table1[[#This Row],[No.]]&amp;Table1[[#This Row],[Date]]</f>
        <v>2545318</v>
      </c>
      <c r="B271">
        <v>25</v>
      </c>
      <c r="C271" s="6">
        <v>45318</v>
      </c>
      <c r="D271" s="26">
        <v>0.55204861111111114</v>
      </c>
    </row>
    <row r="272" spans="1:4" x14ac:dyDescent="0.25">
      <c r="A272" s="7" t="str">
        <f>Table1[[#This Row],[No.]]&amp;Table1[[#This Row],[Date]]</f>
        <v>2545318</v>
      </c>
      <c r="B272">
        <v>25</v>
      </c>
      <c r="C272" s="6">
        <v>45318</v>
      </c>
      <c r="D272" s="26">
        <v>0.8835763888888889</v>
      </c>
    </row>
    <row r="273" spans="1:4" x14ac:dyDescent="0.25">
      <c r="A273" s="7" t="str">
        <f>Table1[[#This Row],[No.]]&amp;Table1[[#This Row],[Date]]</f>
        <v>2545319</v>
      </c>
      <c r="B273">
        <v>25</v>
      </c>
      <c r="C273" s="6">
        <v>45319</v>
      </c>
      <c r="D273" s="26">
        <v>0.55817129629629625</v>
      </c>
    </row>
    <row r="274" spans="1:4" x14ac:dyDescent="0.25">
      <c r="A274" s="7" t="str">
        <f>Table1[[#This Row],[No.]]&amp;Table1[[#This Row],[Date]]</f>
        <v>3645292</v>
      </c>
      <c r="B274">
        <v>36</v>
      </c>
      <c r="C274" s="6">
        <v>45292</v>
      </c>
      <c r="D274" s="26">
        <v>0.59650462962962958</v>
      </c>
    </row>
    <row r="275" spans="1:4" x14ac:dyDescent="0.25">
      <c r="A275" s="7" t="str">
        <f>Table1[[#This Row],[No.]]&amp;Table1[[#This Row],[Date]]</f>
        <v>3645292</v>
      </c>
      <c r="B275">
        <v>36</v>
      </c>
      <c r="C275" s="6">
        <v>45292</v>
      </c>
      <c r="D275" s="26">
        <v>0.93744212962962958</v>
      </c>
    </row>
    <row r="276" spans="1:4" x14ac:dyDescent="0.25">
      <c r="A276" s="7" t="str">
        <f>Table1[[#This Row],[No.]]&amp;Table1[[#This Row],[Date]]</f>
        <v>3645296</v>
      </c>
      <c r="B276">
        <v>36</v>
      </c>
      <c r="C276" s="6">
        <v>45296</v>
      </c>
      <c r="D276" s="26">
        <v>0.59924768518518523</v>
      </c>
    </row>
    <row r="277" spans="1:4" x14ac:dyDescent="0.25">
      <c r="A277" s="7" t="str">
        <f>Table1[[#This Row],[No.]]&amp;Table1[[#This Row],[Date]]</f>
        <v>3645296</v>
      </c>
      <c r="B277">
        <v>36</v>
      </c>
      <c r="C277" s="6">
        <v>45296</v>
      </c>
      <c r="D277" s="26">
        <v>0.9955208333333333</v>
      </c>
    </row>
    <row r="278" spans="1:4" x14ac:dyDescent="0.25">
      <c r="A278" s="7" t="str">
        <f>Table1[[#This Row],[No.]]&amp;Table1[[#This Row],[Date]]</f>
        <v>3645302</v>
      </c>
      <c r="B278">
        <v>36</v>
      </c>
      <c r="C278" s="6">
        <v>45302</v>
      </c>
      <c r="D278" s="26">
        <v>0.54832175925925919</v>
      </c>
    </row>
    <row r="279" spans="1:4" x14ac:dyDescent="0.25">
      <c r="A279" s="7" t="str">
        <f>Table1[[#This Row],[No.]]&amp;Table1[[#This Row],[Date]]</f>
        <v>3645302</v>
      </c>
      <c r="B279">
        <v>36</v>
      </c>
      <c r="C279" s="6">
        <v>45302</v>
      </c>
      <c r="D279" s="26">
        <v>0.91961805555555554</v>
      </c>
    </row>
    <row r="280" spans="1:4" x14ac:dyDescent="0.25">
      <c r="A280" s="7" t="str">
        <f>Table1[[#This Row],[No.]]&amp;Table1[[#This Row],[Date]]</f>
        <v>3645303</v>
      </c>
      <c r="B280">
        <v>36</v>
      </c>
      <c r="C280" s="6">
        <v>45303</v>
      </c>
      <c r="D280" s="26">
        <v>0.52423611111111112</v>
      </c>
    </row>
    <row r="281" spans="1:4" x14ac:dyDescent="0.25">
      <c r="A281" s="7" t="str">
        <f>Table1[[#This Row],[No.]]&amp;Table1[[#This Row],[Date]]</f>
        <v>3645303</v>
      </c>
      <c r="B281">
        <v>36</v>
      </c>
      <c r="C281" s="6">
        <v>45303</v>
      </c>
      <c r="D281" s="26">
        <v>0.91461805555555553</v>
      </c>
    </row>
    <row r="282" spans="1:4" x14ac:dyDescent="0.25">
      <c r="A282" s="7" t="str">
        <f>Table1[[#This Row],[No.]]&amp;Table1[[#This Row],[Date]]</f>
        <v>3645305</v>
      </c>
      <c r="B282">
        <v>36</v>
      </c>
      <c r="C282" s="6">
        <v>45305</v>
      </c>
      <c r="D282" s="26">
        <v>0.58929398148148149</v>
      </c>
    </row>
    <row r="283" spans="1:4" x14ac:dyDescent="0.25">
      <c r="A283" s="7" t="str">
        <f>Table1[[#This Row],[No.]]&amp;Table1[[#This Row],[Date]]</f>
        <v>3645305</v>
      </c>
      <c r="B283">
        <v>36</v>
      </c>
      <c r="C283" s="6">
        <v>45305</v>
      </c>
      <c r="D283" s="26">
        <v>0.94998842592592592</v>
      </c>
    </row>
    <row r="284" spans="1:4" x14ac:dyDescent="0.25">
      <c r="A284" s="7" t="str">
        <f>Table1[[#This Row],[No.]]&amp;Table1[[#This Row],[Date]]</f>
        <v>3645306</v>
      </c>
      <c r="B284">
        <v>36</v>
      </c>
      <c r="C284" s="6">
        <v>45306</v>
      </c>
      <c r="D284" s="26">
        <v>0.56487268518518519</v>
      </c>
    </row>
    <row r="285" spans="1:4" x14ac:dyDescent="0.25">
      <c r="A285" s="7" t="str">
        <f>Table1[[#This Row],[No.]]&amp;Table1[[#This Row],[Date]]</f>
        <v>3645306</v>
      </c>
      <c r="B285">
        <v>36</v>
      </c>
      <c r="C285" s="6">
        <v>45306</v>
      </c>
      <c r="D285" s="26">
        <v>0.92246527777777787</v>
      </c>
    </row>
    <row r="286" spans="1:4" x14ac:dyDescent="0.25">
      <c r="A286" s="7" t="str">
        <f>Table1[[#This Row],[No.]]&amp;Table1[[#This Row],[Date]]</f>
        <v>3645310</v>
      </c>
      <c r="B286">
        <v>36</v>
      </c>
      <c r="C286" s="6">
        <v>45310</v>
      </c>
      <c r="D286" s="26">
        <v>0.53643518518518518</v>
      </c>
    </row>
    <row r="287" spans="1:4" x14ac:dyDescent="0.25">
      <c r="A287" s="7" t="str">
        <f>Table1[[#This Row],[No.]]&amp;Table1[[#This Row],[Date]]</f>
        <v>3645310</v>
      </c>
      <c r="B287">
        <v>36</v>
      </c>
      <c r="C287" s="6">
        <v>45310</v>
      </c>
      <c r="D287" s="26">
        <v>0.95062500000000005</v>
      </c>
    </row>
    <row r="288" spans="1:4" x14ac:dyDescent="0.25">
      <c r="A288" s="7" t="str">
        <f>Table1[[#This Row],[No.]]&amp;Table1[[#This Row],[Date]]</f>
        <v>3645311</v>
      </c>
      <c r="B288">
        <v>36</v>
      </c>
      <c r="C288" s="6">
        <v>45311</v>
      </c>
      <c r="D288" s="26">
        <v>0.54995370370370367</v>
      </c>
    </row>
    <row r="289" spans="1:4" x14ac:dyDescent="0.25">
      <c r="A289" s="7" t="str">
        <f>Table1[[#This Row],[No.]]&amp;Table1[[#This Row],[Date]]</f>
        <v>3645312</v>
      </c>
      <c r="B289">
        <v>36</v>
      </c>
      <c r="C289" s="6">
        <v>45312</v>
      </c>
      <c r="D289" s="26">
        <v>0.50983796296296291</v>
      </c>
    </row>
    <row r="290" spans="1:4" x14ac:dyDescent="0.25">
      <c r="A290" s="7" t="str">
        <f>Table1[[#This Row],[No.]]&amp;Table1[[#This Row],[Date]]</f>
        <v>3645312</v>
      </c>
      <c r="B290">
        <v>36</v>
      </c>
      <c r="C290" s="6">
        <v>45312</v>
      </c>
      <c r="D290" s="26">
        <v>0.62878472222222226</v>
      </c>
    </row>
    <row r="291" spans="1:4" x14ac:dyDescent="0.25">
      <c r="A291" s="7" t="str">
        <f>Table1[[#This Row],[No.]]&amp;Table1[[#This Row],[Date]]</f>
        <v>3645312</v>
      </c>
      <c r="B291">
        <v>36</v>
      </c>
      <c r="C291" s="6">
        <v>45312</v>
      </c>
      <c r="D291" s="26">
        <v>0.91935185185185186</v>
      </c>
    </row>
    <row r="292" spans="1:4" x14ac:dyDescent="0.25">
      <c r="A292" s="7" t="str">
        <f>Table1[[#This Row],[No.]]&amp;Table1[[#This Row],[Date]]</f>
        <v>3645313</v>
      </c>
      <c r="B292">
        <v>36</v>
      </c>
      <c r="C292" s="6">
        <v>45313</v>
      </c>
      <c r="D292" s="26">
        <v>0.55543981481481486</v>
      </c>
    </row>
    <row r="293" spans="1:4" x14ac:dyDescent="0.25">
      <c r="A293" s="7" t="str">
        <f>Table1[[#This Row],[No.]]&amp;Table1[[#This Row],[Date]]</f>
        <v>3645313</v>
      </c>
      <c r="B293">
        <v>36</v>
      </c>
      <c r="C293" s="6">
        <v>45313</v>
      </c>
      <c r="D293" s="26">
        <v>0.90921296296296295</v>
      </c>
    </row>
    <row r="294" spans="1:4" x14ac:dyDescent="0.25">
      <c r="A294" s="7" t="str">
        <f>Table1[[#This Row],[No.]]&amp;Table1[[#This Row],[Date]]</f>
        <v>3645316</v>
      </c>
      <c r="B294">
        <v>36</v>
      </c>
      <c r="C294" s="6">
        <v>45316</v>
      </c>
      <c r="D294" s="26">
        <v>0.54150462962962964</v>
      </c>
    </row>
    <row r="295" spans="1:4" x14ac:dyDescent="0.25">
      <c r="A295" s="7" t="str">
        <f>Table1[[#This Row],[No.]]&amp;Table1[[#This Row],[Date]]</f>
        <v>3645316</v>
      </c>
      <c r="B295">
        <v>36</v>
      </c>
      <c r="C295" s="6">
        <v>45316</v>
      </c>
      <c r="D295" s="26">
        <v>0.9072337962962963</v>
      </c>
    </row>
    <row r="296" spans="1:4" x14ac:dyDescent="0.25">
      <c r="A296" s="7" t="str">
        <f>Table1[[#This Row],[No.]]&amp;Table1[[#This Row],[Date]]</f>
        <v>3645317</v>
      </c>
      <c r="B296">
        <v>36</v>
      </c>
      <c r="C296" s="6">
        <v>45317</v>
      </c>
      <c r="D296" s="26">
        <v>0.54186342592592596</v>
      </c>
    </row>
    <row r="297" spans="1:4" x14ac:dyDescent="0.25">
      <c r="A297" s="7" t="str">
        <f>Table1[[#This Row],[No.]]&amp;Table1[[#This Row],[Date]]</f>
        <v>3645317</v>
      </c>
      <c r="B297">
        <v>36</v>
      </c>
      <c r="C297" s="6">
        <v>45317</v>
      </c>
      <c r="D297" s="26">
        <v>0.91555555555555557</v>
      </c>
    </row>
    <row r="298" spans="1:4" x14ac:dyDescent="0.25">
      <c r="A298" s="7" t="str">
        <f>Table1[[#This Row],[No.]]&amp;Table1[[#This Row],[Date]]</f>
        <v>3645319</v>
      </c>
      <c r="B298">
        <v>36</v>
      </c>
      <c r="C298" s="6">
        <v>45319</v>
      </c>
      <c r="D298" s="26">
        <v>0.55142361111111116</v>
      </c>
    </row>
    <row r="299" spans="1:4" x14ac:dyDescent="0.25">
      <c r="A299" s="7" t="str">
        <f>Table1[[#This Row],[No.]]&amp;Table1[[#This Row],[Date]]</f>
        <v>4045292</v>
      </c>
      <c r="B299">
        <v>40</v>
      </c>
      <c r="C299" s="6">
        <v>45292</v>
      </c>
      <c r="D299" s="26">
        <v>0.54216435185185186</v>
      </c>
    </row>
    <row r="300" spans="1:4" x14ac:dyDescent="0.25">
      <c r="A300" s="7" t="str">
        <f>Table1[[#This Row],[No.]]&amp;Table1[[#This Row],[Date]]</f>
        <v>4045292</v>
      </c>
      <c r="B300">
        <v>40</v>
      </c>
      <c r="C300" s="6">
        <v>45292</v>
      </c>
      <c r="D300" s="26">
        <v>0.94445601851851846</v>
      </c>
    </row>
    <row r="301" spans="1:4" x14ac:dyDescent="0.25">
      <c r="A301" s="7" t="str">
        <f>Table1[[#This Row],[No.]]&amp;Table1[[#This Row],[Date]]</f>
        <v>4045295</v>
      </c>
      <c r="B301">
        <v>40</v>
      </c>
      <c r="C301" s="6">
        <v>45295</v>
      </c>
      <c r="D301" s="26">
        <v>0.53712962962962962</v>
      </c>
    </row>
    <row r="302" spans="1:4" x14ac:dyDescent="0.25">
      <c r="A302" s="7" t="str">
        <f>Table1[[#This Row],[No.]]&amp;Table1[[#This Row],[Date]]</f>
        <v>4045295</v>
      </c>
      <c r="B302">
        <v>40</v>
      </c>
      <c r="C302" s="6">
        <v>45295</v>
      </c>
      <c r="D302" s="26">
        <v>0.91403935185185192</v>
      </c>
    </row>
    <row r="303" spans="1:4" x14ac:dyDescent="0.25">
      <c r="A303" s="7" t="str">
        <f>Table1[[#This Row],[No.]]&amp;Table1[[#This Row],[Date]]</f>
        <v>4045296</v>
      </c>
      <c r="B303">
        <v>40</v>
      </c>
      <c r="C303" s="6">
        <v>45296</v>
      </c>
      <c r="D303" s="26">
        <v>0.52832175925925928</v>
      </c>
    </row>
    <row r="304" spans="1:4" x14ac:dyDescent="0.25">
      <c r="A304" s="7" t="str">
        <f>Table1[[#This Row],[No.]]&amp;Table1[[#This Row],[Date]]</f>
        <v>4045296</v>
      </c>
      <c r="B304">
        <v>40</v>
      </c>
      <c r="C304" s="6">
        <v>45296</v>
      </c>
      <c r="D304" s="26">
        <v>0.98043981481481479</v>
      </c>
    </row>
    <row r="305" spans="1:4" x14ac:dyDescent="0.25">
      <c r="A305" s="7" t="str">
        <f>Table1[[#This Row],[No.]]&amp;Table1[[#This Row],[Date]]</f>
        <v>4045297</v>
      </c>
      <c r="B305">
        <v>40</v>
      </c>
      <c r="C305" s="6">
        <v>45297</v>
      </c>
      <c r="D305" s="26">
        <v>0.53826388888888888</v>
      </c>
    </row>
    <row r="306" spans="1:4" x14ac:dyDescent="0.25">
      <c r="A306" s="7" t="str">
        <f>Table1[[#This Row],[No.]]&amp;Table1[[#This Row],[Date]]</f>
        <v>4045297</v>
      </c>
      <c r="B306">
        <v>40</v>
      </c>
      <c r="C306" s="6">
        <v>45297</v>
      </c>
      <c r="D306" s="26">
        <v>0.53943287037037035</v>
      </c>
    </row>
    <row r="307" spans="1:4" x14ac:dyDescent="0.25">
      <c r="A307" s="7" t="str">
        <f>Table1[[#This Row],[No.]]&amp;Table1[[#This Row],[Date]]</f>
        <v>4045297</v>
      </c>
      <c r="B307">
        <v>40</v>
      </c>
      <c r="C307" s="6">
        <v>45297</v>
      </c>
      <c r="D307" s="26">
        <v>0.92800925925925926</v>
      </c>
    </row>
    <row r="308" spans="1:4" x14ac:dyDescent="0.25">
      <c r="A308" s="7" t="str">
        <f>Table1[[#This Row],[No.]]&amp;Table1[[#This Row],[Date]]</f>
        <v>4045298</v>
      </c>
      <c r="B308">
        <v>40</v>
      </c>
      <c r="C308" s="6">
        <v>45298</v>
      </c>
      <c r="D308" s="26">
        <v>0.55336805555555557</v>
      </c>
    </row>
    <row r="309" spans="1:4" x14ac:dyDescent="0.25">
      <c r="A309" s="7" t="str">
        <f>Table1[[#This Row],[No.]]&amp;Table1[[#This Row],[Date]]</f>
        <v>4045298</v>
      </c>
      <c r="B309">
        <v>40</v>
      </c>
      <c r="C309" s="6">
        <v>45298</v>
      </c>
      <c r="D309" s="26">
        <v>0.85348379629629623</v>
      </c>
    </row>
    <row r="310" spans="1:4" x14ac:dyDescent="0.25">
      <c r="A310" s="7" t="str">
        <f>Table1[[#This Row],[No.]]&amp;Table1[[#This Row],[Date]]</f>
        <v>4045300</v>
      </c>
      <c r="B310">
        <v>40</v>
      </c>
      <c r="C310" s="6">
        <v>45300</v>
      </c>
      <c r="D310" s="26">
        <v>0.54335648148148141</v>
      </c>
    </row>
    <row r="311" spans="1:4" x14ac:dyDescent="0.25">
      <c r="A311" s="7" t="str">
        <f>Table1[[#This Row],[No.]]&amp;Table1[[#This Row],[Date]]</f>
        <v>4045300</v>
      </c>
      <c r="B311">
        <v>40</v>
      </c>
      <c r="C311" s="6">
        <v>45300</v>
      </c>
      <c r="D311" s="26">
        <v>0.91305555555555562</v>
      </c>
    </row>
    <row r="312" spans="1:4" x14ac:dyDescent="0.25">
      <c r="A312" s="7" t="str">
        <f>Table1[[#This Row],[No.]]&amp;Table1[[#This Row],[Date]]</f>
        <v>4045301</v>
      </c>
      <c r="B312">
        <v>40</v>
      </c>
      <c r="C312" s="6">
        <v>45301</v>
      </c>
      <c r="D312" s="26">
        <v>0.55182870370370374</v>
      </c>
    </row>
    <row r="313" spans="1:4" x14ac:dyDescent="0.25">
      <c r="A313" s="7" t="str">
        <f>Table1[[#This Row],[No.]]&amp;Table1[[#This Row],[Date]]</f>
        <v>4045301</v>
      </c>
      <c r="B313">
        <v>40</v>
      </c>
      <c r="C313" s="6">
        <v>45301</v>
      </c>
      <c r="D313" s="26">
        <v>0.82998842592592592</v>
      </c>
    </row>
    <row r="314" spans="1:4" x14ac:dyDescent="0.25">
      <c r="A314" s="7" t="str">
        <f>Table1[[#This Row],[No.]]&amp;Table1[[#This Row],[Date]]</f>
        <v>4045302</v>
      </c>
      <c r="B314">
        <v>40</v>
      </c>
      <c r="C314" s="6">
        <v>45302</v>
      </c>
      <c r="D314" s="26">
        <v>0.54105324074074079</v>
      </c>
    </row>
    <row r="315" spans="1:4" x14ac:dyDescent="0.25">
      <c r="A315" s="7" t="str">
        <f>Table1[[#This Row],[No.]]&amp;Table1[[#This Row],[Date]]</f>
        <v>4045302</v>
      </c>
      <c r="B315">
        <v>40</v>
      </c>
      <c r="C315" s="6">
        <v>45302</v>
      </c>
      <c r="D315" s="26">
        <v>0.8299305555555555</v>
      </c>
    </row>
    <row r="316" spans="1:4" x14ac:dyDescent="0.25">
      <c r="A316" s="7" t="str">
        <f>Table1[[#This Row],[No.]]&amp;Table1[[#This Row],[Date]]</f>
        <v>4045303</v>
      </c>
      <c r="B316">
        <v>40</v>
      </c>
      <c r="C316" s="6">
        <v>45303</v>
      </c>
      <c r="D316" s="26">
        <v>0.53452546296296299</v>
      </c>
    </row>
    <row r="317" spans="1:4" x14ac:dyDescent="0.25">
      <c r="A317" s="7" t="str">
        <f>Table1[[#This Row],[No.]]&amp;Table1[[#This Row],[Date]]</f>
        <v>4045303</v>
      </c>
      <c r="B317">
        <v>40</v>
      </c>
      <c r="C317" s="6">
        <v>45303</v>
      </c>
      <c r="D317" s="26">
        <v>0.91576388888888882</v>
      </c>
    </row>
    <row r="318" spans="1:4" x14ac:dyDescent="0.25">
      <c r="A318" s="7" t="str">
        <f>Table1[[#This Row],[No.]]&amp;Table1[[#This Row],[Date]]</f>
        <v>4045304</v>
      </c>
      <c r="B318">
        <v>40</v>
      </c>
      <c r="C318" s="6">
        <v>45304</v>
      </c>
      <c r="D318" s="26">
        <v>0.54331018518518526</v>
      </c>
    </row>
    <row r="319" spans="1:4" x14ac:dyDescent="0.25">
      <c r="A319" s="7" t="str">
        <f>Table1[[#This Row],[No.]]&amp;Table1[[#This Row],[Date]]</f>
        <v>4045305</v>
      </c>
      <c r="B319">
        <v>40</v>
      </c>
      <c r="C319" s="6">
        <v>45305</v>
      </c>
      <c r="D319" s="26">
        <v>0.55365740740740743</v>
      </c>
    </row>
    <row r="320" spans="1:4" x14ac:dyDescent="0.25">
      <c r="A320" s="7" t="str">
        <f>Table1[[#This Row],[No.]]&amp;Table1[[#This Row],[Date]]</f>
        <v>4045305</v>
      </c>
      <c r="B320">
        <v>40</v>
      </c>
      <c r="C320" s="6">
        <v>45305</v>
      </c>
      <c r="D320" s="26">
        <v>0.9518402777777778</v>
      </c>
    </row>
    <row r="321" spans="1:4" x14ac:dyDescent="0.25">
      <c r="A321" s="7" t="str">
        <f>Table1[[#This Row],[No.]]&amp;Table1[[#This Row],[Date]]</f>
        <v>4045306</v>
      </c>
      <c r="B321">
        <v>40</v>
      </c>
      <c r="C321" s="6">
        <v>45306</v>
      </c>
      <c r="D321" s="26">
        <v>0.64353009259259253</v>
      </c>
    </row>
    <row r="322" spans="1:4" x14ac:dyDescent="0.25">
      <c r="A322" s="7" t="str">
        <f>Table1[[#This Row],[No.]]&amp;Table1[[#This Row],[Date]]</f>
        <v>4045306</v>
      </c>
      <c r="B322">
        <v>40</v>
      </c>
      <c r="C322" s="6">
        <v>45306</v>
      </c>
      <c r="D322" s="26">
        <v>0.94440972222222219</v>
      </c>
    </row>
    <row r="323" spans="1:4" x14ac:dyDescent="0.25">
      <c r="A323" s="7" t="str">
        <f>Table1[[#This Row],[No.]]&amp;Table1[[#This Row],[Date]]</f>
        <v>4045307</v>
      </c>
      <c r="B323">
        <v>40</v>
      </c>
      <c r="C323" s="6">
        <v>45307</v>
      </c>
      <c r="D323" s="26">
        <v>0.60431712962962958</v>
      </c>
    </row>
    <row r="324" spans="1:4" x14ac:dyDescent="0.25">
      <c r="A324" s="7" t="str">
        <f>Table1[[#This Row],[No.]]&amp;Table1[[#This Row],[Date]]</f>
        <v>4045307</v>
      </c>
      <c r="B324">
        <v>40</v>
      </c>
      <c r="C324" s="6">
        <v>45307</v>
      </c>
      <c r="D324" s="26">
        <v>0.95672453703703697</v>
      </c>
    </row>
    <row r="325" spans="1:4" x14ac:dyDescent="0.25">
      <c r="A325" s="7" t="str">
        <f>Table1[[#This Row],[No.]]&amp;Table1[[#This Row],[Date]]</f>
        <v>4045310</v>
      </c>
      <c r="B325">
        <v>40</v>
      </c>
      <c r="C325" s="6">
        <v>45310</v>
      </c>
      <c r="D325" s="26">
        <v>0.53528935185185189</v>
      </c>
    </row>
    <row r="326" spans="1:4" x14ac:dyDescent="0.25">
      <c r="A326" s="7" t="str">
        <f>Table1[[#This Row],[No.]]&amp;Table1[[#This Row],[Date]]</f>
        <v>4045310</v>
      </c>
      <c r="B326">
        <v>40</v>
      </c>
      <c r="C326" s="6">
        <v>45310</v>
      </c>
      <c r="D326" s="26">
        <v>0.95567129629629621</v>
      </c>
    </row>
    <row r="327" spans="1:4" x14ac:dyDescent="0.25">
      <c r="A327" s="7" t="str">
        <f>Table1[[#This Row],[No.]]&amp;Table1[[#This Row],[Date]]</f>
        <v>4045311</v>
      </c>
      <c r="B327">
        <v>40</v>
      </c>
      <c r="C327" s="6">
        <v>45311</v>
      </c>
      <c r="D327" s="26">
        <v>0.54473379629629626</v>
      </c>
    </row>
    <row r="328" spans="1:4" x14ac:dyDescent="0.25">
      <c r="A328" s="7" t="str">
        <f>Table1[[#This Row],[No.]]&amp;Table1[[#This Row],[Date]]</f>
        <v>4045311</v>
      </c>
      <c r="B328">
        <v>40</v>
      </c>
      <c r="C328" s="6">
        <v>45311</v>
      </c>
      <c r="D328" s="26">
        <v>0.94134259259259256</v>
      </c>
    </row>
    <row r="329" spans="1:4" x14ac:dyDescent="0.25">
      <c r="A329" s="7" t="str">
        <f>Table1[[#This Row],[No.]]&amp;Table1[[#This Row],[Date]]</f>
        <v>4045312</v>
      </c>
      <c r="B329">
        <v>40</v>
      </c>
      <c r="C329" s="6">
        <v>45312</v>
      </c>
      <c r="D329" s="26">
        <v>0.54221064814814812</v>
      </c>
    </row>
    <row r="330" spans="1:4" x14ac:dyDescent="0.25">
      <c r="A330" s="7" t="str">
        <f>Table1[[#This Row],[No.]]&amp;Table1[[#This Row],[Date]]</f>
        <v>4045312</v>
      </c>
      <c r="B330">
        <v>40</v>
      </c>
      <c r="C330" s="6">
        <v>45312</v>
      </c>
      <c r="D330" s="26">
        <v>0.92173611111111109</v>
      </c>
    </row>
    <row r="331" spans="1:4" x14ac:dyDescent="0.25">
      <c r="A331" s="7" t="str">
        <f>Table1[[#This Row],[No.]]&amp;Table1[[#This Row],[Date]]</f>
        <v>4045313</v>
      </c>
      <c r="B331">
        <v>40</v>
      </c>
      <c r="C331" s="6">
        <v>45313</v>
      </c>
      <c r="D331" s="26">
        <v>0.55574074074074076</v>
      </c>
    </row>
    <row r="332" spans="1:4" x14ac:dyDescent="0.25">
      <c r="A332" s="7" t="str">
        <f>Table1[[#This Row],[No.]]&amp;Table1[[#This Row],[Date]]</f>
        <v>4045313</v>
      </c>
      <c r="B332">
        <v>40</v>
      </c>
      <c r="C332" s="6">
        <v>45313</v>
      </c>
      <c r="D332" s="26">
        <v>0.74766203703703704</v>
      </c>
    </row>
    <row r="333" spans="1:4" x14ac:dyDescent="0.25">
      <c r="A333" s="7" t="str">
        <f>Table1[[#This Row],[No.]]&amp;Table1[[#This Row],[Date]]</f>
        <v>4045314</v>
      </c>
      <c r="B333">
        <v>40</v>
      </c>
      <c r="C333" s="6">
        <v>45314</v>
      </c>
      <c r="D333" s="26">
        <v>0.5571180555555556</v>
      </c>
    </row>
    <row r="334" spans="1:4" x14ac:dyDescent="0.25">
      <c r="A334" s="7" t="str">
        <f>Table1[[#This Row],[No.]]&amp;Table1[[#This Row],[Date]]</f>
        <v>4045314</v>
      </c>
      <c r="B334">
        <v>40</v>
      </c>
      <c r="C334" s="6">
        <v>45314</v>
      </c>
      <c r="D334" s="26">
        <v>0.91252314814814817</v>
      </c>
    </row>
    <row r="335" spans="1:4" x14ac:dyDescent="0.25">
      <c r="A335" s="7" t="str">
        <f>Table1[[#This Row],[No.]]&amp;Table1[[#This Row],[Date]]</f>
        <v>4045317</v>
      </c>
      <c r="B335">
        <v>40</v>
      </c>
      <c r="C335" s="6">
        <v>45317</v>
      </c>
      <c r="D335" s="26">
        <v>0.53925925925925922</v>
      </c>
    </row>
    <row r="336" spans="1:4" x14ac:dyDescent="0.25">
      <c r="A336" s="7" t="str">
        <f>Table1[[#This Row],[No.]]&amp;Table1[[#This Row],[Date]]</f>
        <v>4045317</v>
      </c>
      <c r="B336">
        <v>40</v>
      </c>
      <c r="C336" s="6">
        <v>45317</v>
      </c>
      <c r="D336" s="26">
        <v>0.9158680555555555</v>
      </c>
    </row>
    <row r="337" spans="1:4" x14ac:dyDescent="0.25">
      <c r="A337" s="7" t="str">
        <f>Table1[[#This Row],[No.]]&amp;Table1[[#This Row],[Date]]</f>
        <v>4045318</v>
      </c>
      <c r="B337">
        <v>40</v>
      </c>
      <c r="C337" s="6">
        <v>45318</v>
      </c>
      <c r="D337" s="26">
        <v>0.55031249999999998</v>
      </c>
    </row>
    <row r="338" spans="1:4" x14ac:dyDescent="0.25">
      <c r="A338" s="7" t="str">
        <f>Table1[[#This Row],[No.]]&amp;Table1[[#This Row],[Date]]</f>
        <v>4045319</v>
      </c>
      <c r="B338">
        <v>40</v>
      </c>
      <c r="C338" s="6">
        <v>45319</v>
      </c>
      <c r="D338" s="26">
        <v>0.96777777777777774</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29AAC-C601-4656-9C23-F498E97C0DA4}">
  <sheetPr codeName="Sheet3"/>
  <dimension ref="A1:Q966"/>
  <sheetViews>
    <sheetView showGridLines="0" tabSelected="1" zoomScale="88" zoomScaleNormal="130" workbookViewId="0">
      <selection activeCell="I130" sqref="I130"/>
    </sheetView>
  </sheetViews>
  <sheetFormatPr defaultRowHeight="15" x14ac:dyDescent="0.25"/>
  <cols>
    <col min="1" max="1" width="9.140625" customWidth="1"/>
    <col min="2" max="2" width="5.85546875" customWidth="1"/>
    <col min="3" max="3" width="11.140625" customWidth="1"/>
    <col min="4" max="4" width="11" customWidth="1"/>
    <col min="5" max="5" width="11.85546875" customWidth="1"/>
    <col min="6" max="6" width="10.85546875" customWidth="1"/>
    <col min="7" max="7" width="9.7109375" customWidth="1"/>
    <col min="8" max="8" width="8.7109375" customWidth="1"/>
    <col min="9" max="9" width="12.140625" customWidth="1"/>
    <col min="10" max="10" width="10.85546875" customWidth="1"/>
    <col min="11" max="11" width="13.7109375" customWidth="1"/>
    <col min="12" max="12" width="8.85546875" customWidth="1"/>
    <col min="13" max="13" width="16" customWidth="1"/>
    <col min="14" max="14" width="13.140625" customWidth="1"/>
    <col min="17" max="17" width="9" bestFit="1" customWidth="1"/>
  </cols>
  <sheetData>
    <row r="1" spans="1:14" ht="15.75" x14ac:dyDescent="0.25">
      <c r="A1" s="39" t="s">
        <v>61</v>
      </c>
      <c r="B1" s="39"/>
      <c r="C1" s="36">
        <v>0.33333333333333331</v>
      </c>
    </row>
    <row r="2" spans="1:14" ht="15.75" x14ac:dyDescent="0.25">
      <c r="A2" s="39" t="s">
        <v>62</v>
      </c>
      <c r="B2" s="39"/>
      <c r="C2" s="37">
        <v>0.54166666666666663</v>
      </c>
    </row>
    <row r="3" spans="1:14" ht="15.75" x14ac:dyDescent="0.25">
      <c r="A3" s="39" t="s">
        <v>63</v>
      </c>
      <c r="B3" s="39"/>
      <c r="C3" s="37">
        <v>0.91666666666666663</v>
      </c>
      <c r="F3" s="30"/>
      <c r="G3" s="30"/>
      <c r="H3" s="38">
        <f>Table57[[#Totals],[Work_Hours]]</f>
        <v>6.4110763888888886</v>
      </c>
      <c r="I3" s="38">
        <f>Table57[[#Totals],[التاخير عن الحضور]]</f>
        <v>0.67009259259259302</v>
      </c>
      <c r="J3" s="38">
        <f>Table57[[#Totals],[خروج قبل الانصراف]]</f>
        <v>0.41768518518518494</v>
      </c>
      <c r="K3" s="30"/>
      <c r="L3" s="38">
        <f>Table57[[#Totals],[مده السماح]]</f>
        <v>0</v>
      </c>
      <c r="M3" s="38">
        <f>Table57[[#Totals],[الحضور قبل الموعد الرسمي]]</f>
        <v>3.7824074074073732E-2</v>
      </c>
      <c r="N3" s="38">
        <f>Table57[[#Totals],[الخروج بعد الانصراف]]</f>
        <v>0.32574074074074078</v>
      </c>
    </row>
    <row r="4" spans="1:14" ht="48" customHeight="1" x14ac:dyDescent="0.25">
      <c r="A4" s="34" t="s">
        <v>50</v>
      </c>
      <c r="B4" s="35" t="s">
        <v>47</v>
      </c>
      <c r="C4" s="35" t="s">
        <v>54</v>
      </c>
      <c r="D4" s="35" t="s">
        <v>49</v>
      </c>
      <c r="E4" s="35" t="s">
        <v>53</v>
      </c>
      <c r="F4" s="35" t="s">
        <v>52</v>
      </c>
      <c r="G4" s="35" t="s">
        <v>51</v>
      </c>
      <c r="H4" s="35" t="s">
        <v>60</v>
      </c>
      <c r="I4" s="35" t="s">
        <v>55</v>
      </c>
      <c r="J4" s="35" t="s">
        <v>56</v>
      </c>
      <c r="K4" s="35" t="s">
        <v>64</v>
      </c>
      <c r="L4" s="35" t="s">
        <v>57</v>
      </c>
      <c r="M4" s="35" t="s">
        <v>58</v>
      </c>
      <c r="N4" s="35" t="s">
        <v>59</v>
      </c>
    </row>
    <row r="5" spans="1:14" hidden="1" x14ac:dyDescent="0.25">
      <c r="A5" s="23" t="str">
        <f>Table57[[#This Row],[No.]]&amp;Table57[[#This Row],[Date]]</f>
        <v>145294</v>
      </c>
      <c r="B5" s="22">
        <f>'Unique Dates'!A2</f>
        <v>1</v>
      </c>
      <c r="C5" s="22" t="str" cm="1">
        <f t="array" ref="C5">_xlfn.XLOOKUP(Table57[[#This Row],[No.]],Table2[[#All],[CODE]],Table2[[#All],[NAME]],,0,1)</f>
        <v>ROKIA</v>
      </c>
      <c r="D5" s="6">
        <f>'Unique Dates'!B2</f>
        <v>45294</v>
      </c>
      <c r="E5" t="str">
        <f>TEXT(Table57[[#This Row],[Date]],"dddd")</f>
        <v>Wednesday</v>
      </c>
      <c r="F5" s="25" cm="1">
        <f t="array" ref="F5">IFERROR(_xlfn.XLOOKUP(Table57[[#This Row],[Code]],Table1[[#All],[Code]],Table1[[#All],[Time]],,0,1),"")</f>
        <v>0.68913194444444448</v>
      </c>
      <c r="G5" s="25" cm="1">
        <f t="array" ref="G5">IFERROR(_xlfn.XLOOKUP(Table57[[#This Row],[Code]],Table1[[#All],[Code]],Table1[[#All],[Time]],,0,-1),"")</f>
        <v>0.68913194444444448</v>
      </c>
      <c r="H5" s="23">
        <f>IFERROR(IF(Table57[[#This Row],[Out]]&gt;=Table57[[#This Row],[In]],Table57[[#This Row],[Out]]-Table57[[#This Row],[In]],(0.5+Table57[[#This Row],[Out]])-Table57[[#This Row],[In]]),"")</f>
        <v>0</v>
      </c>
      <c r="I5" s="31">
        <f>IFERROR(IF(Table57[[#This Row],[In]]&gt;$C$2,Table57[[#This Row],[In]]-$C$2,""),"")</f>
        <v>0.14746527777777785</v>
      </c>
      <c r="J5" s="31" t="str">
        <f>IF(Table57[[#This Row],[Work_Hours]]=0,"",(IF(Table57[[#This Row],[Out]]&lt;$C$3,$C$3-Table57[[#This Row],[Out]],"")))</f>
        <v/>
      </c>
      <c r="K5" s="32">
        <f>IFERROR(Table57[[#This Row],[In]]+$C$1,"")</f>
        <v>1.0224652777777778</v>
      </c>
      <c r="L5" s="29"/>
      <c r="M5" s="31" t="str">
        <f>IF($C$2&gt;Table57[[#This Row],[In]],$C$2-Table57[[#This Row],[In]],"")</f>
        <v/>
      </c>
      <c r="N5" s="29" t="str">
        <f>IFERROR(IF(Table57[[#This Row],[Out]]&gt;$C$3,(Table57[[#This Row],[Out]])-($C$3),""),"")</f>
        <v/>
      </c>
    </row>
    <row r="6" spans="1:14" hidden="1" x14ac:dyDescent="0.25">
      <c r="A6" s="23" t="str">
        <f>Table57[[#This Row],[No.]]&amp;Table57[[#This Row],[Date]]</f>
        <v>145299</v>
      </c>
      <c r="B6" s="22">
        <f>'Unique Dates'!A3</f>
        <v>1</v>
      </c>
      <c r="C6" s="22" t="str" cm="1">
        <f t="array" ref="C6">_xlfn.XLOOKUP(Table57[[#This Row],[No.]],Table2[[#All],[CODE]],Table2[[#All],[NAME]],,0,1)</f>
        <v>ROKIA</v>
      </c>
      <c r="D6" s="6">
        <f>'Unique Dates'!B3</f>
        <v>45299</v>
      </c>
      <c r="E6" t="str">
        <f>TEXT(Table57[[#This Row],[Date]],"dddd")</f>
        <v>Monday</v>
      </c>
      <c r="F6" s="25" cm="1">
        <f t="array" ref="F6">IFERROR(_xlfn.XLOOKUP(Table57[[#This Row],[Code]],Table1[[#All],[Code]],Table1[[#All],[Time]],,0,1),"")</f>
        <v>0.64392361111111118</v>
      </c>
      <c r="G6" s="25" cm="1">
        <f t="array" ref="G6">IFERROR(_xlfn.XLOOKUP(Table57[[#This Row],[Code]],Table1[[#All],[Code]],Table1[[#All],[Time]],,0,-1),"")</f>
        <v>0.64392361111111118</v>
      </c>
      <c r="H6" s="23">
        <f>IFERROR(IF(Table57[[#This Row],[Out]]&gt;=Table57[[#This Row],[In]],Table57[[#This Row],[Out]]-Table57[[#This Row],[In]],(0.5+Table57[[#This Row],[Out]])-Table57[[#This Row],[In]]),"")</f>
        <v>0</v>
      </c>
      <c r="I6" s="31">
        <f>IFERROR(IF(Table57[[#This Row],[In]]&gt;$C$2,Table57[[#This Row],[In]]-$C$2,""),"")</f>
        <v>0.10225694444444455</v>
      </c>
      <c r="J6" s="31" t="str">
        <f>IF(Table57[[#This Row],[Work_Hours]]=0,"",(IF(Table57[[#This Row],[Out]]&lt;$C$3,$C$3-Table57[[#This Row],[Out]],"")))</f>
        <v/>
      </c>
      <c r="K6" s="32">
        <f>IFERROR(Table57[[#This Row],[In]]+$C$1,"")</f>
        <v>0.97725694444444455</v>
      </c>
      <c r="L6" s="29"/>
      <c r="M6" s="31" t="str">
        <f>IF($C$2&gt;Table57[[#This Row],[In]],$C$2-Table57[[#This Row],[In]],"")</f>
        <v/>
      </c>
      <c r="N6" s="29" t="str">
        <f>IFERROR(IF(Table57[[#This Row],[Out]]&gt;$C$3,(Table57[[#This Row],[Out]])-($C$3),""),"")</f>
        <v/>
      </c>
    </row>
    <row r="7" spans="1:14" hidden="1" x14ac:dyDescent="0.25">
      <c r="A7" s="23" t="str">
        <f>Table57[[#This Row],[No.]]&amp;Table57[[#This Row],[Date]]</f>
        <v>145302</v>
      </c>
      <c r="B7" s="22">
        <f>'Unique Dates'!A4</f>
        <v>1</v>
      </c>
      <c r="C7" s="22" t="str" cm="1">
        <f t="array" ref="C7">_xlfn.XLOOKUP(Table57[[#This Row],[No.]],Table2[[#All],[CODE]],Table2[[#All],[NAME]],,0,1)</f>
        <v>ROKIA</v>
      </c>
      <c r="D7" s="6">
        <f>'Unique Dates'!B4</f>
        <v>45302</v>
      </c>
      <c r="E7" t="str">
        <f>TEXT(Table57[[#This Row],[Date]],"dddd")</f>
        <v>Thursday</v>
      </c>
      <c r="F7" s="25" cm="1">
        <f t="array" ref="F7">IFERROR(_xlfn.XLOOKUP(Table57[[#This Row],[Code]],Table1[[#All],[Code]],Table1[[#All],[Time]],,0,1),"")</f>
        <v>0.59408564814814813</v>
      </c>
      <c r="G7" s="25" cm="1">
        <f t="array" ref="G7">IFERROR(_xlfn.XLOOKUP(Table57[[#This Row],[Code]],Table1[[#All],[Code]],Table1[[#All],[Time]],,0,-1),"")</f>
        <v>0.59408564814814813</v>
      </c>
      <c r="H7" s="23">
        <f>IFERROR(IF(Table57[[#This Row],[Out]]&gt;=Table57[[#This Row],[In]],Table57[[#This Row],[Out]]-Table57[[#This Row],[In]],(0.5+Table57[[#This Row],[Out]])-Table57[[#This Row],[In]]),"")</f>
        <v>0</v>
      </c>
      <c r="I7" s="31">
        <f>IFERROR(IF(Table57[[#This Row],[In]]&gt;$C$2,Table57[[#This Row],[In]]-$C$2,""),"")</f>
        <v>5.2418981481481497E-2</v>
      </c>
      <c r="J7" s="31" t="str">
        <f>IF(Table57[[#This Row],[Work_Hours]]=0,"",(IF(Table57[[#This Row],[Out]]&lt;$C$3,$C$3-Table57[[#This Row],[Out]],"")))</f>
        <v/>
      </c>
      <c r="K7" s="32">
        <f>IFERROR(Table57[[#This Row],[In]]+$C$1,"")</f>
        <v>0.9274189814814815</v>
      </c>
      <c r="L7" s="29"/>
      <c r="M7" s="31" t="str">
        <f>IF($C$2&gt;Table57[[#This Row],[In]],$C$2-Table57[[#This Row],[In]],"")</f>
        <v/>
      </c>
      <c r="N7" s="29" t="str">
        <f>IFERROR(IF(Table57[[#This Row],[Out]]&gt;$C$3,(Table57[[#This Row],[Out]])-($C$3),""),"")</f>
        <v/>
      </c>
    </row>
    <row r="8" spans="1:14" hidden="1" x14ac:dyDescent="0.25">
      <c r="A8" s="23" t="str">
        <f>Table57[[#This Row],[No.]]&amp;Table57[[#This Row],[Date]]</f>
        <v>145305</v>
      </c>
      <c r="B8" s="22">
        <f>'Unique Dates'!A5</f>
        <v>1</v>
      </c>
      <c r="C8" s="22" t="str" cm="1">
        <f t="array" ref="C8">_xlfn.XLOOKUP(Table57[[#This Row],[No.]],Table2[[#All],[CODE]],Table2[[#All],[NAME]],,0,1)</f>
        <v>ROKIA</v>
      </c>
      <c r="D8" s="6">
        <f>'Unique Dates'!B5</f>
        <v>45305</v>
      </c>
      <c r="E8" t="str">
        <f>TEXT(Table57[[#This Row],[Date]],"dddd")</f>
        <v>Sunday</v>
      </c>
      <c r="F8" s="25" cm="1">
        <f t="array" ref="F8">IFERROR(_xlfn.XLOOKUP(Table57[[#This Row],[Code]],Table1[[#All],[Code]],Table1[[#All],[Time]],,0,1),"")</f>
        <v>0.53817129629629623</v>
      </c>
      <c r="G8" s="25" cm="1">
        <f t="array" ref="G8">IFERROR(_xlfn.XLOOKUP(Table57[[#This Row],[Code]],Table1[[#All],[Code]],Table1[[#All],[Time]],,0,-1),"")</f>
        <v>0.53817129629629623</v>
      </c>
      <c r="H8" s="23">
        <f>IFERROR(IF(Table57[[#This Row],[Out]]&gt;=Table57[[#This Row],[In]],Table57[[#This Row],[Out]]-Table57[[#This Row],[In]],(0.5+Table57[[#This Row],[Out]])-Table57[[#This Row],[In]]),"")</f>
        <v>0</v>
      </c>
      <c r="I8" s="31" t="str">
        <f>IFERROR(IF(Table57[[#This Row],[In]]&gt;$C$2,Table57[[#This Row],[In]]-$C$2,""),"")</f>
        <v/>
      </c>
      <c r="J8" s="31" t="str">
        <f>IF(Table57[[#This Row],[Work_Hours]]=0,"",(IF(Table57[[#This Row],[Out]]&lt;$C$3,$C$3-Table57[[#This Row],[Out]],"")))</f>
        <v/>
      </c>
      <c r="K8" s="32">
        <f>IFERROR(Table57[[#This Row],[In]]+$C$1,"")</f>
        <v>0.8715046296296296</v>
      </c>
      <c r="L8" s="29"/>
      <c r="M8" s="31">
        <f>IF($C$2&gt;Table57[[#This Row],[In]],$C$2-Table57[[#This Row],[In]],"")</f>
        <v>3.4953703703703987E-3</v>
      </c>
      <c r="N8" s="29" t="str">
        <f>IFERROR(IF(Table57[[#This Row],[Out]]&gt;$C$3,(Table57[[#This Row],[Out]])-($C$3),""),"")</f>
        <v/>
      </c>
    </row>
    <row r="9" spans="1:14" hidden="1" x14ac:dyDescent="0.25">
      <c r="A9" s="23" t="str">
        <f>Table57[[#This Row],[No.]]&amp;Table57[[#This Row],[Date]]</f>
        <v>145307</v>
      </c>
      <c r="B9" s="22">
        <f>'Unique Dates'!A6</f>
        <v>1</v>
      </c>
      <c r="C9" s="22" t="str" cm="1">
        <f t="array" ref="C9">_xlfn.XLOOKUP(Table57[[#This Row],[No.]],Table2[[#All],[CODE]],Table2[[#All],[NAME]],,0,1)</f>
        <v>ROKIA</v>
      </c>
      <c r="D9" s="6">
        <f>'Unique Dates'!B6</f>
        <v>45307</v>
      </c>
      <c r="E9" t="str">
        <f>TEXT(Table57[[#This Row],[Date]],"dddd")</f>
        <v>Tuesday</v>
      </c>
      <c r="F9" s="25" cm="1">
        <f t="array" ref="F9">IFERROR(_xlfn.XLOOKUP(Table57[[#This Row],[Code]],Table1[[#All],[Code]],Table1[[#All],[Time]],,0,1),"")</f>
        <v>0.76864583333333336</v>
      </c>
      <c r="G9" s="25" cm="1">
        <f t="array" ref="G9">IFERROR(_xlfn.XLOOKUP(Table57[[#This Row],[Code]],Table1[[#All],[Code]],Table1[[#All],[Time]],,0,-1),"")</f>
        <v>0.76864583333333336</v>
      </c>
      <c r="H9" s="23">
        <f>IFERROR(IF(Table57[[#This Row],[Out]]&gt;=Table57[[#This Row],[In]],Table57[[#This Row],[Out]]-Table57[[#This Row],[In]],(0.5+Table57[[#This Row],[Out]])-Table57[[#This Row],[In]]),"")</f>
        <v>0</v>
      </c>
      <c r="I9" s="31">
        <f>IFERROR(IF(Table57[[#This Row],[In]]&gt;$C$2,Table57[[#This Row],[In]]-$C$2,""),"")</f>
        <v>0.22697916666666673</v>
      </c>
      <c r="J9" s="31" t="str">
        <f>IF(Table57[[#This Row],[Work_Hours]]=0,"",(IF(Table57[[#This Row],[Out]]&lt;$C$3,$C$3-Table57[[#This Row],[Out]],"")))</f>
        <v/>
      </c>
      <c r="K9" s="32">
        <f>IFERROR(Table57[[#This Row],[In]]+$C$1,"")</f>
        <v>1.1019791666666667</v>
      </c>
      <c r="L9" s="29"/>
      <c r="M9" s="31" t="str">
        <f>IF($C$2&gt;Table57[[#This Row],[In]],$C$2-Table57[[#This Row],[In]],"")</f>
        <v/>
      </c>
      <c r="N9" s="29" t="str">
        <f>IFERROR(IF(Table57[[#This Row],[Out]]&gt;$C$3,(Table57[[#This Row],[Out]])-($C$3),""),"")</f>
        <v/>
      </c>
    </row>
    <row r="10" spans="1:14" hidden="1" x14ac:dyDescent="0.25">
      <c r="A10" s="23" t="str">
        <f>Table57[[#This Row],[No.]]&amp;Table57[[#This Row],[Date]]</f>
        <v>145310</v>
      </c>
      <c r="B10" s="22">
        <f>'Unique Dates'!A7</f>
        <v>1</v>
      </c>
      <c r="C10" s="22" t="str" cm="1">
        <f t="array" ref="C10">_xlfn.XLOOKUP(Table57[[#This Row],[No.]],Table2[[#All],[CODE]],Table2[[#All],[NAME]],,0,1)</f>
        <v>ROKIA</v>
      </c>
      <c r="D10" s="6">
        <f>'Unique Dates'!B7</f>
        <v>45310</v>
      </c>
      <c r="E10" t="str">
        <f>TEXT(Table57[[#This Row],[Date]],"dddd")</f>
        <v>Friday</v>
      </c>
      <c r="F10" s="25" cm="1">
        <f t="array" ref="F10">IFERROR(_xlfn.XLOOKUP(Table57[[#This Row],[Code]],Table1[[#All],[Code]],Table1[[#All],[Time]],,0,1),"")</f>
        <v>0.81464120370370363</v>
      </c>
      <c r="G10" s="25" cm="1">
        <f t="array" ref="G10">IFERROR(_xlfn.XLOOKUP(Table57[[#This Row],[Code]],Table1[[#All],[Code]],Table1[[#All],[Time]],,0,-1),"")</f>
        <v>0.81464120370370363</v>
      </c>
      <c r="H10" s="23">
        <f>IFERROR(IF(Table57[[#This Row],[Out]]&gt;=Table57[[#This Row],[In]],Table57[[#This Row],[Out]]-Table57[[#This Row],[In]],(0.5+Table57[[#This Row],[Out]])-Table57[[#This Row],[In]]),"")</f>
        <v>0</v>
      </c>
      <c r="I10" s="31">
        <f>IFERROR(IF(Table57[[#This Row],[In]]&gt;$C$2,Table57[[#This Row],[In]]-$C$2,""),"")</f>
        <v>0.272974537037037</v>
      </c>
      <c r="J10" s="31" t="str">
        <f>IF(Table57[[#This Row],[Work_Hours]]=0,"",(IF(Table57[[#This Row],[Out]]&lt;$C$3,$C$3-Table57[[#This Row],[Out]],"")))</f>
        <v/>
      </c>
      <c r="K10" s="32">
        <f>IFERROR(Table57[[#This Row],[In]]+$C$1,"")</f>
        <v>1.1479745370370369</v>
      </c>
      <c r="L10" s="29"/>
      <c r="M10" s="31" t="str">
        <f>IF($C$2&gt;Table57[[#This Row],[In]],$C$2-Table57[[#This Row],[In]],"")</f>
        <v/>
      </c>
      <c r="N10" s="29" t="str">
        <f>IFERROR(IF(Table57[[#This Row],[Out]]&gt;$C$3,(Table57[[#This Row],[Out]])-($C$3),""),"")</f>
        <v/>
      </c>
    </row>
    <row r="11" spans="1:14" hidden="1" x14ac:dyDescent="0.25">
      <c r="A11" s="23" t="str">
        <f>Table57[[#This Row],[No.]]&amp;Table57[[#This Row],[Date]]</f>
        <v>145311</v>
      </c>
      <c r="B11" s="22">
        <f>'Unique Dates'!A8</f>
        <v>1</v>
      </c>
      <c r="C11" s="22" t="str" cm="1">
        <f t="array" ref="C11">_xlfn.XLOOKUP(Table57[[#This Row],[No.]],Table2[[#All],[CODE]],Table2[[#All],[NAME]],,0,1)</f>
        <v>ROKIA</v>
      </c>
      <c r="D11" s="6">
        <f>'Unique Dates'!B8</f>
        <v>45311</v>
      </c>
      <c r="E11" t="str">
        <f>TEXT(Table57[[#This Row],[Date]],"dddd")</f>
        <v>Saturday</v>
      </c>
      <c r="F11" s="25" cm="1">
        <f t="array" ref="F11">IFERROR(_xlfn.XLOOKUP(Table57[[#This Row],[Code]],Table1[[#All],[Code]],Table1[[#All],[Time]],,0,1),"")</f>
        <v>0.75473379629629633</v>
      </c>
      <c r="G11" s="25" cm="1">
        <f t="array" ref="G11">IFERROR(_xlfn.XLOOKUP(Table57[[#This Row],[Code]],Table1[[#All],[Code]],Table1[[#All],[Time]],,0,-1),"")</f>
        <v>0.76800925925925922</v>
      </c>
      <c r="H11" s="23">
        <f>IFERROR(IF(Table57[[#This Row],[Out]]&gt;=Table57[[#This Row],[In]],Table57[[#This Row],[Out]]-Table57[[#This Row],[In]],(0.5+Table57[[#This Row],[Out]])-Table57[[#This Row],[In]]),"")</f>
        <v>1.3275462962962892E-2</v>
      </c>
      <c r="I11" s="31">
        <f>IFERROR(IF(Table57[[#This Row],[In]]&gt;$C$2,Table57[[#This Row],[In]]-$C$2,""),"")</f>
        <v>0.2130671296296297</v>
      </c>
      <c r="J11" s="31">
        <f>IF(Table57[[#This Row],[Work_Hours]]=0,"",(IF(Table57[[#This Row],[Out]]&lt;$C$3,$C$3-Table57[[#This Row],[Out]],"")))</f>
        <v>0.1486574074074074</v>
      </c>
      <c r="K11" s="32">
        <f>IFERROR(Table57[[#This Row],[In]]+$C$1,"")</f>
        <v>1.0880671296296296</v>
      </c>
      <c r="L11" s="29"/>
      <c r="M11" s="31" t="str">
        <f>IF($C$2&gt;Table57[[#This Row],[In]],$C$2-Table57[[#This Row],[In]],"")</f>
        <v/>
      </c>
      <c r="N11" s="29" t="str">
        <f>IFERROR(IF(Table57[[#This Row],[Out]]&gt;$C$3,(Table57[[#This Row],[Out]])-($C$3),""),"")</f>
        <v/>
      </c>
    </row>
    <row r="12" spans="1:14" hidden="1" x14ac:dyDescent="0.25">
      <c r="A12" s="23" t="str">
        <f>Table57[[#This Row],[No.]]&amp;Table57[[#This Row],[Date]]</f>
        <v>145313</v>
      </c>
      <c r="B12" s="22">
        <f>'Unique Dates'!A9</f>
        <v>1</v>
      </c>
      <c r="C12" s="22" t="str" cm="1">
        <f t="array" ref="C12">_xlfn.XLOOKUP(Table57[[#This Row],[No.]],Table2[[#All],[CODE]],Table2[[#All],[NAME]],,0,1)</f>
        <v>ROKIA</v>
      </c>
      <c r="D12" s="6">
        <f>'Unique Dates'!B9</f>
        <v>45313</v>
      </c>
      <c r="E12" t="str">
        <f>TEXT(Table57[[#This Row],[Date]],"dddd")</f>
        <v>Monday</v>
      </c>
      <c r="F12" s="25" cm="1">
        <f t="array" ref="F12">IFERROR(_xlfn.XLOOKUP(Table57[[#This Row],[Code]],Table1[[#All],[Code]],Table1[[#All],[Time]],,0,1),"")</f>
        <v>0.6517708333333333</v>
      </c>
      <c r="G12" s="25" cm="1">
        <f t="array" ref="G12">IFERROR(_xlfn.XLOOKUP(Table57[[#This Row],[Code]],Table1[[#All],[Code]],Table1[[#All],[Time]],,0,-1),"")</f>
        <v>0.6517708333333333</v>
      </c>
      <c r="H12" s="23">
        <f>IFERROR(IF(Table57[[#This Row],[Out]]&gt;=Table57[[#This Row],[In]],Table57[[#This Row],[Out]]-Table57[[#This Row],[In]],(0.5+Table57[[#This Row],[Out]])-Table57[[#This Row],[In]]),"")</f>
        <v>0</v>
      </c>
      <c r="I12" s="31">
        <f>IFERROR(IF(Table57[[#This Row],[In]]&gt;$C$2,Table57[[#This Row],[In]]-$C$2,""),"")</f>
        <v>0.11010416666666667</v>
      </c>
      <c r="J12" s="31" t="str">
        <f>IF(Table57[[#This Row],[Work_Hours]]=0,"",(IF(Table57[[#This Row],[Out]]&lt;$C$3,$C$3-Table57[[#This Row],[Out]],"")))</f>
        <v/>
      </c>
      <c r="K12" s="32">
        <f>IFERROR(Table57[[#This Row],[In]]+$C$1,"")</f>
        <v>0.98510416666666667</v>
      </c>
      <c r="L12" s="29"/>
      <c r="M12" s="31" t="str">
        <f>IF($C$2&gt;Table57[[#This Row],[In]],$C$2-Table57[[#This Row],[In]],"")</f>
        <v/>
      </c>
      <c r="N12" s="29" t="str">
        <f>IFERROR(IF(Table57[[#This Row],[Out]]&gt;$C$3,(Table57[[#This Row],[Out]])-($C$3),""),"")</f>
        <v/>
      </c>
    </row>
    <row r="13" spans="1:14" hidden="1" x14ac:dyDescent="0.25">
      <c r="A13" s="23" t="str">
        <f>Table57[[#This Row],[No.]]&amp;Table57[[#This Row],[Date]]</f>
        <v>145314</v>
      </c>
      <c r="B13" s="22">
        <f>'Unique Dates'!A10</f>
        <v>1</v>
      </c>
      <c r="C13" s="22" t="str" cm="1">
        <f t="array" ref="C13">_xlfn.XLOOKUP(Table57[[#This Row],[No.]],Table2[[#All],[CODE]],Table2[[#All],[NAME]],,0,1)</f>
        <v>ROKIA</v>
      </c>
      <c r="D13" s="6">
        <f>'Unique Dates'!B10</f>
        <v>45314</v>
      </c>
      <c r="E13" t="str">
        <f>TEXT(Table57[[#This Row],[Date]],"dddd")</f>
        <v>Tuesday</v>
      </c>
      <c r="F13" s="25" cm="1">
        <f t="array" ref="F13">IFERROR(_xlfn.XLOOKUP(Table57[[#This Row],[Code]],Table1[[#All],[Code]],Table1[[#All],[Time]],,0,1),"")</f>
        <v>0.83761574074074074</v>
      </c>
      <c r="G13" s="25" cm="1">
        <f t="array" ref="G13">IFERROR(_xlfn.XLOOKUP(Table57[[#This Row],[Code]],Table1[[#All],[Code]],Table1[[#All],[Time]],,0,-1),"")</f>
        <v>0.83761574074074074</v>
      </c>
      <c r="H13" s="23">
        <f>IFERROR(IF(Table57[[#This Row],[Out]]&gt;=Table57[[#This Row],[In]],Table57[[#This Row],[Out]]-Table57[[#This Row],[In]],(0.5+Table57[[#This Row],[Out]])-Table57[[#This Row],[In]]),"")</f>
        <v>0</v>
      </c>
      <c r="I13" s="31">
        <f>IFERROR(IF(Table57[[#This Row],[In]]&gt;$C$2,Table57[[#This Row],[In]]-$C$2,""),"")</f>
        <v>0.29594907407407411</v>
      </c>
      <c r="J13" s="31" t="str">
        <f>IF(Table57[[#This Row],[Work_Hours]]=0,"",(IF(Table57[[#This Row],[Out]]&lt;$C$3,$C$3-Table57[[#This Row],[Out]],"")))</f>
        <v/>
      </c>
      <c r="K13" s="32">
        <f>IFERROR(Table57[[#This Row],[In]]+$C$1,"")</f>
        <v>1.170949074074074</v>
      </c>
      <c r="L13" s="29"/>
      <c r="M13" s="31" t="str">
        <f>IF($C$2&gt;Table57[[#This Row],[In]],$C$2-Table57[[#This Row],[In]],"")</f>
        <v/>
      </c>
      <c r="N13" s="29" t="str">
        <f>IFERROR(IF(Table57[[#This Row],[Out]]&gt;$C$3,(Table57[[#This Row],[Out]])-($C$3),""),"")</f>
        <v/>
      </c>
    </row>
    <row r="14" spans="1:14" hidden="1" x14ac:dyDescent="0.25">
      <c r="A14" s="23" t="str">
        <f>Table57[[#This Row],[No.]]&amp;Table57[[#This Row],[Date]]</f>
        <v>145315</v>
      </c>
      <c r="B14" s="22">
        <f>'Unique Dates'!A11</f>
        <v>1</v>
      </c>
      <c r="C14" s="22" t="str" cm="1">
        <f t="array" ref="C14">_xlfn.XLOOKUP(Table57[[#This Row],[No.]],Table2[[#All],[CODE]],Table2[[#All],[NAME]],,0,1)</f>
        <v>ROKIA</v>
      </c>
      <c r="D14" s="6">
        <f>'Unique Dates'!B11</f>
        <v>45315</v>
      </c>
      <c r="E14" t="str">
        <f>TEXT(Table57[[#This Row],[Date]],"dddd")</f>
        <v>Wednesday</v>
      </c>
      <c r="F14" s="25" cm="1">
        <f t="array" ref="F14">IFERROR(_xlfn.XLOOKUP(Table57[[#This Row],[Code]],Table1[[#All],[Code]],Table1[[#All],[Time]],,0,1),"")</f>
        <v>0.57123842592592589</v>
      </c>
      <c r="G14" s="25" cm="1">
        <f t="array" ref="G14">IFERROR(_xlfn.XLOOKUP(Table57[[#This Row],[Code]],Table1[[#All],[Code]],Table1[[#All],[Time]],,0,-1),"")</f>
        <v>0.57126157407407407</v>
      </c>
      <c r="H14" s="23">
        <f>IFERROR(IF(Table57[[#This Row],[Out]]&gt;=Table57[[#This Row],[In]],Table57[[#This Row],[Out]]-Table57[[#This Row],[In]],(0.5+Table57[[#This Row],[Out]])-Table57[[#This Row],[In]]),"")</f>
        <v>2.3148148148188774E-5</v>
      </c>
      <c r="I14" s="31">
        <f>IFERROR(IF(Table57[[#This Row],[In]]&gt;$C$2,Table57[[#This Row],[In]]-$C$2,""),"")</f>
        <v>2.9571759259259256E-2</v>
      </c>
      <c r="J14" s="31">
        <f>IF(Table57[[#This Row],[Work_Hours]]=0,"",(IF(Table57[[#This Row],[Out]]&lt;$C$3,$C$3-Table57[[#This Row],[Out]],"")))</f>
        <v>0.34540509259259256</v>
      </c>
      <c r="K14" s="32">
        <f>IFERROR(Table57[[#This Row],[In]]+$C$1,"")</f>
        <v>0.90457175925925926</v>
      </c>
      <c r="L14" s="29"/>
      <c r="M14" s="31" t="str">
        <f>IF($C$2&gt;Table57[[#This Row],[In]],$C$2-Table57[[#This Row],[In]],"")</f>
        <v/>
      </c>
      <c r="N14" s="29" t="str">
        <f>IFERROR(IF(Table57[[#This Row],[Out]]&gt;$C$3,(Table57[[#This Row],[Out]])-($C$3),""),"")</f>
        <v/>
      </c>
    </row>
    <row r="15" spans="1:14" hidden="1" x14ac:dyDescent="0.25">
      <c r="A15" s="23" t="str">
        <f>Table57[[#This Row],[No.]]&amp;Table57[[#This Row],[Date]]</f>
        <v>345292</v>
      </c>
      <c r="B15" s="22">
        <f>'Unique Dates'!A12</f>
        <v>3</v>
      </c>
      <c r="C15" s="22" t="str" cm="1">
        <f t="array" ref="C15">_xlfn.XLOOKUP(Table57[[#This Row],[No.]],Table2[[#All],[CODE]],Table2[[#All],[NAME]],,0,1)</f>
        <v>PHY</v>
      </c>
      <c r="D15" s="6">
        <f>'Unique Dates'!B12</f>
        <v>45292</v>
      </c>
      <c r="E15" t="str">
        <f>TEXT(Table57[[#This Row],[Date]],"dddd")</f>
        <v>Monday</v>
      </c>
      <c r="F15" s="25" cm="1">
        <f t="array" ref="F15">IFERROR(_xlfn.XLOOKUP(Table57[[#This Row],[Code]],Table1[[#All],[Code]],Table1[[#All],[Time]],,0,1),"")</f>
        <v>0.63520833333333326</v>
      </c>
      <c r="G15" s="25" cm="1">
        <f t="array" ref="G15">IFERROR(_xlfn.XLOOKUP(Table57[[#This Row],[Code]],Table1[[#All],[Code]],Table1[[#All],[Time]],,0,-1),"")</f>
        <v>0.93753472222222223</v>
      </c>
      <c r="H15" s="23">
        <f>IFERROR(IF(Table57[[#This Row],[Out]]&gt;=Table57[[#This Row],[In]],Table57[[#This Row],[Out]]-Table57[[#This Row],[In]],(0.5+Table57[[#This Row],[Out]])-Table57[[#This Row],[In]]),"")</f>
        <v>0.30232638888888896</v>
      </c>
      <c r="I15" s="31">
        <f>IFERROR(IF(Table57[[#This Row],[In]]&gt;$C$2,Table57[[#This Row],[In]]-$C$2,""),"")</f>
        <v>9.3541666666666634E-2</v>
      </c>
      <c r="J15" s="31" t="str">
        <f>IF(Table57[[#This Row],[Work_Hours]]=0,"",(IF(Table57[[#This Row],[Out]]&lt;$C$3,$C$3-Table57[[#This Row],[Out]],"")))</f>
        <v/>
      </c>
      <c r="K15" s="32">
        <f>IFERROR(Table57[[#This Row],[In]]+$C$1,"")</f>
        <v>0.96854166666666663</v>
      </c>
      <c r="L15" s="29"/>
      <c r="M15" s="31" t="str">
        <f>IF($C$2&gt;Table57[[#This Row],[In]],$C$2-Table57[[#This Row],[In]],"")</f>
        <v/>
      </c>
      <c r="N15" s="29">
        <f>IFERROR(IF(Table57[[#This Row],[Out]]&gt;$C$3,(Table57[[#This Row],[Out]])-($C$3),""),"")</f>
        <v>2.0868055555555598E-2</v>
      </c>
    </row>
    <row r="16" spans="1:14" hidden="1" x14ac:dyDescent="0.25">
      <c r="A16" s="23" t="str">
        <f>Table57[[#This Row],[No.]]&amp;Table57[[#This Row],[Date]]</f>
        <v>345293</v>
      </c>
      <c r="B16" s="22">
        <f>'Unique Dates'!A13</f>
        <v>3</v>
      </c>
      <c r="C16" s="22" t="str" cm="1">
        <f t="array" ref="C16">_xlfn.XLOOKUP(Table57[[#This Row],[No.]],Table2[[#All],[CODE]],Table2[[#All],[NAME]],,0,1)</f>
        <v>PHY</v>
      </c>
      <c r="D16" s="6">
        <f>'Unique Dates'!B13</f>
        <v>45293</v>
      </c>
      <c r="E16" t="str">
        <f>TEXT(Table57[[#This Row],[Date]],"dddd")</f>
        <v>Tuesday</v>
      </c>
      <c r="F16" s="25" cm="1">
        <f t="array" ref="F16">IFERROR(_xlfn.XLOOKUP(Table57[[#This Row],[Code]],Table1[[#All],[Code]],Table1[[#All],[Time]],,0,1),"")</f>
        <v>0.66554398148148153</v>
      </c>
      <c r="G16" s="25" cm="1">
        <f t="array" ref="G16">IFERROR(_xlfn.XLOOKUP(Table57[[#This Row],[Code]],Table1[[#All],[Code]],Table1[[#All],[Time]],,0,-1),"")</f>
        <v>0.91710648148148144</v>
      </c>
      <c r="H16" s="23">
        <f>IFERROR(IF(Table57[[#This Row],[Out]]&gt;=Table57[[#This Row],[In]],Table57[[#This Row],[Out]]-Table57[[#This Row],[In]],(0.5+Table57[[#This Row],[Out]])-Table57[[#This Row],[In]]),"")</f>
        <v>0.25156249999999991</v>
      </c>
      <c r="I16" s="31">
        <f>IFERROR(IF(Table57[[#This Row],[In]]&gt;$C$2,Table57[[#This Row],[In]]-$C$2,""),"")</f>
        <v>0.1238773148148149</v>
      </c>
      <c r="J16" s="31" t="str">
        <f>IF(Table57[[#This Row],[Work_Hours]]=0,"",(IF(Table57[[#This Row],[Out]]&lt;$C$3,$C$3-Table57[[#This Row],[Out]],"")))</f>
        <v/>
      </c>
      <c r="K16" s="32">
        <f>IFERROR(Table57[[#This Row],[In]]+$C$1,"")</f>
        <v>0.9988773148148149</v>
      </c>
      <c r="L16" s="29"/>
      <c r="M16" s="31" t="str">
        <f>IF($C$2&gt;Table57[[#This Row],[In]],$C$2-Table57[[#This Row],[In]],"")</f>
        <v/>
      </c>
      <c r="N16" s="29">
        <f>IFERROR(IF(Table57[[#This Row],[Out]]&gt;$C$3,(Table57[[#This Row],[Out]])-($C$3),""),"")</f>
        <v>4.3981481481480955E-4</v>
      </c>
    </row>
    <row r="17" spans="1:14" hidden="1" x14ac:dyDescent="0.25">
      <c r="A17" s="23" t="str">
        <f>Table57[[#This Row],[No.]]&amp;Table57[[#This Row],[Date]]</f>
        <v>345294</v>
      </c>
      <c r="B17" s="22">
        <f>'Unique Dates'!A14</f>
        <v>3</v>
      </c>
      <c r="C17" s="22" t="str" cm="1">
        <f t="array" ref="C17">_xlfn.XLOOKUP(Table57[[#This Row],[No.]],Table2[[#All],[CODE]],Table2[[#All],[NAME]],,0,1)</f>
        <v>PHY</v>
      </c>
      <c r="D17" s="6">
        <f>'Unique Dates'!B14</f>
        <v>45294</v>
      </c>
      <c r="E17" t="str">
        <f>TEXT(Table57[[#This Row],[Date]],"dddd")</f>
        <v>Wednesday</v>
      </c>
      <c r="F17" s="25" cm="1">
        <f t="array" ref="F17">IFERROR(_xlfn.XLOOKUP(Table57[[#This Row],[Code]],Table1[[#All],[Code]],Table1[[#All],[Time]],,0,1),"")</f>
        <v>0.61872685185185183</v>
      </c>
      <c r="G17" s="25" cm="1">
        <f t="array" ref="G17">IFERROR(_xlfn.XLOOKUP(Table57[[#This Row],[Code]],Table1[[#All],[Code]],Table1[[#All],[Time]],,0,-1),"")</f>
        <v>0.90446759259259257</v>
      </c>
      <c r="H17" s="23">
        <f>IFERROR(IF(Table57[[#This Row],[Out]]&gt;=Table57[[#This Row],[In]],Table57[[#This Row],[Out]]-Table57[[#This Row],[In]],(0.5+Table57[[#This Row],[Out]])-Table57[[#This Row],[In]]),"")</f>
        <v>0.28574074074074074</v>
      </c>
      <c r="I17" s="31">
        <f>IFERROR(IF(Table57[[#This Row],[In]]&gt;$C$2,Table57[[#This Row],[In]]-$C$2,""),"")</f>
        <v>7.7060185185185204E-2</v>
      </c>
      <c r="J17" s="31">
        <f>IF(Table57[[#This Row],[Work_Hours]]=0,"",(IF(Table57[[#This Row],[Out]]&lt;$C$3,$C$3-Table57[[#This Row],[Out]],"")))</f>
        <v>1.2199074074074057E-2</v>
      </c>
      <c r="K17" s="32">
        <f>IFERROR(Table57[[#This Row],[In]]+$C$1,"")</f>
        <v>0.95206018518518509</v>
      </c>
      <c r="L17" s="29"/>
      <c r="M17" s="31" t="str">
        <f>IF($C$2&gt;Table57[[#This Row],[In]],$C$2-Table57[[#This Row],[In]],"")</f>
        <v/>
      </c>
      <c r="N17" s="29" t="str">
        <f>IFERROR(IF(Table57[[#This Row],[Out]]&gt;$C$3,(Table57[[#This Row],[Out]])-($C$3),""),"")</f>
        <v/>
      </c>
    </row>
    <row r="18" spans="1:14" hidden="1" x14ac:dyDescent="0.25">
      <c r="A18" s="23" t="str">
        <f>Table57[[#This Row],[No.]]&amp;Table57[[#This Row],[Date]]</f>
        <v>345295</v>
      </c>
      <c r="B18" s="22">
        <f>'Unique Dates'!A15</f>
        <v>3</v>
      </c>
      <c r="C18" s="22" t="str" cm="1">
        <f t="array" ref="C18">_xlfn.XLOOKUP(Table57[[#This Row],[No.]],Table2[[#All],[CODE]],Table2[[#All],[NAME]],,0,1)</f>
        <v>PHY</v>
      </c>
      <c r="D18" s="6">
        <f>'Unique Dates'!B15</f>
        <v>45295</v>
      </c>
      <c r="E18" t="str">
        <f>TEXT(Table57[[#This Row],[Date]],"dddd")</f>
        <v>Thursday</v>
      </c>
      <c r="F18" s="25" cm="1">
        <f t="array" ref="F18">IFERROR(_xlfn.XLOOKUP(Table57[[#This Row],[Code]],Table1[[#All],[Code]],Table1[[#All],[Time]],,0,1),"")</f>
        <v>0.66002314814814811</v>
      </c>
      <c r="G18" s="25" cm="1">
        <f t="array" ref="G18">IFERROR(_xlfn.XLOOKUP(Table57[[#This Row],[Code]],Table1[[#All],[Code]],Table1[[#All],[Time]],,0,-1),"")</f>
        <v>0.91371527777777783</v>
      </c>
      <c r="H18" s="23">
        <f>IFERROR(IF(Table57[[#This Row],[Out]]&gt;=Table57[[#This Row],[In]],Table57[[#This Row],[Out]]-Table57[[#This Row],[In]],(0.5+Table57[[#This Row],[Out]])-Table57[[#This Row],[In]]),"")</f>
        <v>0.25369212962962973</v>
      </c>
      <c r="I18" s="31">
        <f>IFERROR(IF(Table57[[#This Row],[In]]&gt;$C$2,Table57[[#This Row],[In]]-$C$2,""),"")</f>
        <v>0.11835648148148148</v>
      </c>
      <c r="J18" s="31">
        <f>IF(Table57[[#This Row],[Work_Hours]]=0,"",(IF(Table57[[#This Row],[Out]]&lt;$C$3,$C$3-Table57[[#This Row],[Out]],"")))</f>
        <v>2.9513888888887951E-3</v>
      </c>
      <c r="K18" s="32">
        <f>IFERROR(Table57[[#This Row],[In]]+$C$1,"")</f>
        <v>0.99335648148148148</v>
      </c>
      <c r="L18" s="29"/>
      <c r="M18" s="31" t="str">
        <f>IF($C$2&gt;Table57[[#This Row],[In]],$C$2-Table57[[#This Row],[In]],"")</f>
        <v/>
      </c>
      <c r="N18" s="29" t="str">
        <f>IFERROR(IF(Table57[[#This Row],[Out]]&gt;$C$3,(Table57[[#This Row],[Out]])-($C$3),""),"")</f>
        <v/>
      </c>
    </row>
    <row r="19" spans="1:14" hidden="1" x14ac:dyDescent="0.25">
      <c r="A19" s="23" t="str">
        <f>Table57[[#This Row],[No.]]&amp;Table57[[#This Row],[Date]]</f>
        <v>345298</v>
      </c>
      <c r="B19" s="22">
        <f>'Unique Dates'!A16</f>
        <v>3</v>
      </c>
      <c r="C19" s="22" t="str" cm="1">
        <f t="array" ref="C19">_xlfn.XLOOKUP(Table57[[#This Row],[No.]],Table2[[#All],[CODE]],Table2[[#All],[NAME]],,0,1)</f>
        <v>PHY</v>
      </c>
      <c r="D19" s="6">
        <f>'Unique Dates'!B16</f>
        <v>45298</v>
      </c>
      <c r="E19" t="str">
        <f>TEXT(Table57[[#This Row],[Date]],"dddd")</f>
        <v>Sunday</v>
      </c>
      <c r="F19" s="25" cm="1">
        <f t="array" ref="F19">IFERROR(_xlfn.XLOOKUP(Table57[[#This Row],[Code]],Table1[[#All],[Code]],Table1[[#All],[Time]],,0,1),"")</f>
        <v>0.6386574074074074</v>
      </c>
      <c r="G19" s="25" cm="1">
        <f t="array" ref="G19">IFERROR(_xlfn.XLOOKUP(Table57[[#This Row],[Code]],Table1[[#All],[Code]],Table1[[#All],[Time]],,0,-1),"")</f>
        <v>0.98061342592592593</v>
      </c>
      <c r="H19" s="23">
        <f>IFERROR(IF(Table57[[#This Row],[Out]]&gt;=Table57[[#This Row],[In]],Table57[[#This Row],[Out]]-Table57[[#This Row],[In]],(0.5+Table57[[#This Row],[Out]])-Table57[[#This Row],[In]]),"")</f>
        <v>0.34195601851851853</v>
      </c>
      <c r="I19" s="31">
        <f>IFERROR(IF(Table57[[#This Row],[In]]&gt;$C$2,Table57[[#This Row],[In]]-$C$2,""),"")</f>
        <v>9.6990740740740766E-2</v>
      </c>
      <c r="J19" s="31" t="str">
        <f>IF(Table57[[#This Row],[Work_Hours]]=0,"",(IF(Table57[[#This Row],[Out]]&lt;$C$3,$C$3-Table57[[#This Row],[Out]],"")))</f>
        <v/>
      </c>
      <c r="K19" s="32">
        <f>IFERROR(Table57[[#This Row],[In]]+$C$1,"")</f>
        <v>0.97199074074074066</v>
      </c>
      <c r="L19" s="29"/>
      <c r="M19" s="31" t="str">
        <f>IF($C$2&gt;Table57[[#This Row],[In]],$C$2-Table57[[#This Row],[In]],"")</f>
        <v/>
      </c>
      <c r="N19" s="29">
        <f>IFERROR(IF(Table57[[#This Row],[Out]]&gt;$C$3,(Table57[[#This Row],[Out]])-($C$3),""),"")</f>
        <v>6.39467592592593E-2</v>
      </c>
    </row>
    <row r="20" spans="1:14" hidden="1" x14ac:dyDescent="0.25">
      <c r="A20" s="23" t="str">
        <f>Table57[[#This Row],[No.]]&amp;Table57[[#This Row],[Date]]</f>
        <v>345299</v>
      </c>
      <c r="B20" s="22">
        <f>'Unique Dates'!A17</f>
        <v>3</v>
      </c>
      <c r="C20" s="22" t="str" cm="1">
        <f t="array" ref="C20">_xlfn.XLOOKUP(Table57[[#This Row],[No.]],Table2[[#All],[CODE]],Table2[[#All],[NAME]],,0,1)</f>
        <v>PHY</v>
      </c>
      <c r="D20" s="6">
        <f>'Unique Dates'!B17</f>
        <v>45299</v>
      </c>
      <c r="E20" t="str">
        <f>TEXT(Table57[[#This Row],[Date]],"dddd")</f>
        <v>Monday</v>
      </c>
      <c r="F20" s="25" cm="1">
        <f t="array" ref="F20">IFERROR(_xlfn.XLOOKUP(Table57[[#This Row],[Code]],Table1[[#All],[Code]],Table1[[#All],[Time]],,0,1),"")</f>
        <v>0.62994212962962959</v>
      </c>
      <c r="G20" s="25" cm="1">
        <f t="array" ref="G20">IFERROR(_xlfn.XLOOKUP(Table57[[#This Row],[Code]],Table1[[#All],[Code]],Table1[[#All],[Time]],,0,-1),"")</f>
        <v>0.94452546296296302</v>
      </c>
      <c r="H20" s="23">
        <f>IFERROR(IF(Table57[[#This Row],[Out]]&gt;=Table57[[#This Row],[In]],Table57[[#This Row],[Out]]-Table57[[#This Row],[In]],(0.5+Table57[[#This Row],[Out]])-Table57[[#This Row],[In]]),"")</f>
        <v>0.31458333333333344</v>
      </c>
      <c r="I20" s="31">
        <f>IFERROR(IF(Table57[[#This Row],[In]]&gt;$C$2,Table57[[#This Row],[In]]-$C$2,""),"")</f>
        <v>8.8275462962962958E-2</v>
      </c>
      <c r="J20" s="31" t="str">
        <f>IF(Table57[[#This Row],[Work_Hours]]=0,"",(IF(Table57[[#This Row],[Out]]&lt;$C$3,$C$3-Table57[[#This Row],[Out]],"")))</f>
        <v/>
      </c>
      <c r="K20" s="32">
        <f>IFERROR(Table57[[#This Row],[In]]+$C$1,"")</f>
        <v>0.96327546296296296</v>
      </c>
      <c r="L20" s="29"/>
      <c r="M20" s="31" t="str">
        <f>IF($C$2&gt;Table57[[#This Row],[In]],$C$2-Table57[[#This Row],[In]],"")</f>
        <v/>
      </c>
      <c r="N20" s="29">
        <f>IFERROR(IF(Table57[[#This Row],[Out]]&gt;$C$3,(Table57[[#This Row],[Out]])-($C$3),""),"")</f>
        <v>2.7858796296296395E-2</v>
      </c>
    </row>
    <row r="21" spans="1:14" hidden="1" x14ac:dyDescent="0.25">
      <c r="A21" s="23" t="str">
        <f>Table57[[#This Row],[No.]]&amp;Table57[[#This Row],[Date]]</f>
        <v>345301</v>
      </c>
      <c r="B21" s="22">
        <f>'Unique Dates'!A18</f>
        <v>3</v>
      </c>
      <c r="C21" s="22" t="str" cm="1">
        <f t="array" ref="C21">_xlfn.XLOOKUP(Table57[[#This Row],[No.]],Table2[[#All],[CODE]],Table2[[#All],[NAME]],,0,1)</f>
        <v>PHY</v>
      </c>
      <c r="D21" s="6">
        <f>'Unique Dates'!B18</f>
        <v>45301</v>
      </c>
      <c r="E21" t="str">
        <f>TEXT(Table57[[#This Row],[Date]],"dddd")</f>
        <v>Wednesday</v>
      </c>
      <c r="F21" s="25" cm="1">
        <f t="array" ref="F21">IFERROR(_xlfn.XLOOKUP(Table57[[#This Row],[Code]],Table1[[#All],[Code]],Table1[[#All],[Time]],,0,1),"")</f>
        <v>0.61783564814814818</v>
      </c>
      <c r="G21" s="25" cm="1">
        <f t="array" ref="G21">IFERROR(_xlfn.XLOOKUP(Table57[[#This Row],[Code]],Table1[[#All],[Code]],Table1[[#All],[Time]],,0,-1),"")</f>
        <v>0.92721064814814813</v>
      </c>
      <c r="H21" s="23">
        <f>IFERROR(IF(Table57[[#This Row],[Out]]&gt;=Table57[[#This Row],[In]],Table57[[#This Row],[Out]]-Table57[[#This Row],[In]],(0.5+Table57[[#This Row],[Out]])-Table57[[#This Row],[In]]),"")</f>
        <v>0.30937499999999996</v>
      </c>
      <c r="I21" s="31">
        <f>IFERROR(IF(Table57[[#This Row],[In]]&gt;$C$2,Table57[[#This Row],[In]]-$C$2,""),"")</f>
        <v>7.6168981481481546E-2</v>
      </c>
      <c r="J21" s="31" t="str">
        <f>IF(Table57[[#This Row],[Work_Hours]]=0,"",(IF(Table57[[#This Row],[Out]]&lt;$C$3,$C$3-Table57[[#This Row],[Out]],"")))</f>
        <v/>
      </c>
      <c r="K21" s="32">
        <f>IFERROR(Table57[[#This Row],[In]]+$C$1,"")</f>
        <v>0.95116898148148143</v>
      </c>
      <c r="L21" s="29"/>
      <c r="M21" s="31" t="str">
        <f>IF($C$2&gt;Table57[[#This Row],[In]],$C$2-Table57[[#This Row],[In]],"")</f>
        <v/>
      </c>
      <c r="N21" s="29">
        <f>IFERROR(IF(Table57[[#This Row],[Out]]&gt;$C$3,(Table57[[#This Row],[Out]])-($C$3),""),"")</f>
        <v>1.0543981481481501E-2</v>
      </c>
    </row>
    <row r="22" spans="1:14" hidden="1" x14ac:dyDescent="0.25">
      <c r="A22" s="23" t="str">
        <f>Table57[[#This Row],[No.]]&amp;Table57[[#This Row],[Date]]</f>
        <v>345305</v>
      </c>
      <c r="B22" s="22">
        <f>'Unique Dates'!A19</f>
        <v>3</v>
      </c>
      <c r="C22" s="22" t="str" cm="1">
        <f t="array" ref="C22">_xlfn.XLOOKUP(Table57[[#This Row],[No.]],Table2[[#All],[CODE]],Table2[[#All],[NAME]],,0,1)</f>
        <v>PHY</v>
      </c>
      <c r="D22" s="6">
        <f>'Unique Dates'!B19</f>
        <v>45305</v>
      </c>
      <c r="E22" t="str">
        <f>TEXT(Table57[[#This Row],[Date]],"dddd")</f>
        <v>Sunday</v>
      </c>
      <c r="F22" s="25" cm="1">
        <f t="array" ref="F22">IFERROR(_xlfn.XLOOKUP(Table57[[#This Row],[Code]],Table1[[#All],[Code]],Table1[[#All],[Time]],,0,1),"")</f>
        <v>0.92271990740740739</v>
      </c>
      <c r="G22" s="25" cm="1">
        <f t="array" ref="G22">IFERROR(_xlfn.XLOOKUP(Table57[[#This Row],[Code]],Table1[[#All],[Code]],Table1[[#All],[Time]],,0,-1),"")</f>
        <v>0.67711805555555549</v>
      </c>
      <c r="H22" s="23">
        <f>IFERROR(IF(Table57[[#This Row],[Out]]&gt;=Table57[[#This Row],[In]],Table57[[#This Row],[Out]]-Table57[[#This Row],[In]],(0.5+Table57[[#This Row],[Out]])-Table57[[#This Row],[In]]),"")</f>
        <v>0.25439814814814798</v>
      </c>
      <c r="I22" s="31">
        <f>IFERROR(IF(Table57[[#This Row],[In]]&gt;$C$2,Table57[[#This Row],[In]]-$C$2,""),"")</f>
        <v>0.38105324074074076</v>
      </c>
      <c r="J22" s="31">
        <f>IF(Table57[[#This Row],[Work_Hours]]=0,"",(IF(Table57[[#This Row],[Out]]&lt;$C$3,$C$3-Table57[[#This Row],[Out]],"")))</f>
        <v>0.23954861111111114</v>
      </c>
      <c r="K22" s="32">
        <f>IFERROR(Table57[[#This Row],[In]]+$C$1,"")</f>
        <v>1.2560532407407408</v>
      </c>
      <c r="L22" s="29"/>
      <c r="M22" s="31" t="str">
        <f>IF($C$2&gt;Table57[[#This Row],[In]],$C$2-Table57[[#This Row],[In]],"")</f>
        <v/>
      </c>
      <c r="N22" s="29" t="str">
        <f>IFERROR(IF(Table57[[#This Row],[Out]]&gt;$C$3,(Table57[[#This Row],[Out]])-($C$3),""),"")</f>
        <v/>
      </c>
    </row>
    <row r="23" spans="1:14" hidden="1" x14ac:dyDescent="0.25">
      <c r="A23" s="23" t="str">
        <f>Table57[[#This Row],[No.]]&amp;Table57[[#This Row],[Date]]</f>
        <v>345306</v>
      </c>
      <c r="B23" s="22">
        <f>'Unique Dates'!A20</f>
        <v>3</v>
      </c>
      <c r="C23" s="22" t="str" cm="1">
        <f t="array" ref="C23">_xlfn.XLOOKUP(Table57[[#This Row],[No.]],Table2[[#All],[CODE]],Table2[[#All],[NAME]],,0,1)</f>
        <v>PHY</v>
      </c>
      <c r="D23" s="6">
        <f>'Unique Dates'!B20</f>
        <v>45306</v>
      </c>
      <c r="E23" t="str">
        <f>TEXT(Table57[[#This Row],[Date]],"dddd")</f>
        <v>Monday</v>
      </c>
      <c r="F23" s="25" cm="1">
        <f t="array" ref="F23">IFERROR(_xlfn.XLOOKUP(Table57[[#This Row],[Code]],Table1[[#All],[Code]],Table1[[#All],[Time]],,0,1),"")</f>
        <v>0.63980324074074069</v>
      </c>
      <c r="G23" s="25" cm="1">
        <f t="array" ref="G23">IFERROR(_xlfn.XLOOKUP(Table57[[#This Row],[Code]],Table1[[#All],[Code]],Table1[[#All],[Time]],,0,-1),"")</f>
        <v>0.93686342592592586</v>
      </c>
      <c r="H23" s="23">
        <f>IFERROR(IF(Table57[[#This Row],[Out]]&gt;=Table57[[#This Row],[In]],Table57[[#This Row],[Out]]-Table57[[#This Row],[In]],(0.5+Table57[[#This Row],[Out]])-Table57[[#This Row],[In]]),"")</f>
        <v>0.29706018518518518</v>
      </c>
      <c r="I23" s="31">
        <f>IFERROR(IF(Table57[[#This Row],[In]]&gt;$C$2,Table57[[#This Row],[In]]-$C$2,""),"")</f>
        <v>9.8136574074074057E-2</v>
      </c>
      <c r="J23" s="31" t="str">
        <f>IF(Table57[[#This Row],[Work_Hours]]=0,"",(IF(Table57[[#This Row],[Out]]&lt;$C$3,$C$3-Table57[[#This Row],[Out]],"")))</f>
        <v/>
      </c>
      <c r="K23" s="32">
        <f>IFERROR(Table57[[#This Row],[In]]+$C$1,"")</f>
        <v>0.97313657407407406</v>
      </c>
      <c r="L23" s="29"/>
      <c r="M23" s="31" t="str">
        <f>IF($C$2&gt;Table57[[#This Row],[In]],$C$2-Table57[[#This Row],[In]],"")</f>
        <v/>
      </c>
      <c r="N23" s="29">
        <f>IFERROR(IF(Table57[[#This Row],[Out]]&gt;$C$3,(Table57[[#This Row],[Out]])-($C$3),""),"")</f>
        <v>2.0196759259259234E-2</v>
      </c>
    </row>
    <row r="24" spans="1:14" hidden="1" x14ac:dyDescent="0.25">
      <c r="A24" s="23" t="str">
        <f>Table57[[#This Row],[No.]]&amp;Table57[[#This Row],[Date]]</f>
        <v>345307</v>
      </c>
      <c r="B24" s="22">
        <f>'Unique Dates'!A21</f>
        <v>3</v>
      </c>
      <c r="C24" s="22" t="str" cm="1">
        <f t="array" ref="C24">_xlfn.XLOOKUP(Table57[[#This Row],[No.]],Table2[[#All],[CODE]],Table2[[#All],[NAME]],,0,1)</f>
        <v>PHY</v>
      </c>
      <c r="D24" s="6">
        <f>'Unique Dates'!B21</f>
        <v>45307</v>
      </c>
      <c r="E24" t="str">
        <f>TEXT(Table57[[#This Row],[Date]],"dddd")</f>
        <v>Tuesday</v>
      </c>
      <c r="F24" s="25" cm="1">
        <f t="array" ref="F24">IFERROR(_xlfn.XLOOKUP(Table57[[#This Row],[Code]],Table1[[#All],[Code]],Table1[[#All],[Time]],,0,1),"")</f>
        <v>0.63717592592592587</v>
      </c>
      <c r="G24" s="25" cm="1">
        <f t="array" ref="G24">IFERROR(_xlfn.XLOOKUP(Table57[[#This Row],[Code]],Table1[[#All],[Code]],Table1[[#All],[Time]],,0,-1),"")</f>
        <v>0.95569444444444451</v>
      </c>
      <c r="H24" s="23">
        <f>IFERROR(IF(Table57[[#This Row],[Out]]&gt;=Table57[[#This Row],[In]],Table57[[#This Row],[Out]]-Table57[[#This Row],[In]],(0.5+Table57[[#This Row],[Out]])-Table57[[#This Row],[In]]),"")</f>
        <v>0.31851851851851865</v>
      </c>
      <c r="I24" s="31">
        <f>IFERROR(IF(Table57[[#This Row],[In]]&gt;$C$2,Table57[[#This Row],[In]]-$C$2,""),"")</f>
        <v>9.5509259259259238E-2</v>
      </c>
      <c r="J24" s="31" t="str">
        <f>IF(Table57[[#This Row],[Work_Hours]]=0,"",(IF(Table57[[#This Row],[Out]]&lt;$C$3,$C$3-Table57[[#This Row],[Out]],"")))</f>
        <v/>
      </c>
      <c r="K24" s="32">
        <f>IFERROR(Table57[[#This Row],[In]]+$C$1,"")</f>
        <v>0.97050925925925924</v>
      </c>
      <c r="L24" s="29"/>
      <c r="M24" s="31" t="str">
        <f>IF($C$2&gt;Table57[[#This Row],[In]],$C$2-Table57[[#This Row],[In]],"")</f>
        <v/>
      </c>
      <c r="N24" s="29">
        <f>IFERROR(IF(Table57[[#This Row],[Out]]&gt;$C$3,(Table57[[#This Row],[Out]])-($C$3),""),"")</f>
        <v>3.9027777777777883E-2</v>
      </c>
    </row>
    <row r="25" spans="1:14" hidden="1" x14ac:dyDescent="0.25">
      <c r="A25" s="23" t="str">
        <f>Table57[[#This Row],[No.]]&amp;Table57[[#This Row],[Date]]</f>
        <v>345308</v>
      </c>
      <c r="B25" s="22">
        <f>'Unique Dates'!A22</f>
        <v>3</v>
      </c>
      <c r="C25" s="22" t="str" cm="1">
        <f t="array" ref="C25">_xlfn.XLOOKUP(Table57[[#This Row],[No.]],Table2[[#All],[CODE]],Table2[[#All],[NAME]],,0,1)</f>
        <v>PHY</v>
      </c>
      <c r="D25" s="6">
        <f>'Unique Dates'!B22</f>
        <v>45308</v>
      </c>
      <c r="E25" t="str">
        <f>TEXT(Table57[[#This Row],[Date]],"dddd")</f>
        <v>Wednesday</v>
      </c>
      <c r="F25" s="25" cm="1">
        <f t="array" ref="F25">IFERROR(_xlfn.XLOOKUP(Table57[[#This Row],[Code]],Table1[[#All],[Code]],Table1[[#All],[Time]],,0,1),"")</f>
        <v>0.66144675925925933</v>
      </c>
      <c r="G25" s="25" cm="1">
        <f t="array" ref="G25">IFERROR(_xlfn.XLOOKUP(Table57[[#This Row],[Code]],Table1[[#All],[Code]],Table1[[#All],[Time]],,0,-1),"")</f>
        <v>0.94017361111111108</v>
      </c>
      <c r="H25" s="23">
        <f>IFERROR(IF(Table57[[#This Row],[Out]]&gt;=Table57[[#This Row],[In]],Table57[[#This Row],[Out]]-Table57[[#This Row],[In]],(0.5+Table57[[#This Row],[Out]])-Table57[[#This Row],[In]]),"")</f>
        <v>0.27872685185185175</v>
      </c>
      <c r="I25" s="31">
        <f>IFERROR(IF(Table57[[#This Row],[In]]&gt;$C$2,Table57[[#This Row],[In]]-$C$2,""),"")</f>
        <v>0.1197800925925927</v>
      </c>
      <c r="J25" s="31" t="str">
        <f>IF(Table57[[#This Row],[Work_Hours]]=0,"",(IF(Table57[[#This Row],[Out]]&lt;$C$3,$C$3-Table57[[#This Row],[Out]],"")))</f>
        <v/>
      </c>
      <c r="K25" s="32">
        <f>IFERROR(Table57[[#This Row],[In]]+$C$1,"")</f>
        <v>0.9947800925925927</v>
      </c>
      <c r="L25" s="29"/>
      <c r="M25" s="31" t="str">
        <f>IF($C$2&gt;Table57[[#This Row],[In]],$C$2-Table57[[#This Row],[In]],"")</f>
        <v/>
      </c>
      <c r="N25" s="29">
        <f>IFERROR(IF(Table57[[#This Row],[Out]]&gt;$C$3,(Table57[[#This Row],[Out]])-($C$3),""),"")</f>
        <v>2.3506944444444455E-2</v>
      </c>
    </row>
    <row r="26" spans="1:14" hidden="1" x14ac:dyDescent="0.25">
      <c r="A26" s="23" t="str">
        <f>Table57[[#This Row],[No.]]&amp;Table57[[#This Row],[Date]]</f>
        <v>345309</v>
      </c>
      <c r="B26" s="22">
        <f>'Unique Dates'!A23</f>
        <v>3</v>
      </c>
      <c r="C26" s="22" t="str" cm="1">
        <f t="array" ref="C26">_xlfn.XLOOKUP(Table57[[#This Row],[No.]],Table2[[#All],[CODE]],Table2[[#All],[NAME]],,0,1)</f>
        <v>PHY</v>
      </c>
      <c r="D26" s="6">
        <f>'Unique Dates'!B23</f>
        <v>45309</v>
      </c>
      <c r="E26" t="str">
        <f>TEXT(Table57[[#This Row],[Date]],"dddd")</f>
        <v>Thursday</v>
      </c>
      <c r="F26" s="25" cm="1">
        <f t="array" ref="F26">IFERROR(_xlfn.XLOOKUP(Table57[[#This Row],[Code]],Table1[[#All],[Code]],Table1[[#All],[Time]],,0,1),"")</f>
        <v>0.66671296296296301</v>
      </c>
      <c r="G26" s="25" cm="1">
        <f t="array" ref="G26">IFERROR(_xlfn.XLOOKUP(Table57[[#This Row],[Code]],Table1[[#All],[Code]],Table1[[#All],[Time]],,0,-1),"")</f>
        <v>0.91008101851851853</v>
      </c>
      <c r="H26" s="23">
        <f>IFERROR(IF(Table57[[#This Row],[Out]]&gt;=Table57[[#This Row],[In]],Table57[[#This Row],[Out]]-Table57[[#This Row],[In]],(0.5+Table57[[#This Row],[Out]])-Table57[[#This Row],[In]]),"")</f>
        <v>0.24336805555555552</v>
      </c>
      <c r="I26" s="31">
        <f>IFERROR(IF(Table57[[#This Row],[In]]&gt;$C$2,Table57[[#This Row],[In]]-$C$2,""),"")</f>
        <v>0.12504629629629638</v>
      </c>
      <c r="J26" s="31">
        <f>IF(Table57[[#This Row],[Work_Hours]]=0,"",(IF(Table57[[#This Row],[Out]]&lt;$C$3,$C$3-Table57[[#This Row],[Out]],"")))</f>
        <v>6.5856481481481044E-3</v>
      </c>
      <c r="K26" s="32">
        <f>IFERROR(Table57[[#This Row],[In]]+$C$1,"")</f>
        <v>1.0000462962962964</v>
      </c>
      <c r="L26" s="29"/>
      <c r="M26" s="31" t="str">
        <f>IF($C$2&gt;Table57[[#This Row],[In]],$C$2-Table57[[#This Row],[In]],"")</f>
        <v/>
      </c>
      <c r="N26" s="29" t="str">
        <f>IFERROR(IF(Table57[[#This Row],[Out]]&gt;$C$3,(Table57[[#This Row],[Out]])-($C$3),""),"")</f>
        <v/>
      </c>
    </row>
    <row r="27" spans="1:14" hidden="1" x14ac:dyDescent="0.25">
      <c r="A27" s="23" t="str">
        <f>Table57[[#This Row],[No.]]&amp;Table57[[#This Row],[Date]]</f>
        <v>345313</v>
      </c>
      <c r="B27" s="22">
        <f>'Unique Dates'!A24</f>
        <v>3</v>
      </c>
      <c r="C27" s="22" t="str" cm="1">
        <f t="array" ref="C27">_xlfn.XLOOKUP(Table57[[#This Row],[No.]],Table2[[#All],[CODE]],Table2[[#All],[NAME]],,0,1)</f>
        <v>PHY</v>
      </c>
      <c r="D27" s="6">
        <f>'Unique Dates'!B24</f>
        <v>45313</v>
      </c>
      <c r="E27" t="str">
        <f>TEXT(Table57[[#This Row],[Date]],"dddd")</f>
        <v>Monday</v>
      </c>
      <c r="F27" s="25" cm="1">
        <f t="array" ref="F27">IFERROR(_xlfn.XLOOKUP(Table57[[#This Row],[Code]],Table1[[#All],[Code]],Table1[[#All],[Time]],,0,1),"")</f>
        <v>0.62905092592592593</v>
      </c>
      <c r="G27" s="25" cm="1">
        <f t="array" ref="G27">IFERROR(_xlfn.XLOOKUP(Table57[[#This Row],[Code]],Table1[[#All],[Code]],Table1[[#All],[Time]],,0,-1),"")</f>
        <v>0.8982175925925926</v>
      </c>
      <c r="H27" s="23">
        <f>IFERROR(IF(Table57[[#This Row],[Out]]&gt;=Table57[[#This Row],[In]],Table57[[#This Row],[Out]]-Table57[[#This Row],[In]],(0.5+Table57[[#This Row],[Out]])-Table57[[#This Row],[In]]),"")</f>
        <v>0.26916666666666667</v>
      </c>
      <c r="I27" s="31">
        <f>IFERROR(IF(Table57[[#This Row],[In]]&gt;$C$2,Table57[[#This Row],[In]]-$C$2,""),"")</f>
        <v>8.73842592592593E-2</v>
      </c>
      <c r="J27" s="31">
        <f>IF(Table57[[#This Row],[Work_Hours]]=0,"",(IF(Table57[[#This Row],[Out]]&lt;$C$3,$C$3-Table57[[#This Row],[Out]],"")))</f>
        <v>1.8449074074074034E-2</v>
      </c>
      <c r="K27" s="32">
        <f>IFERROR(Table57[[#This Row],[In]]+$C$1,"")</f>
        <v>0.9623842592592593</v>
      </c>
      <c r="L27" s="29"/>
      <c r="M27" s="31" t="str">
        <f>IF($C$2&gt;Table57[[#This Row],[In]],$C$2-Table57[[#This Row],[In]],"")</f>
        <v/>
      </c>
      <c r="N27" s="29" t="str">
        <f>IFERROR(IF(Table57[[#This Row],[Out]]&gt;$C$3,(Table57[[#This Row],[Out]])-($C$3),""),"")</f>
        <v/>
      </c>
    </row>
    <row r="28" spans="1:14" hidden="1" x14ac:dyDescent="0.25">
      <c r="A28" s="23" t="str">
        <f>Table57[[#This Row],[No.]]&amp;Table57[[#This Row],[Date]]</f>
        <v>345314</v>
      </c>
      <c r="B28" s="22">
        <f>'Unique Dates'!A25</f>
        <v>3</v>
      </c>
      <c r="C28" s="22" t="str" cm="1">
        <f t="array" ref="C28">_xlfn.XLOOKUP(Table57[[#This Row],[No.]],Table2[[#All],[CODE]],Table2[[#All],[NAME]],,0,1)</f>
        <v>PHY</v>
      </c>
      <c r="D28" s="6">
        <f>'Unique Dates'!B25</f>
        <v>45314</v>
      </c>
      <c r="E28" t="str">
        <f>TEXT(Table57[[#This Row],[Date]],"dddd")</f>
        <v>Tuesday</v>
      </c>
      <c r="F28" s="25" cm="1">
        <f t="array" ref="F28">IFERROR(_xlfn.XLOOKUP(Table57[[#This Row],[Code]],Table1[[#All],[Code]],Table1[[#All],[Time]],,0,1),"")</f>
        <v>0.64325231481481482</v>
      </c>
      <c r="G28" s="25" cm="1">
        <f t="array" ref="G28">IFERROR(_xlfn.XLOOKUP(Table57[[#This Row],[Code]],Table1[[#All],[Code]],Table1[[#All],[Time]],,0,-1),"")</f>
        <v>0.89922453703703698</v>
      </c>
      <c r="H28" s="23">
        <f>IFERROR(IF(Table57[[#This Row],[Out]]&gt;=Table57[[#This Row],[In]],Table57[[#This Row],[Out]]-Table57[[#This Row],[In]],(0.5+Table57[[#This Row],[Out]])-Table57[[#This Row],[In]]),"")</f>
        <v>0.25597222222222216</v>
      </c>
      <c r="I28" s="31">
        <f>IFERROR(IF(Table57[[#This Row],[In]]&gt;$C$2,Table57[[#This Row],[In]]-$C$2,""),"")</f>
        <v>0.10158564814814819</v>
      </c>
      <c r="J28" s="31">
        <f>IF(Table57[[#This Row],[Work_Hours]]=0,"",(IF(Table57[[#This Row],[Out]]&lt;$C$3,$C$3-Table57[[#This Row],[Out]],"")))</f>
        <v>1.7442129629629655E-2</v>
      </c>
      <c r="K28" s="32">
        <f>IFERROR(Table57[[#This Row],[In]]+$C$1,"")</f>
        <v>0.97658564814814808</v>
      </c>
      <c r="L28" s="29"/>
      <c r="M28" s="31" t="str">
        <f>IF($C$2&gt;Table57[[#This Row],[In]],$C$2-Table57[[#This Row],[In]],"")</f>
        <v/>
      </c>
      <c r="N28" s="29" t="str">
        <f>IFERROR(IF(Table57[[#This Row],[Out]]&gt;$C$3,(Table57[[#This Row],[Out]])-($C$3),""),"")</f>
        <v/>
      </c>
    </row>
    <row r="29" spans="1:14" hidden="1" x14ac:dyDescent="0.25">
      <c r="A29" s="23" t="str">
        <f>Table57[[#This Row],[No.]]&amp;Table57[[#This Row],[Date]]</f>
        <v>345319</v>
      </c>
      <c r="B29" s="22">
        <f>'Unique Dates'!A26</f>
        <v>3</v>
      </c>
      <c r="C29" s="22" t="str" cm="1">
        <f t="array" ref="C29">_xlfn.XLOOKUP(Table57[[#This Row],[No.]],Table2[[#All],[CODE]],Table2[[#All],[NAME]],,0,1)</f>
        <v>PHY</v>
      </c>
      <c r="D29" s="6">
        <f>'Unique Dates'!B26</f>
        <v>45319</v>
      </c>
      <c r="E29" t="str">
        <f>TEXT(Table57[[#This Row],[Date]],"dddd")</f>
        <v>Sunday</v>
      </c>
      <c r="F29" s="25" cm="1">
        <f t="array" ref="F29">IFERROR(_xlfn.XLOOKUP(Table57[[#This Row],[Code]],Table1[[#All],[Code]],Table1[[#All],[Time]],,0,1),"")</f>
        <v>0.61924768518518525</v>
      </c>
      <c r="G29" s="25" cm="1">
        <f t="array" ref="G29">IFERROR(_xlfn.XLOOKUP(Table57[[#This Row],[Code]],Table1[[#All],[Code]],Table1[[#All],[Time]],,0,-1),"")</f>
        <v>0.61924768518518525</v>
      </c>
      <c r="H29" s="23">
        <f>IFERROR(IF(Table57[[#This Row],[Out]]&gt;=Table57[[#This Row],[In]],Table57[[#This Row],[Out]]-Table57[[#This Row],[In]],(0.5+Table57[[#This Row],[Out]])-Table57[[#This Row],[In]]),"")</f>
        <v>0</v>
      </c>
      <c r="I29" s="31">
        <f>IFERROR(IF(Table57[[#This Row],[In]]&gt;$C$2,Table57[[#This Row],[In]]-$C$2,""),"")</f>
        <v>7.7581018518518619E-2</v>
      </c>
      <c r="J29" s="31" t="str">
        <f>IF(Table57[[#This Row],[Work_Hours]]=0,"",(IF(Table57[[#This Row],[Out]]&lt;$C$3,$C$3-Table57[[#This Row],[Out]],"")))</f>
        <v/>
      </c>
      <c r="K29" s="32">
        <f>IFERROR(Table57[[#This Row],[In]]+$C$1,"")</f>
        <v>0.95258101851851862</v>
      </c>
      <c r="L29" s="29"/>
      <c r="M29" s="31" t="str">
        <f>IF($C$2&gt;Table57[[#This Row],[In]],$C$2-Table57[[#This Row],[In]],"")</f>
        <v/>
      </c>
      <c r="N29" s="29" t="str">
        <f>IFERROR(IF(Table57[[#This Row],[Out]]&gt;$C$3,(Table57[[#This Row],[Out]])-($C$3),""),"")</f>
        <v/>
      </c>
    </row>
    <row r="30" spans="1:14" hidden="1" x14ac:dyDescent="0.25">
      <c r="A30" s="23" t="str">
        <f>Table57[[#This Row],[No.]]&amp;Table57[[#This Row],[Date]]</f>
        <v>645292</v>
      </c>
      <c r="B30" s="22">
        <f>'Unique Dates'!A27</f>
        <v>6</v>
      </c>
      <c r="C30" s="22" t="str" cm="1">
        <f t="array" ref="C30">_xlfn.XLOOKUP(Table57[[#This Row],[No.]],Table2[[#All],[CODE]],Table2[[#All],[NAME]],,0,1)</f>
        <v>MOHAMED</v>
      </c>
      <c r="D30" s="6">
        <f>'Unique Dates'!B27</f>
        <v>45292</v>
      </c>
      <c r="E30" t="str">
        <f>TEXT(Table57[[#This Row],[Date]],"dddd")</f>
        <v>Monday</v>
      </c>
      <c r="F30" s="25" cm="1">
        <f t="array" ref="F30">IFERROR(_xlfn.XLOOKUP(Table57[[#This Row],[Code]],Table1[[#All],[Code]],Table1[[#All],[Time]],,0,1),"")</f>
        <v>0.5682638888888889</v>
      </c>
      <c r="G30" s="25" cm="1">
        <f t="array" ref="G30">IFERROR(_xlfn.XLOOKUP(Table57[[#This Row],[Code]],Table1[[#All],[Code]],Table1[[#All],[Time]],,0,-1),"")</f>
        <v>0.5682638888888889</v>
      </c>
      <c r="H30" s="23">
        <f>IFERROR(IF(Table57[[#This Row],[Out]]&gt;=Table57[[#This Row],[In]],Table57[[#This Row],[Out]]-Table57[[#This Row],[In]],(0.5+Table57[[#This Row],[Out]])-Table57[[#This Row],[In]]),"")</f>
        <v>0</v>
      </c>
      <c r="I30" s="31">
        <f>IFERROR(IF(Table57[[#This Row],[In]]&gt;$C$2,Table57[[#This Row],[In]]-$C$2,""),"")</f>
        <v>2.6597222222222272E-2</v>
      </c>
      <c r="J30" s="31" t="str">
        <f>IF(Table57[[#This Row],[Work_Hours]]=0,"",(IF(Table57[[#This Row],[Out]]&lt;$C$3,$C$3-Table57[[#This Row],[Out]],"")))</f>
        <v/>
      </c>
      <c r="K30" s="32">
        <f>IFERROR(Table57[[#This Row],[In]]+$C$1,"")</f>
        <v>0.90159722222222216</v>
      </c>
      <c r="L30" s="29"/>
      <c r="M30" s="31" t="str">
        <f>IF($C$2&gt;Table57[[#This Row],[In]],$C$2-Table57[[#This Row],[In]],"")</f>
        <v/>
      </c>
      <c r="N30" s="29" t="str">
        <f>IFERROR(IF(Table57[[#This Row],[Out]]&gt;$C$3,(Table57[[#This Row],[Out]])-($C$3),""),"")</f>
        <v/>
      </c>
    </row>
    <row r="31" spans="1:14" hidden="1" x14ac:dyDescent="0.25">
      <c r="A31" s="23" t="str">
        <f>Table57[[#This Row],[No.]]&amp;Table57[[#This Row],[Date]]</f>
        <v>645293</v>
      </c>
      <c r="B31" s="22">
        <f>'Unique Dates'!A28</f>
        <v>6</v>
      </c>
      <c r="C31" s="22" t="str" cm="1">
        <f t="array" ref="C31">_xlfn.XLOOKUP(Table57[[#This Row],[No.]],Table2[[#All],[CODE]],Table2[[#All],[NAME]],,0,1)</f>
        <v>MOHAMED</v>
      </c>
      <c r="D31" s="6">
        <f>'Unique Dates'!B28</f>
        <v>45293</v>
      </c>
      <c r="E31" t="str">
        <f>TEXT(Table57[[#This Row],[Date]],"dddd")</f>
        <v>Tuesday</v>
      </c>
      <c r="F31" s="25" cm="1">
        <f t="array" ref="F31">IFERROR(_xlfn.XLOOKUP(Table57[[#This Row],[Code]],Table1[[#All],[Code]],Table1[[#All],[Time]],,0,1),"")</f>
        <v>0.98237268518518517</v>
      </c>
      <c r="G31" s="25" cm="1">
        <f t="array" ref="G31">IFERROR(_xlfn.XLOOKUP(Table57[[#This Row],[Code]],Table1[[#All],[Code]],Table1[[#All],[Time]],,0,-1),"")</f>
        <v>0.98237268518518517</v>
      </c>
      <c r="H31" s="23">
        <f>IFERROR(IF(Table57[[#This Row],[Out]]&gt;=Table57[[#This Row],[In]],Table57[[#This Row],[Out]]-Table57[[#This Row],[In]],(0.5+Table57[[#This Row],[Out]])-Table57[[#This Row],[In]]),"")</f>
        <v>0</v>
      </c>
      <c r="I31" s="31">
        <f>IFERROR(IF(Table57[[#This Row],[In]]&gt;$C$2,Table57[[#This Row],[In]]-$C$2,""),"")</f>
        <v>0.44070601851851854</v>
      </c>
      <c r="J31" s="31" t="str">
        <f>IF(Table57[[#This Row],[Work_Hours]]=0,"",(IF(Table57[[#This Row],[Out]]&lt;$C$3,$C$3-Table57[[#This Row],[Out]],"")))</f>
        <v/>
      </c>
      <c r="K31" s="32">
        <f>IFERROR(Table57[[#This Row],[In]]+$C$1,"")</f>
        <v>1.3157060185185185</v>
      </c>
      <c r="L31" s="29"/>
      <c r="M31" s="31" t="str">
        <f>IF($C$2&gt;Table57[[#This Row],[In]],$C$2-Table57[[#This Row],[In]],"")</f>
        <v/>
      </c>
      <c r="N31" s="29">
        <f>IFERROR(IF(Table57[[#This Row],[Out]]&gt;$C$3,(Table57[[#This Row],[Out]])-($C$3),""),"")</f>
        <v>6.5706018518518539E-2</v>
      </c>
    </row>
    <row r="32" spans="1:14" hidden="1" x14ac:dyDescent="0.25">
      <c r="A32" s="23" t="str">
        <f>Table57[[#This Row],[No.]]&amp;Table57[[#This Row],[Date]]</f>
        <v>645294</v>
      </c>
      <c r="B32" s="22">
        <f>'Unique Dates'!A29</f>
        <v>6</v>
      </c>
      <c r="C32" s="22" t="str" cm="1">
        <f t="array" ref="C32">_xlfn.XLOOKUP(Table57[[#This Row],[No.]],Table2[[#All],[CODE]],Table2[[#All],[NAME]],,0,1)</f>
        <v>MOHAMED</v>
      </c>
      <c r="D32" s="6">
        <f>'Unique Dates'!B29</f>
        <v>45294</v>
      </c>
      <c r="E32" t="str">
        <f>TEXT(Table57[[#This Row],[Date]],"dddd")</f>
        <v>Wednesday</v>
      </c>
      <c r="F32" s="25" cm="1">
        <f t="array" ref="F32">IFERROR(_xlfn.XLOOKUP(Table57[[#This Row],[Code]],Table1[[#All],[Code]],Table1[[#All],[Time]],,0,1),"")</f>
        <v>0.97773148148148159</v>
      </c>
      <c r="G32" s="25" cm="1">
        <f t="array" ref="G32">IFERROR(_xlfn.XLOOKUP(Table57[[#This Row],[Code]],Table1[[#All],[Code]],Table1[[#All],[Time]],,0,-1),"")</f>
        <v>0.97773148148148159</v>
      </c>
      <c r="H32" s="23">
        <f>IFERROR(IF(Table57[[#This Row],[Out]]&gt;=Table57[[#This Row],[In]],Table57[[#This Row],[Out]]-Table57[[#This Row],[In]],(0.5+Table57[[#This Row],[Out]])-Table57[[#This Row],[In]]),"")</f>
        <v>0</v>
      </c>
      <c r="I32" s="31">
        <f>IFERROR(IF(Table57[[#This Row],[In]]&gt;$C$2,Table57[[#This Row],[In]]-$C$2,""),"")</f>
        <v>0.43606481481481496</v>
      </c>
      <c r="J32" s="31" t="str">
        <f>IF(Table57[[#This Row],[Work_Hours]]=0,"",(IF(Table57[[#This Row],[Out]]&lt;$C$3,$C$3-Table57[[#This Row],[Out]],"")))</f>
        <v/>
      </c>
      <c r="K32" s="32">
        <f>IFERROR(Table57[[#This Row],[In]]+$C$1,"")</f>
        <v>1.311064814814815</v>
      </c>
      <c r="L32" s="29"/>
      <c r="M32" s="31" t="str">
        <f>IF($C$2&gt;Table57[[#This Row],[In]],$C$2-Table57[[#This Row],[In]],"")</f>
        <v/>
      </c>
      <c r="N32" s="29">
        <f>IFERROR(IF(Table57[[#This Row],[Out]]&gt;$C$3,(Table57[[#This Row],[Out]])-($C$3),""),"")</f>
        <v>6.1064814814814961E-2</v>
      </c>
    </row>
    <row r="33" spans="1:14" hidden="1" x14ac:dyDescent="0.25">
      <c r="A33" s="23" t="str">
        <f>Table57[[#This Row],[No.]]&amp;Table57[[#This Row],[Date]]</f>
        <v>645295</v>
      </c>
      <c r="B33" s="22">
        <f>'Unique Dates'!A30</f>
        <v>6</v>
      </c>
      <c r="C33" s="22" t="str" cm="1">
        <f t="array" ref="C33">_xlfn.XLOOKUP(Table57[[#This Row],[No.]],Table2[[#All],[CODE]],Table2[[#All],[NAME]],,0,1)</f>
        <v>MOHAMED</v>
      </c>
      <c r="D33" s="6">
        <f>'Unique Dates'!B30</f>
        <v>45295</v>
      </c>
      <c r="E33" t="str">
        <f>TEXT(Table57[[#This Row],[Date]],"dddd")</f>
        <v>Thursday</v>
      </c>
      <c r="F33" s="25" cm="1">
        <f t="array" ref="F33">IFERROR(_xlfn.XLOOKUP(Table57[[#This Row],[Code]],Table1[[#All],[Code]],Table1[[#All],[Time]],,0,1),"")</f>
        <v>0.9070717592592592</v>
      </c>
      <c r="G33" s="25" cm="1">
        <f t="array" ref="G33">IFERROR(_xlfn.XLOOKUP(Table57[[#This Row],[Code]],Table1[[#All],[Code]],Table1[[#All],[Time]],,0,-1),"")</f>
        <v>0.9070717592592592</v>
      </c>
      <c r="H33" s="23">
        <f>IFERROR(IF(Table57[[#This Row],[Out]]&gt;=Table57[[#This Row],[In]],Table57[[#This Row],[Out]]-Table57[[#This Row],[In]],(0.5+Table57[[#This Row],[Out]])-Table57[[#This Row],[In]]),"")</f>
        <v>0</v>
      </c>
      <c r="I33" s="31">
        <f>IFERROR(IF(Table57[[#This Row],[In]]&gt;$C$2,Table57[[#This Row],[In]]-$C$2,""),"")</f>
        <v>0.36540509259259257</v>
      </c>
      <c r="J33" s="31" t="str">
        <f>IF(Table57[[#This Row],[Work_Hours]]=0,"",(IF(Table57[[#This Row],[Out]]&lt;$C$3,$C$3-Table57[[#This Row],[Out]],"")))</f>
        <v/>
      </c>
      <c r="K33" s="32">
        <f>IFERROR(Table57[[#This Row],[In]]+$C$1,"")</f>
        <v>1.2404050925925925</v>
      </c>
      <c r="L33" s="29"/>
      <c r="M33" s="31" t="str">
        <f>IF($C$2&gt;Table57[[#This Row],[In]],$C$2-Table57[[#This Row],[In]],"")</f>
        <v/>
      </c>
      <c r="N33" s="29" t="str">
        <f>IFERROR(IF(Table57[[#This Row],[Out]]&gt;$C$3,(Table57[[#This Row],[Out]])-($C$3),""),"")</f>
        <v/>
      </c>
    </row>
    <row r="34" spans="1:14" hidden="1" x14ac:dyDescent="0.25">
      <c r="A34" s="23" t="str">
        <f>Table57[[#This Row],[No.]]&amp;Table57[[#This Row],[Date]]</f>
        <v>645298</v>
      </c>
      <c r="B34" s="22">
        <f>'Unique Dates'!A31</f>
        <v>6</v>
      </c>
      <c r="C34" s="22" t="str" cm="1">
        <f t="array" ref="C34">_xlfn.XLOOKUP(Table57[[#This Row],[No.]],Table2[[#All],[CODE]],Table2[[#All],[NAME]],,0,1)</f>
        <v>MOHAMED</v>
      </c>
      <c r="D34" s="6">
        <f>'Unique Dates'!B31</f>
        <v>45298</v>
      </c>
      <c r="E34" t="str">
        <f>TEXT(Table57[[#This Row],[Date]],"dddd")</f>
        <v>Sunday</v>
      </c>
      <c r="F34" s="25" cm="1">
        <f t="array" ref="F34">IFERROR(_xlfn.XLOOKUP(Table57[[#This Row],[Code]],Table1[[#All],[Code]],Table1[[#All],[Time]],,0,1),"")</f>
        <v>0.57344907407407408</v>
      </c>
      <c r="G34" s="25" cm="1">
        <f t="array" ref="G34">IFERROR(_xlfn.XLOOKUP(Table57[[#This Row],[Code]],Table1[[#All],[Code]],Table1[[#All],[Time]],,0,-1),"")</f>
        <v>0.57344907407407408</v>
      </c>
      <c r="H34" s="23">
        <f>IFERROR(IF(Table57[[#This Row],[Out]]&gt;=Table57[[#This Row],[In]],Table57[[#This Row],[Out]]-Table57[[#This Row],[In]],(0.5+Table57[[#This Row],[Out]])-Table57[[#This Row],[In]]),"")</f>
        <v>0</v>
      </c>
      <c r="I34" s="31">
        <f>IFERROR(IF(Table57[[#This Row],[In]]&gt;$C$2,Table57[[#This Row],[In]]-$C$2,""),"")</f>
        <v>3.1782407407407454E-2</v>
      </c>
      <c r="J34" s="31" t="str">
        <f>IF(Table57[[#This Row],[Work_Hours]]=0,"",(IF(Table57[[#This Row],[Out]]&lt;$C$3,$C$3-Table57[[#This Row],[Out]],"")))</f>
        <v/>
      </c>
      <c r="K34" s="32">
        <f>IFERROR(Table57[[#This Row],[In]]+$C$1,"")</f>
        <v>0.90678240740740734</v>
      </c>
      <c r="L34" s="29"/>
      <c r="M34" s="31" t="str">
        <f>IF($C$2&gt;Table57[[#This Row],[In]],$C$2-Table57[[#This Row],[In]],"")</f>
        <v/>
      </c>
      <c r="N34" s="29" t="str">
        <f>IFERROR(IF(Table57[[#This Row],[Out]]&gt;$C$3,(Table57[[#This Row],[Out]])-($C$3),""),"")</f>
        <v/>
      </c>
    </row>
    <row r="35" spans="1:14" hidden="1" x14ac:dyDescent="0.25">
      <c r="A35" s="23" t="str">
        <f>Table57[[#This Row],[No.]]&amp;Table57[[#This Row],[Date]]</f>
        <v>645299</v>
      </c>
      <c r="B35" s="22">
        <f>'Unique Dates'!A32</f>
        <v>6</v>
      </c>
      <c r="C35" s="22" t="str" cm="1">
        <f t="array" ref="C35">_xlfn.XLOOKUP(Table57[[#This Row],[No.]],Table2[[#All],[CODE]],Table2[[#All],[NAME]],,0,1)</f>
        <v>MOHAMED</v>
      </c>
      <c r="D35" s="6">
        <f>'Unique Dates'!B32</f>
        <v>45299</v>
      </c>
      <c r="E35" t="str">
        <f>TEXT(Table57[[#This Row],[Date]],"dddd")</f>
        <v>Monday</v>
      </c>
      <c r="F35" s="25" cm="1">
        <f t="array" ref="F35">IFERROR(_xlfn.XLOOKUP(Table57[[#This Row],[Code]],Table1[[#All],[Code]],Table1[[#All],[Time]],,0,1),"")</f>
        <v>0.5115277777777778</v>
      </c>
      <c r="G35" s="25" cm="1">
        <f t="array" ref="G35">IFERROR(_xlfn.XLOOKUP(Table57[[#This Row],[Code]],Table1[[#All],[Code]],Table1[[#All],[Time]],,0,-1),"")</f>
        <v>0.5115277777777778</v>
      </c>
      <c r="H35" s="23">
        <f>IFERROR(IF(Table57[[#This Row],[Out]]&gt;=Table57[[#This Row],[In]],Table57[[#This Row],[Out]]-Table57[[#This Row],[In]],(0.5+Table57[[#This Row],[Out]])-Table57[[#This Row],[In]]),"")</f>
        <v>0</v>
      </c>
      <c r="I35" s="31" t="str">
        <f>IFERROR(IF(Table57[[#This Row],[In]]&gt;$C$2,Table57[[#This Row],[In]]-$C$2,""),"")</f>
        <v/>
      </c>
      <c r="J35" s="31" t="str">
        <f>IF(Table57[[#This Row],[Work_Hours]]=0,"",(IF(Table57[[#This Row],[Out]]&lt;$C$3,$C$3-Table57[[#This Row],[Out]],"")))</f>
        <v/>
      </c>
      <c r="K35" s="32">
        <f>IFERROR(Table57[[#This Row],[In]]+$C$1,"")</f>
        <v>0.84486111111111106</v>
      </c>
      <c r="L35" s="29"/>
      <c r="M35" s="31">
        <f>IF($C$2&gt;Table57[[#This Row],[In]],$C$2-Table57[[#This Row],[In]],"")</f>
        <v>3.0138888888888826E-2</v>
      </c>
      <c r="N35" s="29" t="str">
        <f>IFERROR(IF(Table57[[#This Row],[Out]]&gt;$C$3,(Table57[[#This Row],[Out]])-($C$3),""),"")</f>
        <v/>
      </c>
    </row>
    <row r="36" spans="1:14" hidden="1" x14ac:dyDescent="0.25">
      <c r="A36" s="23" t="str">
        <f>Table57[[#This Row],[No.]]&amp;Table57[[#This Row],[Date]]</f>
        <v>645300</v>
      </c>
      <c r="B36" s="22">
        <f>'Unique Dates'!A33</f>
        <v>6</v>
      </c>
      <c r="C36" s="22" t="str" cm="1">
        <f t="array" ref="C36">_xlfn.XLOOKUP(Table57[[#This Row],[No.]],Table2[[#All],[CODE]],Table2[[#All],[NAME]],,0,1)</f>
        <v>MOHAMED</v>
      </c>
      <c r="D36" s="6">
        <f>'Unique Dates'!B33</f>
        <v>45300</v>
      </c>
      <c r="E36" t="str">
        <f>TEXT(Table57[[#This Row],[Date]],"dddd")</f>
        <v>Tuesday</v>
      </c>
      <c r="F36" s="25" cm="1">
        <f t="array" ref="F36">IFERROR(_xlfn.XLOOKUP(Table57[[#This Row],[Code]],Table1[[#All],[Code]],Table1[[#All],[Time]],,0,1),"")</f>
        <v>0.99148148148148152</v>
      </c>
      <c r="G36" s="25" cm="1">
        <f t="array" ref="G36">IFERROR(_xlfn.XLOOKUP(Table57[[#This Row],[Code]],Table1[[#All],[Code]],Table1[[#All],[Time]],,0,-1),"")</f>
        <v>0.99148148148148152</v>
      </c>
      <c r="H36" s="23">
        <f>IFERROR(IF(Table57[[#This Row],[Out]]&gt;=Table57[[#This Row],[In]],Table57[[#This Row],[Out]]-Table57[[#This Row],[In]],(0.5+Table57[[#This Row],[Out]])-Table57[[#This Row],[In]]),"")</f>
        <v>0</v>
      </c>
      <c r="I36" s="31">
        <f>IFERROR(IF(Table57[[#This Row],[In]]&gt;$C$2,Table57[[#This Row],[In]]-$C$2,""),"")</f>
        <v>0.44981481481481489</v>
      </c>
      <c r="J36" s="31" t="str">
        <f>IF(Table57[[#This Row],[Work_Hours]]=0,"",(IF(Table57[[#This Row],[Out]]&lt;$C$3,$C$3-Table57[[#This Row],[Out]],"")))</f>
        <v/>
      </c>
      <c r="K36" s="32">
        <f>IFERROR(Table57[[#This Row],[In]]+$C$1,"")</f>
        <v>1.3248148148148149</v>
      </c>
      <c r="L36" s="29"/>
      <c r="M36" s="31" t="str">
        <f>IF($C$2&gt;Table57[[#This Row],[In]],$C$2-Table57[[#This Row],[In]],"")</f>
        <v/>
      </c>
      <c r="N36" s="31">
        <f>IFERROR(IF(Table57[[#This Row],[Out]]&gt;$C$3,(Table57[[#This Row],[Out]])-($C$3),""),"")</f>
        <v>7.4814814814814889E-2</v>
      </c>
    </row>
    <row r="37" spans="1:14" hidden="1" x14ac:dyDescent="0.25">
      <c r="A37" s="23" t="str">
        <f>Table57[[#This Row],[No.]]&amp;Table57[[#This Row],[Date]]</f>
        <v>645305</v>
      </c>
      <c r="B37" s="22">
        <f>'Unique Dates'!A34</f>
        <v>6</v>
      </c>
      <c r="C37" s="22" t="str" cm="1">
        <f t="array" ref="C37">_xlfn.XLOOKUP(Table57[[#This Row],[No.]],Table2[[#All],[CODE]],Table2[[#All],[NAME]],,0,1)</f>
        <v>MOHAMED</v>
      </c>
      <c r="D37" s="6">
        <f>'Unique Dates'!B34</f>
        <v>45305</v>
      </c>
      <c r="E37" t="str">
        <f>TEXT(Table57[[#This Row],[Date]],"dddd")</f>
        <v>Sunday</v>
      </c>
      <c r="F37" s="25" cm="1">
        <f t="array" ref="F37">IFERROR(_xlfn.XLOOKUP(Table57[[#This Row],[Code]],Table1[[#All],[Code]],Table1[[#All],[Time]],,0,1),"")</f>
        <v>0.9196643518518518</v>
      </c>
      <c r="G37" s="25" cm="1">
        <f t="array" ref="G37">IFERROR(_xlfn.XLOOKUP(Table57[[#This Row],[Code]],Table1[[#All],[Code]],Table1[[#All],[Time]],,0,-1),"")</f>
        <v>0.9196643518518518</v>
      </c>
      <c r="H37" s="23">
        <f>IFERROR(IF(Table57[[#This Row],[Out]]&gt;=Table57[[#This Row],[In]],Table57[[#This Row],[Out]]-Table57[[#This Row],[In]],(0.5+Table57[[#This Row],[Out]])-Table57[[#This Row],[In]]),"")</f>
        <v>0</v>
      </c>
      <c r="I37" s="31">
        <f>IFERROR(IF(Table57[[#This Row],[In]]&gt;$C$2,Table57[[#This Row],[In]]-$C$2,""),"")</f>
        <v>0.37799768518518517</v>
      </c>
      <c r="J37" s="31" t="str">
        <f>IF(Table57[[#This Row],[Work_Hours]]=0,"",(IF(Table57[[#This Row],[Out]]&lt;$C$3,$C$3-Table57[[#This Row],[Out]],"")))</f>
        <v/>
      </c>
      <c r="K37" s="32">
        <f>IFERROR(Table57[[#This Row],[In]]+$C$1,"")</f>
        <v>1.2529976851851852</v>
      </c>
      <c r="L37" s="29"/>
      <c r="M37" s="31" t="str">
        <f>IF($C$2&gt;Table57[[#This Row],[In]],$C$2-Table57[[#This Row],[In]],"")</f>
        <v/>
      </c>
      <c r="N37" s="29">
        <f>IFERROR(IF(Table57[[#This Row],[Out]]&gt;$C$3,(Table57[[#This Row],[Out]])-($C$3),""),"")</f>
        <v>2.9976851851851727E-3</v>
      </c>
    </row>
    <row r="38" spans="1:14" hidden="1" x14ac:dyDescent="0.25">
      <c r="A38" s="23" t="str">
        <f>Table57[[#This Row],[No.]]&amp;Table57[[#This Row],[Date]]</f>
        <v>645306</v>
      </c>
      <c r="B38" s="22">
        <f>'Unique Dates'!A35</f>
        <v>6</v>
      </c>
      <c r="C38" s="22" t="str" cm="1">
        <f t="array" ref="C38">_xlfn.XLOOKUP(Table57[[#This Row],[No.]],Table2[[#All],[CODE]],Table2[[#All],[NAME]],,0,1)</f>
        <v>MOHAMED</v>
      </c>
      <c r="D38" s="6">
        <f>'Unique Dates'!B35</f>
        <v>45306</v>
      </c>
      <c r="E38" t="str">
        <f>TEXT(Table57[[#This Row],[Date]],"dddd")</f>
        <v>Monday</v>
      </c>
      <c r="F38" s="25" cm="1">
        <f t="array" ref="F38">IFERROR(_xlfn.XLOOKUP(Table57[[#This Row],[Code]],Table1[[#All],[Code]],Table1[[#All],[Time]],,0,1),"")</f>
        <v>0.50730324074074074</v>
      </c>
      <c r="G38" s="25" cm="1">
        <f t="array" ref="G38">IFERROR(_xlfn.XLOOKUP(Table57[[#This Row],[Code]],Table1[[#All],[Code]],Table1[[#All],[Time]],,0,-1),"")</f>
        <v>0.50730324074074074</v>
      </c>
      <c r="H38" s="23">
        <f>IFERROR(IF(Table57[[#This Row],[Out]]&gt;=Table57[[#This Row],[In]],Table57[[#This Row],[Out]]-Table57[[#This Row],[In]],(0.5+Table57[[#This Row],[Out]])-Table57[[#This Row],[In]]),"")</f>
        <v>0</v>
      </c>
      <c r="I38" s="31" t="str">
        <f>IFERROR(IF(Table57[[#This Row],[In]]&gt;$C$2,Table57[[#This Row],[In]]-$C$2,""),"")</f>
        <v/>
      </c>
      <c r="J38" s="31" t="str">
        <f>IF(Table57[[#This Row],[Work_Hours]]=0,"",(IF(Table57[[#This Row],[Out]]&lt;$C$3,$C$3-Table57[[#This Row],[Out]],"")))</f>
        <v/>
      </c>
      <c r="K38" s="32">
        <f>IFERROR(Table57[[#This Row],[In]]+$C$1,"")</f>
        <v>0.84063657407407399</v>
      </c>
      <c r="L38" s="29"/>
      <c r="M38" s="31">
        <f>IF($C$2&gt;Table57[[#This Row],[In]],$C$2-Table57[[#This Row],[In]],"")</f>
        <v>3.4363425925925895E-2</v>
      </c>
      <c r="N38" s="29" t="str">
        <f>IFERROR(IF(Table57[[#This Row],[Out]]&gt;$C$3,(Table57[[#This Row],[Out]])-($C$3),""),"")</f>
        <v/>
      </c>
    </row>
    <row r="39" spans="1:14" hidden="1" x14ac:dyDescent="0.25">
      <c r="A39" s="23" t="str">
        <f>Table57[[#This Row],[No.]]&amp;Table57[[#This Row],[Date]]</f>
        <v>645308</v>
      </c>
      <c r="B39" s="22">
        <f>'Unique Dates'!A36</f>
        <v>6</v>
      </c>
      <c r="C39" s="22" t="str" cm="1">
        <f t="array" ref="C39">_xlfn.XLOOKUP(Table57[[#This Row],[No.]],Table2[[#All],[CODE]],Table2[[#All],[NAME]],,0,1)</f>
        <v>MOHAMED</v>
      </c>
      <c r="D39" s="6">
        <f>'Unique Dates'!B36</f>
        <v>45308</v>
      </c>
      <c r="E39" t="str">
        <f>TEXT(Table57[[#This Row],[Date]],"dddd")</f>
        <v>Wednesday</v>
      </c>
      <c r="F39" s="25" cm="1">
        <f t="array" ref="F39">IFERROR(_xlfn.XLOOKUP(Table57[[#This Row],[Code]],Table1[[#All],[Code]],Table1[[#All],[Time]],,0,1),"")</f>
        <v>0.54392361111111109</v>
      </c>
      <c r="G39" s="25" cm="1">
        <f t="array" ref="G39">IFERROR(_xlfn.XLOOKUP(Table57[[#This Row],[Code]],Table1[[#All],[Code]],Table1[[#All],[Time]],,0,-1),"")</f>
        <v>0.54392361111111109</v>
      </c>
      <c r="H39" s="23">
        <f>IFERROR(IF(Table57[[#This Row],[Out]]&gt;=Table57[[#This Row],[In]],Table57[[#This Row],[Out]]-Table57[[#This Row],[In]],(0.5+Table57[[#This Row],[Out]])-Table57[[#This Row],[In]]),"")</f>
        <v>0</v>
      </c>
      <c r="I39" s="31">
        <f>IFERROR(IF(Table57[[#This Row],[In]]&gt;$C$2,Table57[[#This Row],[In]]-$C$2,""),"")</f>
        <v>2.2569444444444642E-3</v>
      </c>
      <c r="J39" s="31" t="str">
        <f>IF(Table57[[#This Row],[Work_Hours]]=0,"",(IF(Table57[[#This Row],[Out]]&lt;$C$3,$C$3-Table57[[#This Row],[Out]],"")))</f>
        <v/>
      </c>
      <c r="K39" s="32">
        <f>IFERROR(Table57[[#This Row],[In]]+$C$1,"")</f>
        <v>0.87725694444444446</v>
      </c>
      <c r="L39" s="29"/>
      <c r="M39" s="31" t="str">
        <f>IF($C$2&gt;Table57[[#This Row],[In]],$C$2-Table57[[#This Row],[In]],"")</f>
        <v/>
      </c>
      <c r="N39" s="29" t="str">
        <f>IFERROR(IF(Table57[[#This Row],[Out]]&gt;$C$3,(Table57[[#This Row],[Out]])-($C$3),""),"")</f>
        <v/>
      </c>
    </row>
    <row r="40" spans="1:14" hidden="1" x14ac:dyDescent="0.25">
      <c r="A40" s="23" t="str">
        <f>Table57[[#This Row],[No.]]&amp;Table57[[#This Row],[Date]]</f>
        <v>645309</v>
      </c>
      <c r="B40" s="22">
        <f>'Unique Dates'!A37</f>
        <v>6</v>
      </c>
      <c r="C40" s="22" t="str" cm="1">
        <f t="array" ref="C40">_xlfn.XLOOKUP(Table57[[#This Row],[No.]],Table2[[#All],[CODE]],Table2[[#All],[NAME]],,0,1)</f>
        <v>MOHAMED</v>
      </c>
      <c r="D40" s="6">
        <f>'Unique Dates'!B37</f>
        <v>45309</v>
      </c>
      <c r="E40" t="str">
        <f>TEXT(Table57[[#This Row],[Date]],"dddd")</f>
        <v>Thursday</v>
      </c>
      <c r="F40" s="25" cm="1">
        <f t="array" ref="F40">IFERROR(_xlfn.XLOOKUP(Table57[[#This Row],[Code]],Table1[[#All],[Code]],Table1[[#All],[Time]],,0,1),"")</f>
        <v>0.98928240740740747</v>
      </c>
      <c r="G40" s="25" cm="1">
        <f t="array" ref="G40">IFERROR(_xlfn.XLOOKUP(Table57[[#This Row],[Code]],Table1[[#All],[Code]],Table1[[#All],[Time]],,0,-1),"")</f>
        <v>0.98928240740740747</v>
      </c>
      <c r="H40" s="23">
        <f>IFERROR(IF(Table57[[#This Row],[Out]]&gt;=Table57[[#This Row],[In]],Table57[[#This Row],[Out]]-Table57[[#This Row],[In]],(0.5+Table57[[#This Row],[Out]])-Table57[[#This Row],[In]]),"")</f>
        <v>0</v>
      </c>
      <c r="I40" s="31">
        <f>IFERROR(IF(Table57[[#This Row],[In]]&gt;$C$2,Table57[[#This Row],[In]]-$C$2,""),"")</f>
        <v>0.44761574074074084</v>
      </c>
      <c r="J40" s="31" t="str">
        <f>IF(Table57[[#This Row],[Work_Hours]]=0,"",(IF(Table57[[#This Row],[Out]]&lt;$C$3,$C$3-Table57[[#This Row],[Out]],"")))</f>
        <v/>
      </c>
      <c r="K40" s="32">
        <f>IFERROR(Table57[[#This Row],[In]]+$C$1,"")</f>
        <v>1.3226157407407408</v>
      </c>
      <c r="L40" s="29"/>
      <c r="M40" s="31" t="str">
        <f>IF($C$2&gt;Table57[[#This Row],[In]],$C$2-Table57[[#This Row],[In]],"")</f>
        <v/>
      </c>
      <c r="N40" s="29">
        <f>IFERROR(IF(Table57[[#This Row],[Out]]&gt;$C$3,(Table57[[#This Row],[Out]])-($C$3),""),"")</f>
        <v>7.2615740740740842E-2</v>
      </c>
    </row>
    <row r="41" spans="1:14" hidden="1" x14ac:dyDescent="0.25">
      <c r="A41" s="23" t="str">
        <f>Table57[[#This Row],[No.]]&amp;Table57[[#This Row],[Date]]</f>
        <v>645313</v>
      </c>
      <c r="B41" s="22">
        <f>'Unique Dates'!A38</f>
        <v>6</v>
      </c>
      <c r="C41" s="22" t="str" cm="1">
        <f t="array" ref="C41">_xlfn.XLOOKUP(Table57[[#This Row],[No.]],Table2[[#All],[CODE]],Table2[[#All],[NAME]],,0,1)</f>
        <v>MOHAMED</v>
      </c>
      <c r="D41" s="6">
        <f>'Unique Dates'!B38</f>
        <v>45313</v>
      </c>
      <c r="E41" t="str">
        <f>TEXT(Table57[[#This Row],[Date]],"dddd")</f>
        <v>Monday</v>
      </c>
      <c r="F41" s="25" cm="1">
        <f t="array" ref="F41">IFERROR(_xlfn.XLOOKUP(Table57[[#This Row],[Code]],Table1[[#All],[Code]],Table1[[#All],[Time]],,0,1),"")</f>
        <v>0.98773148148148149</v>
      </c>
      <c r="G41" s="25" cm="1">
        <f t="array" ref="G41">IFERROR(_xlfn.XLOOKUP(Table57[[#This Row],[Code]],Table1[[#All],[Code]],Table1[[#All],[Time]],,0,-1),"")</f>
        <v>0.98773148148148149</v>
      </c>
      <c r="H41" s="23">
        <f>IFERROR(IF(Table57[[#This Row],[Out]]&gt;=Table57[[#This Row],[In]],Table57[[#This Row],[Out]]-Table57[[#This Row],[In]],(0.5+Table57[[#This Row],[Out]])-Table57[[#This Row],[In]]),"")</f>
        <v>0</v>
      </c>
      <c r="I41" s="31">
        <f>IFERROR(IF(Table57[[#This Row],[In]]&gt;$C$2,Table57[[#This Row],[In]]-$C$2,""),"")</f>
        <v>0.44606481481481486</v>
      </c>
      <c r="J41" s="31" t="str">
        <f>IF(Table57[[#This Row],[Work_Hours]]=0,"",(IF(Table57[[#This Row],[Out]]&lt;$C$3,$C$3-Table57[[#This Row],[Out]],"")))</f>
        <v/>
      </c>
      <c r="K41" s="32">
        <f>IFERROR(Table57[[#This Row],[In]]+$C$1,"")</f>
        <v>1.3210648148148147</v>
      </c>
      <c r="L41" s="29"/>
      <c r="M41" s="31" t="str">
        <f>IF($C$2&gt;Table57[[#This Row],[In]],$C$2-Table57[[#This Row],[In]],"")</f>
        <v/>
      </c>
      <c r="N41" s="29">
        <f>IFERROR(IF(Table57[[#This Row],[Out]]&gt;$C$3,(Table57[[#This Row],[Out]])-($C$3),""),"")</f>
        <v>7.1064814814814858E-2</v>
      </c>
    </row>
    <row r="42" spans="1:14" hidden="1" x14ac:dyDescent="0.25">
      <c r="A42" s="23" t="str">
        <f>Table57[[#This Row],[No.]]&amp;Table57[[#This Row],[Date]]</f>
        <v>645314</v>
      </c>
      <c r="B42" s="22">
        <f>'Unique Dates'!A39</f>
        <v>6</v>
      </c>
      <c r="C42" s="22" t="str" cm="1">
        <f t="array" ref="C42">_xlfn.XLOOKUP(Table57[[#This Row],[No.]],Table2[[#All],[CODE]],Table2[[#All],[NAME]],,0,1)</f>
        <v>MOHAMED</v>
      </c>
      <c r="D42" s="6">
        <f>'Unique Dates'!B39</f>
        <v>45314</v>
      </c>
      <c r="E42" t="str">
        <f>TEXT(Table57[[#This Row],[Date]],"dddd")</f>
        <v>Tuesday</v>
      </c>
      <c r="F42" s="25" cm="1">
        <f t="array" ref="F42">IFERROR(_xlfn.XLOOKUP(Table57[[#This Row],[Code]],Table1[[#All],[Code]],Table1[[#All],[Time]],,0,1),"")</f>
        <v>0.54300925925925925</v>
      </c>
      <c r="G42" s="25" cm="1">
        <f t="array" ref="G42">IFERROR(_xlfn.XLOOKUP(Table57[[#This Row],[Code]],Table1[[#All],[Code]],Table1[[#All],[Time]],,0,-1),"")</f>
        <v>0.54300925925925925</v>
      </c>
      <c r="H42" s="23">
        <f>IFERROR(IF(Table57[[#This Row],[Out]]&gt;=Table57[[#This Row],[In]],Table57[[#This Row],[Out]]-Table57[[#This Row],[In]],(0.5+Table57[[#This Row],[Out]])-Table57[[#This Row],[In]]),"")</f>
        <v>0</v>
      </c>
      <c r="I42" s="31">
        <f>IFERROR(IF(Table57[[#This Row],[In]]&gt;$C$2,Table57[[#This Row],[In]]-$C$2,""),"")</f>
        <v>1.3425925925926174E-3</v>
      </c>
      <c r="J42" s="31" t="str">
        <f>IF(Table57[[#This Row],[Work_Hours]]=0,"",(IF(Table57[[#This Row],[Out]]&lt;$C$3,$C$3-Table57[[#This Row],[Out]],"")))</f>
        <v/>
      </c>
      <c r="K42" s="32">
        <f>IFERROR(Table57[[#This Row],[In]]+$C$1,"")</f>
        <v>0.87634259259259251</v>
      </c>
      <c r="L42" s="29"/>
      <c r="M42" s="31" t="str">
        <f>IF($C$2&gt;Table57[[#This Row],[In]],$C$2-Table57[[#This Row],[In]],"")</f>
        <v/>
      </c>
      <c r="N42" s="29" t="str">
        <f>IFERROR(IF(Table57[[#This Row],[Out]]&gt;$C$3,(Table57[[#This Row],[Out]])-($C$3),""),"")</f>
        <v/>
      </c>
    </row>
    <row r="43" spans="1:14" hidden="1" x14ac:dyDescent="0.25">
      <c r="A43" s="23" t="str">
        <f>Table57[[#This Row],[No.]]&amp;Table57[[#This Row],[Date]]</f>
        <v>645315</v>
      </c>
      <c r="B43" s="22">
        <f>'Unique Dates'!A40</f>
        <v>6</v>
      </c>
      <c r="C43" s="22" t="str" cm="1">
        <f t="array" ref="C43">_xlfn.XLOOKUP(Table57[[#This Row],[No.]],Table2[[#All],[CODE]],Table2[[#All],[NAME]],,0,1)</f>
        <v>MOHAMED</v>
      </c>
      <c r="D43" s="6">
        <f>'Unique Dates'!B40</f>
        <v>45315</v>
      </c>
      <c r="E43" t="str">
        <f>TEXT(Table57[[#This Row],[Date]],"dddd")</f>
        <v>Wednesday</v>
      </c>
      <c r="F43" s="25" cm="1">
        <f t="array" ref="F43">IFERROR(_xlfn.XLOOKUP(Table57[[#This Row],[Code]],Table1[[#All],[Code]],Table1[[#All],[Time]],,0,1),"")</f>
        <v>0.50368055555555558</v>
      </c>
      <c r="G43" s="25" cm="1">
        <f t="array" ref="G43">IFERROR(_xlfn.XLOOKUP(Table57[[#This Row],[Code]],Table1[[#All],[Code]],Table1[[#All],[Time]],,0,-1),"")</f>
        <v>0.50368055555555558</v>
      </c>
      <c r="H43" s="23">
        <f>IFERROR(IF(Table57[[#This Row],[Out]]&gt;=Table57[[#This Row],[In]],Table57[[#This Row],[Out]]-Table57[[#This Row],[In]],(0.5+Table57[[#This Row],[Out]])-Table57[[#This Row],[In]]),"")</f>
        <v>0</v>
      </c>
      <c r="I43" s="31" t="str">
        <f>IFERROR(IF(Table57[[#This Row],[In]]&gt;$C$2,Table57[[#This Row],[In]]-$C$2,""),"")</f>
        <v/>
      </c>
      <c r="J43" s="31" t="str">
        <f>IF(Table57[[#This Row],[Work_Hours]]=0,"",(IF(Table57[[#This Row],[Out]]&lt;$C$3,$C$3-Table57[[#This Row],[Out]],"")))</f>
        <v/>
      </c>
      <c r="K43" s="32">
        <f>IFERROR(Table57[[#This Row],[In]]+$C$1,"")</f>
        <v>0.83701388888888895</v>
      </c>
      <c r="L43" s="29"/>
      <c r="M43" s="31">
        <f>IF($C$2&gt;Table57[[#This Row],[In]],$C$2-Table57[[#This Row],[In]],"")</f>
        <v>3.7986111111111054E-2</v>
      </c>
      <c r="N43" s="29" t="str">
        <f>IFERROR(IF(Table57[[#This Row],[Out]]&gt;$C$3,(Table57[[#This Row],[Out]])-($C$3),""),"")</f>
        <v/>
      </c>
    </row>
    <row r="44" spans="1:14" hidden="1" x14ac:dyDescent="0.25">
      <c r="A44" s="23" t="str">
        <f>Table57[[#This Row],[No.]]&amp;Table57[[#This Row],[Date]]</f>
        <v>645319</v>
      </c>
      <c r="B44" s="22">
        <f>'Unique Dates'!A41</f>
        <v>6</v>
      </c>
      <c r="C44" s="22" t="str" cm="1">
        <f t="array" ref="C44">_xlfn.XLOOKUP(Table57[[#This Row],[No.]],Table2[[#All],[CODE]],Table2[[#All],[NAME]],,0,1)</f>
        <v>MOHAMED</v>
      </c>
      <c r="D44" s="6">
        <f>'Unique Dates'!B41</f>
        <v>45319</v>
      </c>
      <c r="E44" t="str">
        <f>TEXT(Table57[[#This Row],[Date]],"dddd")</f>
        <v>Sunday</v>
      </c>
      <c r="F44" s="25" cm="1">
        <f t="array" ref="F44">IFERROR(_xlfn.XLOOKUP(Table57[[#This Row],[Code]],Table1[[#All],[Code]],Table1[[#All],[Time]],,0,1),"")</f>
        <v>0.96467592592592588</v>
      </c>
      <c r="G44" s="25" cm="1">
        <f t="array" ref="G44">IFERROR(_xlfn.XLOOKUP(Table57[[#This Row],[Code]],Table1[[#All],[Code]],Table1[[#All],[Time]],,0,-1),"")</f>
        <v>0.96467592592592588</v>
      </c>
      <c r="H44" s="23">
        <f>IFERROR(IF(Table57[[#This Row],[Out]]&gt;=Table57[[#This Row],[In]],Table57[[#This Row],[Out]]-Table57[[#This Row],[In]],(0.5+Table57[[#This Row],[Out]])-Table57[[#This Row],[In]]),"")</f>
        <v>0</v>
      </c>
      <c r="I44" s="31">
        <f>IFERROR(IF(Table57[[#This Row],[In]]&gt;$C$2,Table57[[#This Row],[In]]-$C$2,""),"")</f>
        <v>0.42300925925925925</v>
      </c>
      <c r="J44" s="31" t="str">
        <f>IF(Table57[[#This Row],[Work_Hours]]=0,"",(IF(Table57[[#This Row],[Out]]&lt;$C$3,$C$3-Table57[[#This Row],[Out]],"")))</f>
        <v/>
      </c>
      <c r="K44" s="32">
        <f>IFERROR(Table57[[#This Row],[In]]+$C$1,"")</f>
        <v>1.2980092592592591</v>
      </c>
      <c r="L44" s="29"/>
      <c r="M44" s="31" t="str">
        <f>IF($C$2&gt;Table57[[#This Row],[In]],$C$2-Table57[[#This Row],[In]],"")</f>
        <v/>
      </c>
      <c r="N44" s="29">
        <f>IFERROR(IF(Table57[[#This Row],[Out]]&gt;$C$3,(Table57[[#This Row],[Out]])-($C$3),""),"")</f>
        <v>4.8009259259259252E-2</v>
      </c>
    </row>
    <row r="45" spans="1:14" hidden="1" x14ac:dyDescent="0.25">
      <c r="A45" s="23" t="str">
        <f>Table57[[#This Row],[No.]]&amp;Table57[[#This Row],[Date]]</f>
        <v>745307</v>
      </c>
      <c r="B45" s="22">
        <f>'Unique Dates'!A42</f>
        <v>7</v>
      </c>
      <c r="C45" s="22" t="str" cm="1">
        <f t="array" ref="C45">_xlfn.XLOOKUP(Table57[[#This Row],[No.]],Table2[[#All],[CODE]],Table2[[#All],[NAME]],,0,1)</f>
        <v>julyn</v>
      </c>
      <c r="D45" s="6">
        <f>'Unique Dates'!B42</f>
        <v>45307</v>
      </c>
      <c r="E45" t="str">
        <f>TEXT(Table57[[#This Row],[Date]],"dddd")</f>
        <v>Tuesday</v>
      </c>
      <c r="F45" s="25" cm="1">
        <f t="array" ref="F45">IFERROR(_xlfn.XLOOKUP(Table57[[#This Row],[Code]],Table1[[#All],[Code]],Table1[[#All],[Time]],,0,1),"")</f>
        <v>0.93966435185185182</v>
      </c>
      <c r="G45" s="25" cm="1">
        <f t="array" ref="G45">IFERROR(_xlfn.XLOOKUP(Table57[[#This Row],[Code]],Table1[[#All],[Code]],Table1[[#All],[Time]],,0,-1),"")</f>
        <v>0.93974537037037031</v>
      </c>
      <c r="H45" s="23">
        <f>IFERROR(IF(Table57[[#This Row],[Out]]&gt;=Table57[[#This Row],[In]],Table57[[#This Row],[Out]]-Table57[[#This Row],[In]],(0.5+Table57[[#This Row],[Out]])-Table57[[#This Row],[In]]),"")</f>
        <v>8.1018518518494176E-5</v>
      </c>
      <c r="I45" s="31">
        <f>IFERROR(IF(Table57[[#This Row],[In]]&gt;$C$2,Table57[[#This Row],[In]]-$C$2,""),"")</f>
        <v>0.39799768518518519</v>
      </c>
      <c r="J45" s="31" t="str">
        <f>IF(Table57[[#This Row],[Work_Hours]]=0,"",(IF(Table57[[#This Row],[Out]]&lt;$C$3,$C$3-Table57[[#This Row],[Out]],"")))</f>
        <v/>
      </c>
      <c r="K45" s="32">
        <f>IFERROR(Table57[[#This Row],[In]]+$C$1,"")</f>
        <v>1.2729976851851852</v>
      </c>
      <c r="L45" s="29"/>
      <c r="M45" s="31" t="str">
        <f>IF($C$2&gt;Table57[[#This Row],[In]],$C$2-Table57[[#This Row],[In]],"")</f>
        <v/>
      </c>
      <c r="N45" s="29">
        <f>IFERROR(IF(Table57[[#This Row],[Out]]&gt;$C$3,(Table57[[#This Row],[Out]])-($C$3),""),"")</f>
        <v>2.3078703703703685E-2</v>
      </c>
    </row>
    <row r="46" spans="1:14" hidden="1" x14ac:dyDescent="0.25">
      <c r="A46" s="23" t="str">
        <f>Table57[[#This Row],[No.]]&amp;Table57[[#This Row],[Date]]</f>
        <v>1345294</v>
      </c>
      <c r="B46" s="22">
        <f>'Unique Dates'!A43</f>
        <v>13</v>
      </c>
      <c r="C46" s="22" t="str" cm="1">
        <f t="array" ref="C46">_xlfn.XLOOKUP(Table57[[#This Row],[No.]],Table2[[#All],[CODE]],Table2[[#All],[NAME]],,0,1)</f>
        <v>ROXAN</v>
      </c>
      <c r="D46" s="6">
        <f>'Unique Dates'!B43</f>
        <v>45294</v>
      </c>
      <c r="E46" t="str">
        <f>TEXT(Table57[[#This Row],[Date]],"dddd")</f>
        <v>Wednesday</v>
      </c>
      <c r="F46" s="25" cm="1">
        <f t="array" ref="F46">IFERROR(_xlfn.XLOOKUP(Table57[[#This Row],[Code]],Table1[[#All],[Code]],Table1[[#All],[Time]],,0,1),"")</f>
        <v>0.55054398148148154</v>
      </c>
      <c r="G46" s="25" cm="1">
        <f t="array" ref="G46">IFERROR(_xlfn.XLOOKUP(Table57[[#This Row],[Code]],Table1[[#All],[Code]],Table1[[#All],[Time]],,0,-1),"")</f>
        <v>0.90467592592592594</v>
      </c>
      <c r="H46" s="23">
        <f>IFERROR(IF(Table57[[#This Row],[Out]]&gt;=Table57[[#This Row],[In]],Table57[[#This Row],[Out]]-Table57[[#This Row],[In]],(0.5+Table57[[#This Row],[Out]])-Table57[[#This Row],[In]]),"")</f>
        <v>0.3541319444444444</v>
      </c>
      <c r="I46" s="31">
        <f>IFERROR(IF(Table57[[#This Row],[In]]&gt;$C$2,Table57[[#This Row],[In]]-$C$2,""),"")</f>
        <v>8.8773148148149073E-3</v>
      </c>
      <c r="J46" s="31">
        <f>IF(Table57[[#This Row],[Work_Hours]]=0,"",(IF(Table57[[#This Row],[Out]]&lt;$C$3,$C$3-Table57[[#This Row],[Out]],"")))</f>
        <v>1.1990740740740691E-2</v>
      </c>
      <c r="K46" s="32">
        <f>IFERROR(Table57[[#This Row],[In]]+$C$1,"")</f>
        <v>0.88387731481481491</v>
      </c>
      <c r="L46" s="29"/>
      <c r="M46" s="31" t="str">
        <f>IF($C$2&gt;Table57[[#This Row],[In]],$C$2-Table57[[#This Row],[In]],"")</f>
        <v/>
      </c>
      <c r="N46" s="29" t="str">
        <f>IFERROR(IF(Table57[[#This Row],[Out]]&gt;$C$3,(Table57[[#This Row],[Out]])-($C$3),""),"")</f>
        <v/>
      </c>
    </row>
    <row r="47" spans="1:14" hidden="1" x14ac:dyDescent="0.25">
      <c r="A47" s="23" t="str">
        <f>Table57[[#This Row],[No.]]&amp;Table57[[#This Row],[Date]]</f>
        <v>1345295</v>
      </c>
      <c r="B47" s="22">
        <f>'Unique Dates'!A44</f>
        <v>13</v>
      </c>
      <c r="C47" s="22" t="str" cm="1">
        <f t="array" ref="C47">_xlfn.XLOOKUP(Table57[[#This Row],[No.]],Table2[[#All],[CODE]],Table2[[#All],[NAME]],,0,1)</f>
        <v>ROXAN</v>
      </c>
      <c r="D47" s="6">
        <f>'Unique Dates'!B44</f>
        <v>45295</v>
      </c>
      <c r="E47" t="str">
        <f>TEXT(Table57[[#This Row],[Date]],"dddd")</f>
        <v>Thursday</v>
      </c>
      <c r="F47" s="25" cm="1">
        <f t="array" ref="F47">IFERROR(_xlfn.XLOOKUP(Table57[[#This Row],[Code]],Table1[[#All],[Code]],Table1[[#All],[Time]],,0,1),"")</f>
        <v>0.54020833333333329</v>
      </c>
      <c r="G47" s="25" cm="1">
        <f t="array" ref="G47">IFERROR(_xlfn.XLOOKUP(Table57[[#This Row],[Code]],Table1[[#All],[Code]],Table1[[#All],[Time]],,0,-1),"")</f>
        <v>0.91304398148148147</v>
      </c>
      <c r="H47" s="23">
        <f>IFERROR(IF(Table57[[#This Row],[Out]]&gt;=Table57[[#This Row],[In]],Table57[[#This Row],[Out]]-Table57[[#This Row],[In]],(0.5+Table57[[#This Row],[Out]])-Table57[[#This Row],[In]]),"")</f>
        <v>0.37283564814814818</v>
      </c>
      <c r="I47" s="31" t="str">
        <f>IFERROR(IF(Table57[[#This Row],[In]]&gt;$C$2,Table57[[#This Row],[In]]-$C$2,""),"")</f>
        <v/>
      </c>
      <c r="J47" s="31">
        <f>IF(Table57[[#This Row],[Work_Hours]]=0,"",(IF(Table57[[#This Row],[Out]]&lt;$C$3,$C$3-Table57[[#This Row],[Out]],"")))</f>
        <v>3.6226851851851594E-3</v>
      </c>
      <c r="K47" s="32">
        <f>IFERROR(Table57[[#This Row],[In]]+$C$1,"")</f>
        <v>0.87354166666666666</v>
      </c>
      <c r="L47" s="29"/>
      <c r="M47" s="31">
        <f>IF($C$2&gt;Table57[[#This Row],[In]],$C$2-Table57[[#This Row],[In]],"")</f>
        <v>1.4583333333333393E-3</v>
      </c>
      <c r="N47" s="29" t="str">
        <f>IFERROR(IF(Table57[[#This Row],[Out]]&gt;$C$3,(Table57[[#This Row],[Out]])-($C$3),""),"")</f>
        <v/>
      </c>
    </row>
    <row r="48" spans="1:14" hidden="1" x14ac:dyDescent="0.25">
      <c r="A48" s="23" t="str">
        <f>Table57[[#This Row],[No.]]&amp;Table57[[#This Row],[Date]]</f>
        <v>1345297</v>
      </c>
      <c r="B48" s="22">
        <f>'Unique Dates'!A45</f>
        <v>13</v>
      </c>
      <c r="C48" s="22" t="str" cm="1">
        <f t="array" ref="C48">_xlfn.XLOOKUP(Table57[[#This Row],[No.]],Table2[[#All],[CODE]],Table2[[#All],[NAME]],,0,1)</f>
        <v>ROXAN</v>
      </c>
      <c r="D48" s="6">
        <f>'Unique Dates'!B45</f>
        <v>45297</v>
      </c>
      <c r="E48" t="str">
        <f>TEXT(Table57[[#This Row],[Date]],"dddd")</f>
        <v>Saturday</v>
      </c>
      <c r="F48" s="25" cm="1">
        <f t="array" ref="F48">IFERROR(_xlfn.XLOOKUP(Table57[[#This Row],[Code]],Table1[[#All],[Code]],Table1[[#All],[Time]],,0,1),"")</f>
        <v>0.54298611111111106</v>
      </c>
      <c r="G48" s="25" cm="1">
        <f t="array" ref="G48">IFERROR(_xlfn.XLOOKUP(Table57[[#This Row],[Code]],Table1[[#All],[Code]],Table1[[#All],[Time]],,0,-1),"")</f>
        <v>0.92703703703703699</v>
      </c>
      <c r="H48" s="23">
        <f>IFERROR(IF(Table57[[#This Row],[Out]]&gt;=Table57[[#This Row],[In]],Table57[[#This Row],[Out]]-Table57[[#This Row],[In]],(0.5+Table57[[#This Row],[Out]])-Table57[[#This Row],[In]]),"")</f>
        <v>0.38405092592592593</v>
      </c>
      <c r="I48" s="31">
        <f>IFERROR(IF(Table57[[#This Row],[In]]&gt;$C$2,Table57[[#This Row],[In]]-$C$2,""),"")</f>
        <v>1.3194444444444287E-3</v>
      </c>
      <c r="J48" s="31" t="str">
        <f>IF(Table57[[#This Row],[Work_Hours]]=0,"",(IF(Table57[[#This Row],[Out]]&lt;$C$3,$C$3-Table57[[#This Row],[Out]],"")))</f>
        <v/>
      </c>
      <c r="K48" s="32">
        <f>IFERROR(Table57[[#This Row],[In]]+$C$1,"")</f>
        <v>0.87631944444444443</v>
      </c>
      <c r="L48" s="29"/>
      <c r="M48" s="31" t="str">
        <f>IF($C$2&gt;Table57[[#This Row],[In]],$C$2-Table57[[#This Row],[In]],"")</f>
        <v/>
      </c>
      <c r="N48" s="29">
        <f>IFERROR(IF(Table57[[#This Row],[Out]]&gt;$C$3,(Table57[[#This Row],[Out]])-($C$3),""),"")</f>
        <v>1.0370370370370363E-2</v>
      </c>
    </row>
    <row r="49" spans="1:14" hidden="1" x14ac:dyDescent="0.25">
      <c r="A49" s="23" t="str">
        <f>Table57[[#This Row],[No.]]&amp;Table57[[#This Row],[Date]]</f>
        <v>1345298</v>
      </c>
      <c r="B49" s="22">
        <f>'Unique Dates'!A46</f>
        <v>13</v>
      </c>
      <c r="C49" s="22" t="str" cm="1">
        <f t="array" ref="C49">_xlfn.XLOOKUP(Table57[[#This Row],[No.]],Table2[[#All],[CODE]],Table2[[#All],[NAME]],,0,1)</f>
        <v>ROXAN</v>
      </c>
      <c r="D49" s="6">
        <f>'Unique Dates'!B46</f>
        <v>45298</v>
      </c>
      <c r="E49" t="str">
        <f>TEXT(Table57[[#This Row],[Date]],"dddd")</f>
        <v>Sunday</v>
      </c>
      <c r="F49" s="25" cm="1">
        <f t="array" ref="F49">IFERROR(_xlfn.XLOOKUP(Table57[[#This Row],[Code]],Table1[[#All],[Code]],Table1[[#All],[Time]],,0,1),"")</f>
        <v>0.54379629629629633</v>
      </c>
      <c r="G49" s="25" cm="1">
        <f t="array" ref="G49">IFERROR(_xlfn.XLOOKUP(Table57[[#This Row],[Code]],Table1[[#All],[Code]],Table1[[#All],[Time]],,0,-1),"")</f>
        <v>0.98041666666666671</v>
      </c>
      <c r="H49" s="23">
        <f>IFERROR(IF(Table57[[#This Row],[Out]]&gt;=Table57[[#This Row],[In]],Table57[[#This Row],[Out]]-Table57[[#This Row],[In]],(0.5+Table57[[#This Row],[Out]])-Table57[[#This Row],[In]]),"")</f>
        <v>0.43662037037037038</v>
      </c>
      <c r="I49" s="31">
        <f>IFERROR(IF(Table57[[#This Row],[In]]&gt;$C$2,Table57[[#This Row],[In]]-$C$2,""),"")</f>
        <v>2.1296296296297035E-3</v>
      </c>
      <c r="J49" s="31" t="str">
        <f>IF(Table57[[#This Row],[Work_Hours]]=0,"",(IF(Table57[[#This Row],[Out]]&lt;$C$3,$C$3-Table57[[#This Row],[Out]],"")))</f>
        <v/>
      </c>
      <c r="K49" s="32">
        <f>IFERROR(Table57[[#This Row],[In]]+$C$1,"")</f>
        <v>0.87712962962962959</v>
      </c>
      <c r="L49" s="29"/>
      <c r="M49" s="31" t="str">
        <f>IF($C$2&gt;Table57[[#This Row],[In]],$C$2-Table57[[#This Row],[In]],"")</f>
        <v/>
      </c>
      <c r="N49" s="29">
        <f>IFERROR(IF(Table57[[#This Row],[Out]]&gt;$C$3,(Table57[[#This Row],[Out]])-($C$3),""),"")</f>
        <v>6.3750000000000084E-2</v>
      </c>
    </row>
    <row r="50" spans="1:14" hidden="1" x14ac:dyDescent="0.25">
      <c r="A50" s="23" t="str">
        <f>Table57[[#This Row],[No.]]&amp;Table57[[#This Row],[Date]]</f>
        <v>1345300</v>
      </c>
      <c r="B50" s="22">
        <f>'Unique Dates'!A47</f>
        <v>13</v>
      </c>
      <c r="C50" s="22" t="str" cm="1">
        <f t="array" ref="C50">_xlfn.XLOOKUP(Table57[[#This Row],[No.]],Table2[[#All],[CODE]],Table2[[#All],[NAME]],,0,1)</f>
        <v>ROXAN</v>
      </c>
      <c r="D50" s="6">
        <f>'Unique Dates'!B47</f>
        <v>45300</v>
      </c>
      <c r="E50" t="str">
        <f>TEXT(Table57[[#This Row],[Date]],"dddd")</f>
        <v>Tuesday</v>
      </c>
      <c r="F50" s="25" cm="1">
        <f t="array" ref="F50">IFERROR(_xlfn.XLOOKUP(Table57[[#This Row],[Code]],Table1[[#All],[Code]],Table1[[#All],[Time]],,0,1),"")</f>
        <v>0.56537037037037041</v>
      </c>
      <c r="G50" s="25" cm="1">
        <f t="array" ref="G50">IFERROR(_xlfn.XLOOKUP(Table57[[#This Row],[Code]],Table1[[#All],[Code]],Table1[[#All],[Time]],,0,-1),"")</f>
        <v>0.90715277777777781</v>
      </c>
      <c r="H50" s="23">
        <f>IFERROR(IF(Table57[[#This Row],[Out]]&gt;=Table57[[#This Row],[In]],Table57[[#This Row],[Out]]-Table57[[#This Row],[In]],(0.5+Table57[[#This Row],[Out]])-Table57[[#This Row],[In]]),"")</f>
        <v>0.3417824074074074</v>
      </c>
      <c r="I50" s="31">
        <f>IFERROR(IF(Table57[[#This Row],[In]]&gt;$C$2,Table57[[#This Row],[In]]-$C$2,""),"")</f>
        <v>2.3703703703703782E-2</v>
      </c>
      <c r="J50" s="31">
        <f>IF(Table57[[#This Row],[Work_Hours]]=0,"",(IF(Table57[[#This Row],[Out]]&lt;$C$3,$C$3-Table57[[#This Row],[Out]],"")))</f>
        <v>9.5138888888888218E-3</v>
      </c>
      <c r="K50" s="32">
        <f>IFERROR(Table57[[#This Row],[In]]+$C$1,"")</f>
        <v>0.89870370370370378</v>
      </c>
      <c r="L50" s="29"/>
      <c r="M50" s="31" t="str">
        <f>IF($C$2&gt;Table57[[#This Row],[In]],$C$2-Table57[[#This Row],[In]],"")</f>
        <v/>
      </c>
      <c r="N50" s="29" t="str">
        <f>IFERROR(IF(Table57[[#This Row],[Out]]&gt;$C$3,(Table57[[#This Row],[Out]])-($C$3),""),"")</f>
        <v/>
      </c>
    </row>
    <row r="51" spans="1:14" hidden="1" x14ac:dyDescent="0.25">
      <c r="A51" s="23" t="str">
        <f>Table57[[#This Row],[No.]]&amp;Table57[[#This Row],[Date]]</f>
        <v>1345302</v>
      </c>
      <c r="B51" s="22">
        <f>'Unique Dates'!A48</f>
        <v>13</v>
      </c>
      <c r="C51" s="22" t="str" cm="1">
        <f t="array" ref="C51">_xlfn.XLOOKUP(Table57[[#This Row],[No.]],Table2[[#All],[CODE]],Table2[[#All],[NAME]],,0,1)</f>
        <v>ROXAN</v>
      </c>
      <c r="D51" s="6">
        <f>'Unique Dates'!B48</f>
        <v>45302</v>
      </c>
      <c r="E51" t="str">
        <f>TEXT(Table57[[#This Row],[Date]],"dddd")</f>
        <v>Thursday</v>
      </c>
      <c r="F51" s="25" cm="1">
        <f t="array" ref="F51">IFERROR(_xlfn.XLOOKUP(Table57[[#This Row],[Code]],Table1[[#All],[Code]],Table1[[#All],[Time]],,0,1),"")</f>
        <v>0.55299768518518522</v>
      </c>
      <c r="G51" s="25" cm="1">
        <f t="array" ref="G51">IFERROR(_xlfn.XLOOKUP(Table57[[#This Row],[Code]],Table1[[#All],[Code]],Table1[[#All],[Time]],,0,-1),"")</f>
        <v>0.93281249999999993</v>
      </c>
      <c r="H51" s="23">
        <f>IFERROR(IF(Table57[[#This Row],[Out]]&gt;=Table57[[#This Row],[In]],Table57[[#This Row],[Out]]-Table57[[#This Row],[In]],(0.5+Table57[[#This Row],[Out]])-Table57[[#This Row],[In]]),"")</f>
        <v>0.37981481481481472</v>
      </c>
      <c r="I51" s="31">
        <f>IFERROR(IF(Table57[[#This Row],[In]]&gt;$C$2,Table57[[#This Row],[In]]-$C$2,""),"")</f>
        <v>1.1331018518518587E-2</v>
      </c>
      <c r="J51" s="31" t="str">
        <f>IF(Table57[[#This Row],[Work_Hours]]=0,"",(IF(Table57[[#This Row],[Out]]&lt;$C$3,$C$3-Table57[[#This Row],[Out]],"")))</f>
        <v/>
      </c>
      <c r="K51" s="32">
        <f>IFERROR(Table57[[#This Row],[In]]+$C$1,"")</f>
        <v>0.88633101851851848</v>
      </c>
      <c r="L51" s="29"/>
      <c r="M51" s="31" t="str">
        <f>IF($C$2&gt;Table57[[#This Row],[In]],$C$2-Table57[[#This Row],[In]],"")</f>
        <v/>
      </c>
      <c r="N51" s="29">
        <f>IFERROR(IF(Table57[[#This Row],[Out]]&gt;$C$3,(Table57[[#This Row],[Out]])-($C$3),""),"")</f>
        <v>1.6145833333333304E-2</v>
      </c>
    </row>
    <row r="52" spans="1:14" hidden="1" x14ac:dyDescent="0.25">
      <c r="A52" s="23" t="str">
        <f>Table57[[#This Row],[No.]]&amp;Table57[[#This Row],[Date]]</f>
        <v>1345304</v>
      </c>
      <c r="B52" s="22">
        <f>'Unique Dates'!A49</f>
        <v>13</v>
      </c>
      <c r="C52" s="22" t="str" cm="1">
        <f t="array" ref="C52">_xlfn.XLOOKUP(Table57[[#This Row],[No.]],Table2[[#All],[CODE]],Table2[[#All],[NAME]],,0,1)</f>
        <v>ROXAN</v>
      </c>
      <c r="D52" s="6">
        <f>'Unique Dates'!B49</f>
        <v>45304</v>
      </c>
      <c r="E52" t="str">
        <f>TEXT(Table57[[#This Row],[Date]],"dddd")</f>
        <v>Saturday</v>
      </c>
      <c r="F52" s="25" cm="1">
        <f t="array" ref="F52">IFERROR(_xlfn.XLOOKUP(Table57[[#This Row],[Code]],Table1[[#All],[Code]],Table1[[#All],[Time]],,0,1),"")</f>
        <v>0.53369212962962964</v>
      </c>
      <c r="G52" s="25" cm="1">
        <f t="array" ref="G52">IFERROR(_xlfn.XLOOKUP(Table57[[#This Row],[Code]],Table1[[#All],[Code]],Table1[[#All],[Time]],,0,-1),"")</f>
        <v>0.53369212962962964</v>
      </c>
      <c r="H52" s="23">
        <f>IFERROR(IF(Table57[[#This Row],[Out]]&gt;=Table57[[#This Row],[In]],Table57[[#This Row],[Out]]-Table57[[#This Row],[In]],(0.5+Table57[[#This Row],[Out]])-Table57[[#This Row],[In]]),"")</f>
        <v>0</v>
      </c>
      <c r="I52" s="31" t="str">
        <f>IFERROR(IF(Table57[[#This Row],[In]]&gt;$C$2,Table57[[#This Row],[In]]-$C$2,""),"")</f>
        <v/>
      </c>
      <c r="J52" s="31" t="str">
        <f>IF(Table57[[#This Row],[Work_Hours]]=0,"",(IF(Table57[[#This Row],[Out]]&lt;$C$3,$C$3-Table57[[#This Row],[Out]],"")))</f>
        <v/>
      </c>
      <c r="K52" s="32">
        <f>IFERROR(Table57[[#This Row],[In]]+$C$1,"")</f>
        <v>0.86702546296296301</v>
      </c>
      <c r="L52" s="29"/>
      <c r="M52" s="31">
        <f>IF($C$2&gt;Table57[[#This Row],[In]],$C$2-Table57[[#This Row],[In]],"")</f>
        <v>7.9745370370369884E-3</v>
      </c>
      <c r="N52" s="29" t="str">
        <f>IFERROR(IF(Table57[[#This Row],[Out]]&gt;$C$3,(Table57[[#This Row],[Out]])-($C$3),""),"")</f>
        <v/>
      </c>
    </row>
    <row r="53" spans="1:14" hidden="1" x14ac:dyDescent="0.25">
      <c r="A53" s="23" t="str">
        <f>Table57[[#This Row],[No.]]&amp;Table57[[#This Row],[Date]]</f>
        <v>1345305</v>
      </c>
      <c r="B53" s="22">
        <f>'Unique Dates'!A50</f>
        <v>13</v>
      </c>
      <c r="C53" s="22" t="str" cm="1">
        <f t="array" ref="C53">_xlfn.XLOOKUP(Table57[[#This Row],[No.]],Table2[[#All],[CODE]],Table2[[#All],[NAME]],,0,1)</f>
        <v>ROXAN</v>
      </c>
      <c r="D53" s="6">
        <f>'Unique Dates'!B50</f>
        <v>45305</v>
      </c>
      <c r="E53" t="str">
        <f>TEXT(Table57[[#This Row],[Date]],"dddd")</f>
        <v>Sunday</v>
      </c>
      <c r="F53" s="25" cm="1">
        <f t="array" ref="F53">IFERROR(_xlfn.XLOOKUP(Table57[[#This Row],[Code]],Table1[[#All],[Code]],Table1[[#All],[Time]],,0,1),"")</f>
        <v>0.52277777777777779</v>
      </c>
      <c r="G53" s="25" cm="1">
        <f t="array" ref="G53">IFERROR(_xlfn.XLOOKUP(Table57[[#This Row],[Code]],Table1[[#All],[Code]],Table1[[#All],[Time]],,0,-1),"")</f>
        <v>0.95060185185185186</v>
      </c>
      <c r="H53" s="23">
        <f>IFERROR(IF(Table57[[#This Row],[Out]]&gt;=Table57[[#This Row],[In]],Table57[[#This Row],[Out]]-Table57[[#This Row],[In]],(0.5+Table57[[#This Row],[Out]])-Table57[[#This Row],[In]]),"")</f>
        <v>0.42782407407407408</v>
      </c>
      <c r="I53" s="31" t="str">
        <f>IFERROR(IF(Table57[[#This Row],[In]]&gt;$C$2,Table57[[#This Row],[In]]-$C$2,""),"")</f>
        <v/>
      </c>
      <c r="J53" s="31" t="str">
        <f>IF(Table57[[#This Row],[Work_Hours]]=0,"",(IF(Table57[[#This Row],[Out]]&lt;$C$3,$C$3-Table57[[#This Row],[Out]],"")))</f>
        <v/>
      </c>
      <c r="K53" s="32">
        <f>IFERROR(Table57[[#This Row],[In]]+$C$1,"")</f>
        <v>0.85611111111111104</v>
      </c>
      <c r="L53" s="29"/>
      <c r="M53" s="31">
        <f>IF($C$2&gt;Table57[[#This Row],[In]],$C$2-Table57[[#This Row],[In]],"")</f>
        <v>1.8888888888888844E-2</v>
      </c>
      <c r="N53" s="29">
        <f>IFERROR(IF(Table57[[#This Row],[Out]]&gt;$C$3,(Table57[[#This Row],[Out]])-($C$3),""),"")</f>
        <v>3.3935185185185235E-2</v>
      </c>
    </row>
    <row r="54" spans="1:14" hidden="1" x14ac:dyDescent="0.25">
      <c r="A54" s="23" t="str">
        <f>Table57[[#This Row],[No.]]&amp;Table57[[#This Row],[Date]]</f>
        <v>1345306</v>
      </c>
      <c r="B54" s="22">
        <f>'Unique Dates'!A51</f>
        <v>13</v>
      </c>
      <c r="C54" s="22" t="str" cm="1">
        <f t="array" ref="C54">_xlfn.XLOOKUP(Table57[[#This Row],[No.]],Table2[[#All],[CODE]],Table2[[#All],[NAME]],,0,1)</f>
        <v>ROXAN</v>
      </c>
      <c r="D54" s="6">
        <f>'Unique Dates'!B51</f>
        <v>45306</v>
      </c>
      <c r="E54" t="str">
        <f>TEXT(Table57[[#This Row],[Date]],"dddd")</f>
        <v>Monday</v>
      </c>
      <c r="F54" s="25" cm="1">
        <f t="array" ref="F54">IFERROR(_xlfn.XLOOKUP(Table57[[#This Row],[Code]],Table1[[#All],[Code]],Table1[[#All],[Time]],,0,1),"")</f>
        <v>0.56521990740740746</v>
      </c>
      <c r="G54" s="25" cm="1">
        <f t="array" ref="G54">IFERROR(_xlfn.XLOOKUP(Table57[[#This Row],[Code]],Table1[[#All],[Code]],Table1[[#All],[Time]],,0,-1),"")</f>
        <v>0.93677083333333344</v>
      </c>
      <c r="H54" s="23">
        <f>IFERROR(IF(Table57[[#This Row],[Out]]&gt;=Table57[[#This Row],[In]],Table57[[#This Row],[Out]]-Table57[[#This Row],[In]],(0.5+Table57[[#This Row],[Out]])-Table57[[#This Row],[In]]),"")</f>
        <v>0.37155092592592598</v>
      </c>
      <c r="I54" s="31">
        <f>IFERROR(IF(Table57[[#This Row],[In]]&gt;$C$2,Table57[[#This Row],[In]]-$C$2,""),"")</f>
        <v>2.3553240740740833E-2</v>
      </c>
      <c r="J54" s="31" t="str">
        <f>IF(Table57[[#This Row],[Work_Hours]]=0,"",(IF(Table57[[#This Row],[Out]]&lt;$C$3,$C$3-Table57[[#This Row],[Out]],"")))</f>
        <v/>
      </c>
      <c r="K54" s="32">
        <f>IFERROR(Table57[[#This Row],[In]]+$C$1,"")</f>
        <v>0.89855324074074083</v>
      </c>
      <c r="L54" s="29"/>
      <c r="M54" s="31" t="str">
        <f>IF($C$2&gt;Table57[[#This Row],[In]],$C$2-Table57[[#This Row],[In]],"")</f>
        <v/>
      </c>
      <c r="N54" s="29">
        <f>IFERROR(IF(Table57[[#This Row],[Out]]&gt;$C$3,(Table57[[#This Row],[Out]])-($C$3),""),"")</f>
        <v>2.0104166666666812E-2</v>
      </c>
    </row>
    <row r="55" spans="1:14" hidden="1" x14ac:dyDescent="0.25">
      <c r="A55" s="23" t="str">
        <f>Table57[[#This Row],[No.]]&amp;Table57[[#This Row],[Date]]</f>
        <v>1345308</v>
      </c>
      <c r="B55" s="22">
        <f>'Unique Dates'!A52</f>
        <v>13</v>
      </c>
      <c r="C55" s="22" t="str" cm="1">
        <f t="array" ref="C55">_xlfn.XLOOKUP(Table57[[#This Row],[No.]],Table2[[#All],[CODE]],Table2[[#All],[NAME]],,0,1)</f>
        <v>ROXAN</v>
      </c>
      <c r="D55" s="6">
        <f>'Unique Dates'!B52</f>
        <v>45308</v>
      </c>
      <c r="E55" t="str">
        <f>TEXT(Table57[[#This Row],[Date]],"dddd")</f>
        <v>Wednesday</v>
      </c>
      <c r="F55" s="25" cm="1">
        <f t="array" ref="F55">IFERROR(_xlfn.XLOOKUP(Table57[[#This Row],[Code]],Table1[[#All],[Code]],Table1[[#All],[Time]],,0,1),"")</f>
        <v>0.53597222222222218</v>
      </c>
      <c r="G55" s="25" cm="1">
        <f t="array" ref="G55">IFERROR(_xlfn.XLOOKUP(Table57[[#This Row],[Code]],Table1[[#All],[Code]],Table1[[#All],[Time]],,0,-1),"")</f>
        <v>0.91494212962962962</v>
      </c>
      <c r="H55" s="23">
        <f>IFERROR(IF(Table57[[#This Row],[Out]]&gt;=Table57[[#This Row],[In]],Table57[[#This Row],[Out]]-Table57[[#This Row],[In]],(0.5+Table57[[#This Row],[Out]])-Table57[[#This Row],[In]]),"")</f>
        <v>0.37896990740740744</v>
      </c>
      <c r="I55" s="31" t="str">
        <f>IFERROR(IF(Table57[[#This Row],[In]]&gt;$C$2,Table57[[#This Row],[In]]-$C$2,""),"")</f>
        <v/>
      </c>
      <c r="J55" s="31">
        <f>IF(Table57[[#This Row],[Work_Hours]]=0,"",(IF(Table57[[#This Row],[Out]]&lt;$C$3,$C$3-Table57[[#This Row],[Out]],"")))</f>
        <v>1.7245370370370106E-3</v>
      </c>
      <c r="K55" s="32">
        <f>IFERROR(Table57[[#This Row],[In]]+$C$1,"")</f>
        <v>0.86930555555555555</v>
      </c>
      <c r="L55" s="29"/>
      <c r="M55" s="31">
        <f>IF($C$2&gt;Table57[[#This Row],[In]],$C$2-Table57[[#This Row],[In]],"")</f>
        <v>5.6944444444444464E-3</v>
      </c>
      <c r="N55" s="29" t="str">
        <f>IFERROR(IF(Table57[[#This Row],[Out]]&gt;$C$3,(Table57[[#This Row],[Out]])-($C$3),""),"")</f>
        <v/>
      </c>
    </row>
    <row r="56" spans="1:14" hidden="1" x14ac:dyDescent="0.25">
      <c r="A56" s="23" t="str">
        <f>Table57[[#This Row],[No.]]&amp;Table57[[#This Row],[Date]]</f>
        <v>1345312</v>
      </c>
      <c r="B56" s="22">
        <f>'Unique Dates'!A53</f>
        <v>13</v>
      </c>
      <c r="C56" s="22" t="str" cm="1">
        <f t="array" ref="C56">_xlfn.XLOOKUP(Table57[[#This Row],[No.]],Table2[[#All],[CODE]],Table2[[#All],[NAME]],,0,1)</f>
        <v>ROXAN</v>
      </c>
      <c r="D56" s="6">
        <f>'Unique Dates'!B53</f>
        <v>45312</v>
      </c>
      <c r="E56" t="str">
        <f>TEXT(Table57[[#This Row],[Date]],"dddd")</f>
        <v>Sunday</v>
      </c>
      <c r="F56" s="25" cm="1">
        <f t="array" ref="F56">IFERROR(_xlfn.XLOOKUP(Table57[[#This Row],[Code]],Table1[[#All],[Code]],Table1[[#All],[Time]],,0,1),"")</f>
        <v>0.53503472222222226</v>
      </c>
      <c r="G56" s="25" cm="1">
        <f t="array" ref="G56">IFERROR(_xlfn.XLOOKUP(Table57[[#This Row],[Code]],Table1[[#All],[Code]],Table1[[#All],[Time]],,0,-1),"")</f>
        <v>0.53503472222222226</v>
      </c>
      <c r="H56" s="23">
        <f>IFERROR(IF(Table57[[#This Row],[Out]]&gt;=Table57[[#This Row],[In]],Table57[[#This Row],[Out]]-Table57[[#This Row],[In]],(0.5+Table57[[#This Row],[Out]])-Table57[[#This Row],[In]]),"")</f>
        <v>0</v>
      </c>
      <c r="I56" s="31" t="str">
        <f>IFERROR(IF(Table57[[#This Row],[In]]&gt;$C$2,Table57[[#This Row],[In]]-$C$2,""),"")</f>
        <v/>
      </c>
      <c r="J56" s="31" t="str">
        <f>IF(Table57[[#This Row],[Work_Hours]]=0,"",(IF(Table57[[#This Row],[Out]]&lt;$C$3,$C$3-Table57[[#This Row],[Out]],"")))</f>
        <v/>
      </c>
      <c r="K56" s="32">
        <f>IFERROR(Table57[[#This Row],[In]]+$C$1,"")</f>
        <v>0.86836805555555552</v>
      </c>
      <c r="L56" s="29"/>
      <c r="M56" s="31">
        <f>IF($C$2&gt;Table57[[#This Row],[In]],$C$2-Table57[[#This Row],[In]],"")</f>
        <v>6.6319444444443709E-3</v>
      </c>
      <c r="N56" s="29" t="str">
        <f>IFERROR(IF(Table57[[#This Row],[Out]]&gt;$C$3,(Table57[[#This Row],[Out]])-($C$3),""),"")</f>
        <v/>
      </c>
    </row>
    <row r="57" spans="1:14" hidden="1" x14ac:dyDescent="0.25">
      <c r="A57" s="23" t="str">
        <f>Table57[[#This Row],[No.]]&amp;Table57[[#This Row],[Date]]</f>
        <v>1345314</v>
      </c>
      <c r="B57" s="22">
        <f>'Unique Dates'!A54</f>
        <v>13</v>
      </c>
      <c r="C57" s="22" t="str" cm="1">
        <f t="array" ref="C57">_xlfn.XLOOKUP(Table57[[#This Row],[No.]],Table2[[#All],[CODE]],Table2[[#All],[NAME]],,0,1)</f>
        <v>ROXAN</v>
      </c>
      <c r="D57" s="6">
        <f>'Unique Dates'!B54</f>
        <v>45314</v>
      </c>
      <c r="E57" t="str">
        <f>TEXT(Table57[[#This Row],[Date]],"dddd")</f>
        <v>Tuesday</v>
      </c>
      <c r="F57" s="25" cm="1">
        <f t="array" ref="F57">IFERROR(_xlfn.XLOOKUP(Table57[[#This Row],[Code]],Table1[[#All],[Code]],Table1[[#All],[Time]],,0,1),"")</f>
        <v>0.54393518518518513</v>
      </c>
      <c r="G57" s="25" cm="1">
        <f t="array" ref="G57">IFERROR(_xlfn.XLOOKUP(Table57[[#This Row],[Code]],Table1[[#All],[Code]],Table1[[#All],[Time]],,0,-1),"")</f>
        <v>0.91236111111111118</v>
      </c>
      <c r="H57" s="23">
        <f>IFERROR(IF(Table57[[#This Row],[Out]]&gt;=Table57[[#This Row],[In]],Table57[[#This Row],[Out]]-Table57[[#This Row],[In]],(0.5+Table57[[#This Row],[Out]])-Table57[[#This Row],[In]]),"")</f>
        <v>0.36842592592592605</v>
      </c>
      <c r="I57" s="31">
        <f>IFERROR(IF(Table57[[#This Row],[In]]&gt;$C$2,Table57[[#This Row],[In]]-$C$2,""),"")</f>
        <v>2.2685185185185031E-3</v>
      </c>
      <c r="J57" s="31">
        <f>IF(Table57[[#This Row],[Work_Hours]]=0,"",(IF(Table57[[#This Row],[Out]]&lt;$C$3,$C$3-Table57[[#This Row],[Out]],"")))</f>
        <v>4.3055555555554514E-3</v>
      </c>
      <c r="K57" s="32">
        <f>IFERROR(Table57[[#This Row],[In]]+$C$1,"")</f>
        <v>0.8772685185185185</v>
      </c>
      <c r="L57" s="29"/>
      <c r="M57" s="31" t="str">
        <f>IF($C$2&gt;Table57[[#This Row],[In]],$C$2-Table57[[#This Row],[In]],"")</f>
        <v/>
      </c>
      <c r="N57" s="29" t="str">
        <f>IFERROR(IF(Table57[[#This Row],[Out]]&gt;$C$3,(Table57[[#This Row],[Out]])-($C$3),""),"")</f>
        <v/>
      </c>
    </row>
    <row r="58" spans="1:14" hidden="1" x14ac:dyDescent="0.25">
      <c r="A58" s="23" t="str">
        <f>Table57[[#This Row],[No.]]&amp;Table57[[#This Row],[Date]]</f>
        <v>1345315</v>
      </c>
      <c r="B58" s="22">
        <f>'Unique Dates'!A55</f>
        <v>13</v>
      </c>
      <c r="C58" s="22" t="str" cm="1">
        <f t="array" ref="C58">_xlfn.XLOOKUP(Table57[[#This Row],[No.]],Table2[[#All],[CODE]],Table2[[#All],[NAME]],,0,1)</f>
        <v>ROXAN</v>
      </c>
      <c r="D58" s="6">
        <f>'Unique Dates'!B55</f>
        <v>45315</v>
      </c>
      <c r="E58" t="str">
        <f>TEXT(Table57[[#This Row],[Date]],"dddd")</f>
        <v>Wednesday</v>
      </c>
      <c r="F58" s="25" cm="1">
        <f t="array" ref="F58">IFERROR(_xlfn.XLOOKUP(Table57[[#This Row],[Code]],Table1[[#All],[Code]],Table1[[#All],[Time]],,0,1),"")</f>
        <v>0.54841435185185183</v>
      </c>
      <c r="G58" s="25" cm="1">
        <f t="array" ref="G58">IFERROR(_xlfn.XLOOKUP(Table57[[#This Row],[Code]],Table1[[#All],[Code]],Table1[[#All],[Time]],,0,-1),"")</f>
        <v>0.94758101851851861</v>
      </c>
      <c r="H58" s="23">
        <f>IFERROR(IF(Table57[[#This Row],[Out]]&gt;=Table57[[#This Row],[In]],Table57[[#This Row],[Out]]-Table57[[#This Row],[In]],(0.5+Table57[[#This Row],[Out]])-Table57[[#This Row],[In]]),"")</f>
        <v>0.39916666666666678</v>
      </c>
      <c r="I58" s="31">
        <f>IFERROR(IF(Table57[[#This Row],[In]]&gt;$C$2,Table57[[#This Row],[In]]-$C$2,""),"")</f>
        <v>6.7476851851852038E-3</v>
      </c>
      <c r="J58" s="31" t="str">
        <f>IF(Table57[[#This Row],[Work_Hours]]=0,"",(IF(Table57[[#This Row],[Out]]&lt;$C$3,$C$3-Table57[[#This Row],[Out]],"")))</f>
        <v/>
      </c>
      <c r="K58" s="32">
        <f>IFERROR(Table57[[#This Row],[In]]+$C$1,"")</f>
        <v>0.88174768518518509</v>
      </c>
      <c r="L58" s="29"/>
      <c r="M58" s="31" t="str">
        <f>IF($C$2&gt;Table57[[#This Row],[In]],$C$2-Table57[[#This Row],[In]],"")</f>
        <v/>
      </c>
      <c r="N58" s="29">
        <f>IFERROR(IF(Table57[[#This Row],[Out]]&gt;$C$3,(Table57[[#This Row],[Out]])-($C$3),""),"")</f>
        <v>3.0914351851851984E-2</v>
      </c>
    </row>
    <row r="59" spans="1:14" hidden="1" x14ac:dyDescent="0.25">
      <c r="A59" s="23" t="str">
        <f>Table57[[#This Row],[No.]]&amp;Table57[[#This Row],[Date]]</f>
        <v>1345316</v>
      </c>
      <c r="B59" s="22">
        <f>'Unique Dates'!A56</f>
        <v>13</v>
      </c>
      <c r="C59" s="22" t="str" cm="1">
        <f t="array" ref="C59">_xlfn.XLOOKUP(Table57[[#This Row],[No.]],Table2[[#All],[CODE]],Table2[[#All],[NAME]],,0,1)</f>
        <v>ROXAN</v>
      </c>
      <c r="D59" s="6">
        <f>'Unique Dates'!B56</f>
        <v>45316</v>
      </c>
      <c r="E59" t="str">
        <f>TEXT(Table57[[#This Row],[Date]],"dddd")</f>
        <v>Thursday</v>
      </c>
      <c r="F59" s="25" cm="1">
        <f t="array" ref="F59">IFERROR(_xlfn.XLOOKUP(Table57[[#This Row],[Code]],Table1[[#All],[Code]],Table1[[#All],[Time]],,0,1),"")</f>
        <v>0.54592592592592593</v>
      </c>
      <c r="G59" s="25" cm="1">
        <f t="array" ref="G59">IFERROR(_xlfn.XLOOKUP(Table57[[#This Row],[Code]],Table1[[#All],[Code]],Table1[[#All],[Time]],,0,-1),"")</f>
        <v>0.91528935185185178</v>
      </c>
      <c r="H59" s="23">
        <f>IFERROR(IF(Table57[[#This Row],[Out]]&gt;=Table57[[#This Row],[In]],Table57[[#This Row],[Out]]-Table57[[#This Row],[In]],(0.5+Table57[[#This Row],[Out]])-Table57[[#This Row],[In]]),"")</f>
        <v>0.36936342592592586</v>
      </c>
      <c r="I59" s="31">
        <f>IFERROR(IF(Table57[[#This Row],[In]]&gt;$C$2,Table57[[#This Row],[In]]-$C$2,""),"")</f>
        <v>4.2592592592592959E-3</v>
      </c>
      <c r="J59" s="31">
        <f>IF(Table57[[#This Row],[Work_Hours]]=0,"",(IF(Table57[[#This Row],[Out]]&lt;$C$3,$C$3-Table57[[#This Row],[Out]],"")))</f>
        <v>1.3773148148148451E-3</v>
      </c>
      <c r="K59" s="32">
        <f>IFERROR(Table57[[#This Row],[In]]+$C$1,"")</f>
        <v>0.87925925925925918</v>
      </c>
      <c r="L59" s="29"/>
      <c r="M59" s="31" t="str">
        <f>IF($C$2&gt;Table57[[#This Row],[In]],$C$2-Table57[[#This Row],[In]],"")</f>
        <v/>
      </c>
      <c r="N59" s="29" t="str">
        <f>IFERROR(IF(Table57[[#This Row],[Out]]&gt;$C$3,(Table57[[#This Row],[Out]])-($C$3),""),"")</f>
        <v/>
      </c>
    </row>
    <row r="60" spans="1:14" hidden="1" x14ac:dyDescent="0.25">
      <c r="A60" s="23" t="str">
        <f>Table57[[#This Row],[No.]]&amp;Table57[[#This Row],[Date]]</f>
        <v>1345318</v>
      </c>
      <c r="B60" s="22">
        <f>'Unique Dates'!A57</f>
        <v>13</v>
      </c>
      <c r="C60" s="22" t="str" cm="1">
        <f t="array" ref="C60">_xlfn.XLOOKUP(Table57[[#This Row],[No.]],Table2[[#All],[CODE]],Table2[[#All],[NAME]],,0,1)</f>
        <v>ROXAN</v>
      </c>
      <c r="D60" s="6">
        <f>'Unique Dates'!B57</f>
        <v>45318</v>
      </c>
      <c r="E60" t="str">
        <f>TEXT(Table57[[#This Row],[Date]],"dddd")</f>
        <v>Saturday</v>
      </c>
      <c r="F60" s="25" cm="1">
        <f t="array" ref="F60">IFERROR(_xlfn.XLOOKUP(Table57[[#This Row],[Code]],Table1[[#All],[Code]],Table1[[#All],[Time]],,0,1),"")</f>
        <v>0.53914351851851849</v>
      </c>
      <c r="G60" s="25" cm="1">
        <f t="array" ref="G60">IFERROR(_xlfn.XLOOKUP(Table57[[#This Row],[Code]],Table1[[#All],[Code]],Table1[[#All],[Time]],,0,-1),"")</f>
        <v>0.53914351851851849</v>
      </c>
      <c r="H60" s="23">
        <f>IFERROR(IF(Table57[[#This Row],[Out]]&gt;=Table57[[#This Row],[In]],Table57[[#This Row],[Out]]-Table57[[#This Row],[In]],(0.5+Table57[[#This Row],[Out]])-Table57[[#This Row],[In]]),"")</f>
        <v>0</v>
      </c>
      <c r="I60" s="31" t="str">
        <f>IFERROR(IF(Table57[[#This Row],[In]]&gt;$C$2,Table57[[#This Row],[In]]-$C$2,""),"")</f>
        <v/>
      </c>
      <c r="J60" s="31" t="str">
        <f>IF(Table57[[#This Row],[Work_Hours]]=0,"",(IF(Table57[[#This Row],[Out]]&lt;$C$3,$C$3-Table57[[#This Row],[Out]],"")))</f>
        <v/>
      </c>
      <c r="K60" s="32">
        <f>IFERROR(Table57[[#This Row],[In]]+$C$1,"")</f>
        <v>0.87247685185185175</v>
      </c>
      <c r="L60" s="29"/>
      <c r="M60" s="31">
        <f>IF($C$2&gt;Table57[[#This Row],[In]],$C$2-Table57[[#This Row],[In]],"")</f>
        <v>2.5231481481481355E-3</v>
      </c>
      <c r="N60" s="29" t="str">
        <f>IFERROR(IF(Table57[[#This Row],[Out]]&gt;$C$3,(Table57[[#This Row],[Out]])-($C$3),""),"")</f>
        <v/>
      </c>
    </row>
    <row r="61" spans="1:14" hidden="1" x14ac:dyDescent="0.25">
      <c r="A61" s="23" t="str">
        <f>Table57[[#This Row],[No.]]&amp;Table57[[#This Row],[Date]]</f>
        <v>1345319</v>
      </c>
      <c r="B61" s="22">
        <f>'Unique Dates'!A58</f>
        <v>13</v>
      </c>
      <c r="C61" s="22" t="str" cm="1">
        <f t="array" ref="C61">_xlfn.XLOOKUP(Table57[[#This Row],[No.]],Table2[[#All],[CODE]],Table2[[#All],[NAME]],,0,1)</f>
        <v>ROXAN</v>
      </c>
      <c r="D61" s="6">
        <f>'Unique Dates'!B58</f>
        <v>45319</v>
      </c>
      <c r="E61" t="str">
        <f>TEXT(Table57[[#This Row],[Date]],"dddd")</f>
        <v>Sunday</v>
      </c>
      <c r="F61" s="25" cm="1">
        <f t="array" ref="F61">IFERROR(_xlfn.XLOOKUP(Table57[[#This Row],[Code]],Table1[[#All],[Code]],Table1[[#All],[Time]],,0,1),"")</f>
        <v>0.50449074074074074</v>
      </c>
      <c r="G61" s="25" cm="1">
        <f t="array" ref="G61">IFERROR(_xlfn.XLOOKUP(Table57[[#This Row],[Code]],Table1[[#All],[Code]],Table1[[#All],[Time]],,0,-1),"")</f>
        <v>0.50449074074074074</v>
      </c>
      <c r="H61" s="23">
        <f>IFERROR(IF(Table57[[#This Row],[Out]]&gt;=Table57[[#This Row],[In]],Table57[[#This Row],[Out]]-Table57[[#This Row],[In]],(0.5+Table57[[#This Row],[Out]])-Table57[[#This Row],[In]]),"")</f>
        <v>0</v>
      </c>
      <c r="I61" s="31" t="str">
        <f>IFERROR(IF(Table57[[#This Row],[In]]&gt;$C$2,Table57[[#This Row],[In]]-$C$2,""),"")</f>
        <v/>
      </c>
      <c r="J61" s="31" t="str">
        <f>IF(Table57[[#This Row],[Work_Hours]]=0,"",(IF(Table57[[#This Row],[Out]]&lt;$C$3,$C$3-Table57[[#This Row],[Out]],"")))</f>
        <v/>
      </c>
      <c r="K61" s="32">
        <f>IFERROR(Table57[[#This Row],[In]]+$C$1,"")</f>
        <v>0.83782407407407411</v>
      </c>
      <c r="L61" s="29"/>
      <c r="M61" s="31">
        <f>IF($C$2&gt;Table57[[#This Row],[In]],$C$2-Table57[[#This Row],[In]],"")</f>
        <v>3.717592592592589E-2</v>
      </c>
      <c r="N61" s="29" t="str">
        <f>IFERROR(IF(Table57[[#This Row],[Out]]&gt;$C$3,(Table57[[#This Row],[Out]])-($C$3),""),"")</f>
        <v/>
      </c>
    </row>
    <row r="62" spans="1:14" hidden="1" x14ac:dyDescent="0.25">
      <c r="A62" s="23" t="str">
        <f>Table57[[#This Row],[No.]]&amp;Table57[[#This Row],[Date]]</f>
        <v>1445292</v>
      </c>
      <c r="B62" s="22">
        <f>'Unique Dates'!A59</f>
        <v>14</v>
      </c>
      <c r="C62" s="22" t="str" cm="1">
        <f t="array" ref="C62">_xlfn.XLOOKUP(Table57[[#This Row],[No.]],Table2[[#All],[CODE]],Table2[[#All],[NAME]],,0,1)</f>
        <v>SALMA</v>
      </c>
      <c r="D62" s="6">
        <f>'Unique Dates'!B59</f>
        <v>45292</v>
      </c>
      <c r="E62" t="str">
        <f>TEXT(Table57[[#This Row],[Date]],"dddd")</f>
        <v>Monday</v>
      </c>
      <c r="F62" s="25" cm="1">
        <f t="array" ref="F62">IFERROR(_xlfn.XLOOKUP(Table57[[#This Row],[Code]],Table1[[#All],[Code]],Table1[[#All],[Time]],,0,1),"")</f>
        <v>0.80868055555555562</v>
      </c>
      <c r="G62" s="25" cm="1">
        <f t="array" ref="G62">IFERROR(_xlfn.XLOOKUP(Table57[[#This Row],[Code]],Table1[[#All],[Code]],Table1[[#All],[Time]],,0,-1),"")</f>
        <v>0.80868055555555562</v>
      </c>
      <c r="H62" s="23">
        <f>IFERROR(IF(Table57[[#This Row],[Out]]&gt;=Table57[[#This Row],[In]],Table57[[#This Row],[Out]]-Table57[[#This Row],[In]],(0.5+Table57[[#This Row],[Out]])-Table57[[#This Row],[In]]),"")</f>
        <v>0</v>
      </c>
      <c r="I62" s="31">
        <f>IFERROR(IF(Table57[[#This Row],[In]]&gt;$C$2,Table57[[#This Row],[In]]-$C$2,""),"")</f>
        <v>0.26701388888888899</v>
      </c>
      <c r="J62" s="31" t="str">
        <f>IF(Table57[[#This Row],[Work_Hours]]=0,"",(IF(Table57[[#This Row],[Out]]&lt;$C$3,$C$3-Table57[[#This Row],[Out]],"")))</f>
        <v/>
      </c>
      <c r="K62" s="32">
        <f>IFERROR(Table57[[#This Row],[In]]+$C$1,"")</f>
        <v>1.1420138888888889</v>
      </c>
      <c r="L62" s="29"/>
      <c r="M62" s="31" t="str">
        <f>IF($C$2&gt;Table57[[#This Row],[In]],$C$2-Table57[[#This Row],[In]],"")</f>
        <v/>
      </c>
      <c r="N62" s="29" t="str">
        <f>IFERROR(IF(Table57[[#This Row],[Out]]&gt;$C$3,(Table57[[#This Row],[Out]])-($C$3),""),"")</f>
        <v/>
      </c>
    </row>
    <row r="63" spans="1:14" hidden="1" x14ac:dyDescent="0.25">
      <c r="A63" s="23" t="str">
        <f>Table57[[#This Row],[No.]]&amp;Table57[[#This Row],[Date]]</f>
        <v>1445293</v>
      </c>
      <c r="B63" s="22">
        <f>'Unique Dates'!A60</f>
        <v>14</v>
      </c>
      <c r="C63" s="22" t="str" cm="1">
        <f t="array" ref="C63">_xlfn.XLOOKUP(Table57[[#This Row],[No.]],Table2[[#All],[CODE]],Table2[[#All],[NAME]],,0,1)</f>
        <v>SALMA</v>
      </c>
      <c r="D63" s="6">
        <f>'Unique Dates'!B60</f>
        <v>45293</v>
      </c>
      <c r="E63" t="str">
        <f>TEXT(Table57[[#This Row],[Date]],"dddd")</f>
        <v>Tuesday</v>
      </c>
      <c r="F63" s="25" cm="1">
        <f t="array" ref="F63">IFERROR(_xlfn.XLOOKUP(Table57[[#This Row],[Code]],Table1[[#All],[Code]],Table1[[#All],[Time]],,0,1),"")</f>
        <v>0.54609953703703706</v>
      </c>
      <c r="G63" s="25" cm="1">
        <f t="array" ref="G63">IFERROR(_xlfn.XLOOKUP(Table57[[#This Row],[Code]],Table1[[#All],[Code]],Table1[[#All],[Time]],,0,-1),"")</f>
        <v>0.91089120370370369</v>
      </c>
      <c r="H63" s="23">
        <f>IFERROR(IF(Table57[[#This Row],[Out]]&gt;=Table57[[#This Row],[In]],Table57[[#This Row],[Out]]-Table57[[#This Row],[In]],(0.5+Table57[[#This Row],[Out]])-Table57[[#This Row],[In]]),"")</f>
        <v>0.36479166666666663</v>
      </c>
      <c r="I63" s="31">
        <f>IFERROR(IF(Table57[[#This Row],[In]]&gt;$C$2,Table57[[#This Row],[In]]-$C$2,""),"")</f>
        <v>4.4328703703704342E-3</v>
      </c>
      <c r="J63" s="31">
        <f>IF(Table57[[#This Row],[Work_Hours]]=0,"",(IF(Table57[[#This Row],[Out]]&lt;$C$3,$C$3-Table57[[#This Row],[Out]],"")))</f>
        <v>5.7754629629629406E-3</v>
      </c>
      <c r="K63" s="32">
        <f>IFERROR(Table57[[#This Row],[In]]+$C$1,"")</f>
        <v>0.87943287037037043</v>
      </c>
      <c r="L63" s="29"/>
      <c r="M63" s="31" t="str">
        <f>IF($C$2&gt;Table57[[#This Row],[In]],$C$2-Table57[[#This Row],[In]],"")</f>
        <v/>
      </c>
      <c r="N63" s="29" t="str">
        <f>IFERROR(IF(Table57[[#This Row],[Out]]&gt;$C$3,(Table57[[#This Row],[Out]])-($C$3),""),"")</f>
        <v/>
      </c>
    </row>
    <row r="64" spans="1:14" hidden="1" x14ac:dyDescent="0.25">
      <c r="A64" s="23" t="str">
        <f>Table57[[#This Row],[No.]]&amp;Table57[[#This Row],[Date]]</f>
        <v>1445294</v>
      </c>
      <c r="B64" s="22">
        <f>'Unique Dates'!A61</f>
        <v>14</v>
      </c>
      <c r="C64" s="22" t="str" cm="1">
        <f t="array" ref="C64">_xlfn.XLOOKUP(Table57[[#This Row],[No.]],Table2[[#All],[CODE]],Table2[[#All],[NAME]],,0,1)</f>
        <v>SALMA</v>
      </c>
      <c r="D64" s="6">
        <f>'Unique Dates'!B61</f>
        <v>45294</v>
      </c>
      <c r="E64" t="str">
        <f>TEXT(Table57[[#This Row],[Date]],"dddd")</f>
        <v>Wednesday</v>
      </c>
      <c r="F64" s="25" cm="1">
        <f t="array" ref="F64">IFERROR(_xlfn.XLOOKUP(Table57[[#This Row],[Code]],Table1[[#All],[Code]],Table1[[#All],[Time]],,0,1),"")</f>
        <v>0.53561342592592587</v>
      </c>
      <c r="G64" s="25" cm="1">
        <f t="array" ref="G64">IFERROR(_xlfn.XLOOKUP(Table57[[#This Row],[Code]],Table1[[#All],[Code]],Table1[[#All],[Time]],,0,-1),"")</f>
        <v>0.90410879629629637</v>
      </c>
      <c r="H64" s="23">
        <f>IFERROR(IF(Table57[[#This Row],[Out]]&gt;=Table57[[#This Row],[In]],Table57[[#This Row],[Out]]-Table57[[#This Row],[In]],(0.5+Table57[[#This Row],[Out]])-Table57[[#This Row],[In]]),"")</f>
        <v>0.3684953703703705</v>
      </c>
      <c r="I64" s="31" t="str">
        <f>IFERROR(IF(Table57[[#This Row],[In]]&gt;$C$2,Table57[[#This Row],[In]]-$C$2,""),"")</f>
        <v/>
      </c>
      <c r="J64" s="31">
        <f>IF(Table57[[#This Row],[Work_Hours]]=0,"",(IF(Table57[[#This Row],[Out]]&lt;$C$3,$C$3-Table57[[#This Row],[Out]],"")))</f>
        <v>1.2557870370370261E-2</v>
      </c>
      <c r="K64" s="32">
        <f>IFERROR(Table57[[#This Row],[In]]+$C$1,"")</f>
        <v>0.86894675925925924</v>
      </c>
      <c r="L64" s="29"/>
      <c r="M64" s="31">
        <f>IF($C$2&gt;Table57[[#This Row],[In]],$C$2-Table57[[#This Row],[In]],"")</f>
        <v>6.0532407407407618E-3</v>
      </c>
      <c r="N64" s="29" t="str">
        <f>IFERROR(IF(Table57[[#This Row],[Out]]&gt;$C$3,(Table57[[#This Row],[Out]])-($C$3),""),"")</f>
        <v/>
      </c>
    </row>
    <row r="65" spans="1:17" hidden="1" x14ac:dyDescent="0.25">
      <c r="A65" s="23" t="str">
        <f>Table57[[#This Row],[No.]]&amp;Table57[[#This Row],[Date]]</f>
        <v>1445298</v>
      </c>
      <c r="B65" s="22">
        <f>'Unique Dates'!A62</f>
        <v>14</v>
      </c>
      <c r="C65" s="22" t="str" cm="1">
        <f t="array" ref="C65">_xlfn.XLOOKUP(Table57[[#This Row],[No.]],Table2[[#All],[CODE]],Table2[[#All],[NAME]],,0,1)</f>
        <v>SALMA</v>
      </c>
      <c r="D65" s="6">
        <f>'Unique Dates'!B62</f>
        <v>45298</v>
      </c>
      <c r="E65" t="str">
        <f>TEXT(Table57[[#This Row],[Date]],"dddd")</f>
        <v>Sunday</v>
      </c>
      <c r="F65" s="25" cm="1">
        <f t="array" ref="F65">IFERROR(_xlfn.XLOOKUP(Table57[[#This Row],[Code]],Table1[[#All],[Code]],Table1[[#All],[Time]],,0,1),"")</f>
        <v>0.52778935185185183</v>
      </c>
      <c r="G65" s="25" cm="1">
        <f t="array" ref="G65">IFERROR(_xlfn.XLOOKUP(Table57[[#This Row],[Code]],Table1[[#All],[Code]],Table1[[#All],[Time]],,0,-1),"")</f>
        <v>0.97295138888888888</v>
      </c>
      <c r="H65" s="23">
        <f>IFERROR(IF(Table57[[#This Row],[Out]]&gt;=Table57[[#This Row],[In]],Table57[[#This Row],[Out]]-Table57[[#This Row],[In]],(0.5+Table57[[#This Row],[Out]])-Table57[[#This Row],[In]]),"")</f>
        <v>0.44516203703703705</v>
      </c>
      <c r="I65" s="31" t="str">
        <f>IFERROR(IF(Table57[[#This Row],[In]]&gt;$C$2,Table57[[#This Row],[In]]-$C$2,""),"")</f>
        <v/>
      </c>
      <c r="J65" s="31" t="str">
        <f>IF(Table57[[#This Row],[Work_Hours]]=0,"",(IF(Table57[[#This Row],[Out]]&lt;$C$3,$C$3-Table57[[#This Row],[Out]],"")))</f>
        <v/>
      </c>
      <c r="K65" s="32">
        <f>IFERROR(Table57[[#This Row],[In]]+$C$1,"")</f>
        <v>0.8611226851851852</v>
      </c>
      <c r="L65" s="29"/>
      <c r="M65" s="31">
        <f>IF($C$2&gt;Table57[[#This Row],[In]],$C$2-Table57[[#This Row],[In]],"")</f>
        <v>1.3877314814814801E-2</v>
      </c>
      <c r="N65" s="29">
        <f>IFERROR(IF(Table57[[#This Row],[Out]]&gt;$C$3,(Table57[[#This Row],[Out]])-($C$3),""),"")</f>
        <v>5.628472222222225E-2</v>
      </c>
    </row>
    <row r="66" spans="1:17" hidden="1" x14ac:dyDescent="0.25">
      <c r="A66" s="23" t="str">
        <f>Table57[[#This Row],[No.]]&amp;Table57[[#This Row],[Date]]</f>
        <v>1445299</v>
      </c>
      <c r="B66" s="22">
        <f>'Unique Dates'!A63</f>
        <v>14</v>
      </c>
      <c r="C66" s="22" t="str" cm="1">
        <f t="array" ref="C66">_xlfn.XLOOKUP(Table57[[#This Row],[No.]],Table2[[#All],[CODE]],Table2[[#All],[NAME]],,0,1)</f>
        <v>SALMA</v>
      </c>
      <c r="D66" s="6">
        <f>'Unique Dates'!B63</f>
        <v>45299</v>
      </c>
      <c r="E66" t="str">
        <f>TEXT(Table57[[#This Row],[Date]],"dddd")</f>
        <v>Monday</v>
      </c>
      <c r="F66" s="25" cm="1">
        <f t="array" ref="F66">IFERROR(_xlfn.XLOOKUP(Table57[[#This Row],[Code]],Table1[[#All],[Code]],Table1[[#All],[Time]],,0,1),"")</f>
        <v>0.5350462962962963</v>
      </c>
      <c r="G66" s="25" cm="1">
        <f t="array" ref="G66">IFERROR(_xlfn.XLOOKUP(Table57[[#This Row],[Code]],Table1[[#All],[Code]],Table1[[#All],[Time]],,0,-1),"")</f>
        <v>0.94546296296296306</v>
      </c>
      <c r="H66" s="23">
        <f>IFERROR(IF(Table57[[#This Row],[Out]]&gt;=Table57[[#This Row],[In]],Table57[[#This Row],[Out]]-Table57[[#This Row],[In]],(0.5+Table57[[#This Row],[Out]])-Table57[[#This Row],[In]]),"")</f>
        <v>0.41041666666666676</v>
      </c>
      <c r="I66" s="31" t="str">
        <f>IFERROR(IF(Table57[[#This Row],[In]]&gt;$C$2,Table57[[#This Row],[In]]-$C$2,""),"")</f>
        <v/>
      </c>
      <c r="J66" s="31" t="str">
        <f>IF(Table57[[#This Row],[Work_Hours]]=0,"",(IF(Table57[[#This Row],[Out]]&lt;$C$3,$C$3-Table57[[#This Row],[Out]],"")))</f>
        <v/>
      </c>
      <c r="K66" s="32">
        <f>IFERROR(Table57[[#This Row],[In]]+$C$1,"")</f>
        <v>0.86837962962962956</v>
      </c>
      <c r="L66" s="29"/>
      <c r="M66" s="31">
        <f>IF($C$2&gt;Table57[[#This Row],[In]],$C$2-Table57[[#This Row],[In]],"")</f>
        <v>6.620370370370332E-3</v>
      </c>
      <c r="N66" s="29">
        <f>IFERROR(IF(Table57[[#This Row],[Out]]&gt;$C$3,(Table57[[#This Row],[Out]])-($C$3),""),"")</f>
        <v>2.8796296296296431E-2</v>
      </c>
    </row>
    <row r="67" spans="1:17" hidden="1" x14ac:dyDescent="0.25">
      <c r="A67" s="23" t="str">
        <f>Table57[[#This Row],[No.]]&amp;Table57[[#This Row],[Date]]</f>
        <v>1445300</v>
      </c>
      <c r="B67" s="22">
        <f>'Unique Dates'!A64</f>
        <v>14</v>
      </c>
      <c r="C67" s="22" t="str" cm="1">
        <f t="array" ref="C67">_xlfn.XLOOKUP(Table57[[#This Row],[No.]],Table2[[#All],[CODE]],Table2[[#All],[NAME]],,0,1)</f>
        <v>SALMA</v>
      </c>
      <c r="D67" s="6">
        <f>'Unique Dates'!B64</f>
        <v>45300</v>
      </c>
      <c r="E67" t="str">
        <f>TEXT(Table57[[#This Row],[Date]],"dddd")</f>
        <v>Tuesday</v>
      </c>
      <c r="F67" s="25" cm="1">
        <f t="array" ref="F67">IFERROR(_xlfn.XLOOKUP(Table57[[#This Row],[Code]],Table1[[#All],[Code]],Table1[[#All],[Time]],,0,1),"")</f>
        <v>0.53442129629629631</v>
      </c>
      <c r="G67" s="25" cm="1">
        <f t="array" ref="G67">IFERROR(_xlfn.XLOOKUP(Table57[[#This Row],[Code]],Table1[[#All],[Code]],Table1[[#All],[Time]],,0,-1),"")</f>
        <v>0.89174768518518521</v>
      </c>
      <c r="H67" s="23">
        <f>IFERROR(IF(Table57[[#This Row],[Out]]&gt;=Table57[[#This Row],[In]],Table57[[#This Row],[Out]]-Table57[[#This Row],[In]],(0.5+Table57[[#This Row],[Out]])-Table57[[#This Row],[In]]),"")</f>
        <v>0.3573263888888889</v>
      </c>
      <c r="I67" s="31" t="str">
        <f>IFERROR(IF(Table57[[#This Row],[In]]&gt;$C$2,Table57[[#This Row],[In]]-$C$2,""),"")</f>
        <v/>
      </c>
      <c r="J67" s="31">
        <f>IF(Table57[[#This Row],[Work_Hours]]=0,"",(IF(Table57[[#This Row],[Out]]&lt;$C$3,$C$3-Table57[[#This Row],[Out]],"")))</f>
        <v>2.4918981481481417E-2</v>
      </c>
      <c r="K67" s="32">
        <f>IFERROR(Table57[[#This Row],[In]]+$C$1,"")</f>
        <v>0.86775462962962968</v>
      </c>
      <c r="L67" s="29"/>
      <c r="M67" s="31">
        <f>IF($C$2&gt;Table57[[#This Row],[In]],$C$2-Table57[[#This Row],[In]],"")</f>
        <v>7.2453703703703187E-3</v>
      </c>
      <c r="N67" s="29" t="str">
        <f>IFERROR(IF(Table57[[#This Row],[Out]]&gt;$C$3,(Table57[[#This Row],[Out]])-($C$3),""),"")</f>
        <v/>
      </c>
    </row>
    <row r="68" spans="1:17" hidden="1" x14ac:dyDescent="0.25">
      <c r="A68" s="23" t="str">
        <f>Table57[[#This Row],[No.]]&amp;Table57[[#This Row],[Date]]</f>
        <v>1445301</v>
      </c>
      <c r="B68" s="22">
        <f>'Unique Dates'!A65</f>
        <v>14</v>
      </c>
      <c r="C68" s="22" t="str" cm="1">
        <f t="array" ref="C68">_xlfn.XLOOKUP(Table57[[#This Row],[No.]],Table2[[#All],[CODE]],Table2[[#All],[NAME]],,0,1)</f>
        <v>SALMA</v>
      </c>
      <c r="D68" s="6">
        <f>'Unique Dates'!B65</f>
        <v>45301</v>
      </c>
      <c r="E68" t="str">
        <f>TEXT(Table57[[#This Row],[Date]],"dddd")</f>
        <v>Wednesday</v>
      </c>
      <c r="F68" s="25" cm="1">
        <f t="array" ref="F68">IFERROR(_xlfn.XLOOKUP(Table57[[#This Row],[Code]],Table1[[#All],[Code]],Table1[[#All],[Time]],,0,1),"")</f>
        <v>0.51314814814814813</v>
      </c>
      <c r="G68" s="25" cm="1">
        <f t="array" ref="G68">IFERROR(_xlfn.XLOOKUP(Table57[[#This Row],[Code]],Table1[[#All],[Code]],Table1[[#All],[Time]],,0,-1),"")</f>
        <v>0.91184027777777776</v>
      </c>
      <c r="H68" s="23">
        <f>IFERROR(IF(Table57[[#This Row],[Out]]&gt;=Table57[[#This Row],[In]],Table57[[#This Row],[Out]]-Table57[[#This Row],[In]],(0.5+Table57[[#This Row],[Out]])-Table57[[#This Row],[In]]),"")</f>
        <v>0.39869212962962963</v>
      </c>
      <c r="I68" s="31" t="str">
        <f>IFERROR(IF(Table57[[#This Row],[In]]&gt;$C$2,Table57[[#This Row],[In]]-$C$2,""),"")</f>
        <v/>
      </c>
      <c r="J68" s="31">
        <f>IF(Table57[[#This Row],[Work_Hours]]=0,"",(IF(Table57[[#This Row],[Out]]&lt;$C$3,$C$3-Table57[[#This Row],[Out]],"")))</f>
        <v>4.8263888888888662E-3</v>
      </c>
      <c r="K68" s="32">
        <f>IFERROR(Table57[[#This Row],[In]]+$C$1,"")</f>
        <v>0.84648148148148139</v>
      </c>
      <c r="L68" s="29"/>
      <c r="M68" s="31">
        <f>IF($C$2&gt;Table57[[#This Row],[In]],$C$2-Table57[[#This Row],[In]],"")</f>
        <v>2.8518518518518499E-2</v>
      </c>
      <c r="N68" s="29" t="str">
        <f>IFERROR(IF(Table57[[#This Row],[Out]]&gt;$C$3,(Table57[[#This Row],[Out]])-($C$3),""),"")</f>
        <v/>
      </c>
    </row>
    <row r="69" spans="1:17" hidden="1" x14ac:dyDescent="0.25">
      <c r="A69" s="23" t="str">
        <f>Table57[[#This Row],[No.]]&amp;Table57[[#This Row],[Date]]</f>
        <v>1445302</v>
      </c>
      <c r="B69" s="22">
        <f>'Unique Dates'!A66</f>
        <v>14</v>
      </c>
      <c r="C69" s="22" t="str" cm="1">
        <f t="array" ref="C69">_xlfn.XLOOKUP(Table57[[#This Row],[No.]],Table2[[#All],[CODE]],Table2[[#All],[NAME]],,0,1)</f>
        <v>SALMA</v>
      </c>
      <c r="D69" s="6">
        <f>'Unique Dates'!B66</f>
        <v>45302</v>
      </c>
      <c r="E69" t="str">
        <f>TEXT(Table57[[#This Row],[Date]],"dddd")</f>
        <v>Thursday</v>
      </c>
      <c r="F69" s="25" cm="1">
        <f t="array" ref="F69">IFERROR(_xlfn.XLOOKUP(Table57[[#This Row],[Code]],Table1[[#All],[Code]],Table1[[#All],[Time]],,0,1),"")</f>
        <v>0.53274305555555557</v>
      </c>
      <c r="G69" s="25" cm="1">
        <f t="array" ref="G69">IFERROR(_xlfn.XLOOKUP(Table57[[#This Row],[Code]],Table1[[#All],[Code]],Table1[[#All],[Time]],,0,-1),"")</f>
        <v>0.93229166666666663</v>
      </c>
      <c r="H69" s="23">
        <f>IFERROR(IF(Table57[[#This Row],[Out]]&gt;=Table57[[#This Row],[In]],Table57[[#This Row],[Out]]-Table57[[#This Row],[In]],(0.5+Table57[[#This Row],[Out]])-Table57[[#This Row],[In]]),"")</f>
        <v>0.39954861111111106</v>
      </c>
      <c r="I69" s="31" t="str">
        <f>IFERROR(IF(Table57[[#This Row],[In]]&gt;$C$2,Table57[[#This Row],[In]]-$C$2,""),"")</f>
        <v/>
      </c>
      <c r="J69" s="31" t="str">
        <f>IF(Table57[[#This Row],[Work_Hours]]=0,"",(IF(Table57[[#This Row],[Out]]&lt;$C$3,$C$3-Table57[[#This Row],[Out]],"")))</f>
        <v/>
      </c>
      <c r="K69" s="32">
        <f>IFERROR(Table57[[#This Row],[In]]+$C$1,"")</f>
        <v>0.86607638888888894</v>
      </c>
      <c r="L69" s="29"/>
      <c r="M69" s="31">
        <f>IF($C$2&gt;Table57[[#This Row],[In]],$C$2-Table57[[#This Row],[In]],"")</f>
        <v>8.9236111111110628E-3</v>
      </c>
      <c r="N69" s="29">
        <f>IFERROR(IF(Table57[[#This Row],[Out]]&gt;$C$3,(Table57[[#This Row],[Out]])-($C$3),""),"")</f>
        <v>1.5625E-2</v>
      </c>
    </row>
    <row r="70" spans="1:17" hidden="1" x14ac:dyDescent="0.25">
      <c r="A70" s="23" t="str">
        <f>Table57[[#This Row],[No.]]&amp;Table57[[#This Row],[Date]]</f>
        <v>1445305</v>
      </c>
      <c r="B70" s="22">
        <f>'Unique Dates'!A67</f>
        <v>14</v>
      </c>
      <c r="C70" s="22" t="str" cm="1">
        <f t="array" ref="C70">_xlfn.XLOOKUP(Table57[[#This Row],[No.]],Table2[[#All],[CODE]],Table2[[#All],[NAME]],,0,1)</f>
        <v>SALMA</v>
      </c>
      <c r="D70" s="6">
        <f>'Unique Dates'!B67</f>
        <v>45305</v>
      </c>
      <c r="E70" t="str">
        <f>TEXT(Table57[[#This Row],[Date]],"dddd")</f>
        <v>Sunday</v>
      </c>
      <c r="F70" s="25" cm="1">
        <f t="array" ref="F70">IFERROR(_xlfn.XLOOKUP(Table57[[#This Row],[Code]],Table1[[#All],[Code]],Table1[[#All],[Time]],,0,1),"")</f>
        <v>0.92037037037037039</v>
      </c>
      <c r="G70" s="25" cm="1">
        <f t="array" ref="G70">IFERROR(_xlfn.XLOOKUP(Table57[[#This Row],[Code]],Table1[[#All],[Code]],Table1[[#All],[Time]],,0,-1),"")</f>
        <v>0.8712847222222222</v>
      </c>
      <c r="H70" s="23">
        <f>IFERROR(IF(Table57[[#This Row],[Out]]&gt;=Table57[[#This Row],[In]],Table57[[#This Row],[Out]]-Table57[[#This Row],[In]],(0.5+Table57[[#This Row],[Out]])-Table57[[#This Row],[In]]),"")</f>
        <v>0.4509143518518518</v>
      </c>
      <c r="I70" s="31">
        <f>IFERROR(IF(Table57[[#This Row],[In]]&gt;$C$2,Table57[[#This Row],[In]]-$C$2,""),"")</f>
        <v>0.37870370370370376</v>
      </c>
      <c r="J70" s="31">
        <f>IF(Table57[[#This Row],[Work_Hours]]=0,"",(IF(Table57[[#This Row],[Out]]&lt;$C$3,$C$3-Table57[[#This Row],[Out]],"")))</f>
        <v>4.5381944444444433E-2</v>
      </c>
      <c r="K70" s="32">
        <f>IFERROR(Table57[[#This Row],[In]]+$C$1,"")</f>
        <v>1.2537037037037038</v>
      </c>
      <c r="L70" s="29"/>
      <c r="M70" s="31" t="str">
        <f>IF($C$2&gt;Table57[[#This Row],[In]],$C$2-Table57[[#This Row],[In]],"")</f>
        <v/>
      </c>
      <c r="N70" s="29" t="str">
        <f>IFERROR(IF(Table57[[#This Row],[Out]]&gt;$C$3,(Table57[[#This Row],[Out]])-($C$3),""),"")</f>
        <v/>
      </c>
    </row>
    <row r="71" spans="1:17" hidden="1" x14ac:dyDescent="0.25">
      <c r="A71" s="23" t="str">
        <f>Table57[[#This Row],[No.]]&amp;Table57[[#This Row],[Date]]</f>
        <v>1445306</v>
      </c>
      <c r="B71" s="22">
        <f>'Unique Dates'!A68</f>
        <v>14</v>
      </c>
      <c r="C71" s="22" t="str" cm="1">
        <f t="array" ref="C71">_xlfn.XLOOKUP(Table57[[#This Row],[No.]],Table2[[#All],[CODE]],Table2[[#All],[NAME]],,0,1)</f>
        <v>SALMA</v>
      </c>
      <c r="D71" s="6">
        <f>'Unique Dates'!B68</f>
        <v>45306</v>
      </c>
      <c r="E71" t="str">
        <f>TEXT(Table57[[#This Row],[Date]],"dddd")</f>
        <v>Monday</v>
      </c>
      <c r="F71" s="25" cm="1">
        <f t="array" ref="F71">IFERROR(_xlfn.XLOOKUP(Table57[[#This Row],[Code]],Table1[[#All],[Code]],Table1[[#All],[Time]],,0,1),"")</f>
        <v>0.52998842592592588</v>
      </c>
      <c r="G71" s="25" cm="1">
        <f t="array" ref="G71">IFERROR(_xlfn.XLOOKUP(Table57[[#This Row],[Code]],Table1[[#All],[Code]],Table1[[#All],[Time]],,0,-1),"")</f>
        <v>0.76967592592592593</v>
      </c>
      <c r="H71" s="23">
        <f>IFERROR(IF(Table57[[#This Row],[Out]]&gt;=Table57[[#This Row],[In]],Table57[[#This Row],[Out]]-Table57[[#This Row],[In]],(0.5+Table57[[#This Row],[Out]])-Table57[[#This Row],[In]]),"")</f>
        <v>0.23968750000000005</v>
      </c>
      <c r="I71" s="31" t="str">
        <f>IFERROR(IF(Table57[[#This Row],[In]]&gt;$C$2,Table57[[#This Row],[In]]-$C$2,""),"")</f>
        <v/>
      </c>
      <c r="J71" s="31">
        <f>IF(Table57[[#This Row],[Work_Hours]]=0,"",(IF(Table57[[#This Row],[Out]]&lt;$C$3,$C$3-Table57[[#This Row],[Out]],"")))</f>
        <v>0.1469907407407407</v>
      </c>
      <c r="K71" s="32">
        <f>IFERROR(Table57[[#This Row],[In]]+$C$1,"")</f>
        <v>0.86332175925925925</v>
      </c>
      <c r="L71" s="29"/>
      <c r="M71" s="31">
        <f>IF($C$2&gt;Table57[[#This Row],[In]],$C$2-Table57[[#This Row],[In]],"")</f>
        <v>1.1678240740740753E-2</v>
      </c>
      <c r="N71" s="29" t="str">
        <f>IFERROR(IF(Table57[[#This Row],[Out]]&gt;$C$3,(Table57[[#This Row],[Out]])-($C$3),""),"")</f>
        <v/>
      </c>
    </row>
    <row r="72" spans="1:17" hidden="1" x14ac:dyDescent="0.25">
      <c r="A72" s="23" t="str">
        <f>Table57[[#This Row],[No.]]&amp;Table57[[#This Row],[Date]]</f>
        <v>1445307</v>
      </c>
      <c r="B72" s="22">
        <f>'Unique Dates'!A69</f>
        <v>14</v>
      </c>
      <c r="C72" s="22" t="str" cm="1">
        <f t="array" ref="C72">_xlfn.XLOOKUP(Table57[[#This Row],[No.]],Table2[[#All],[CODE]],Table2[[#All],[NAME]],,0,1)</f>
        <v>SALMA</v>
      </c>
      <c r="D72" s="6">
        <f>'Unique Dates'!B69</f>
        <v>45307</v>
      </c>
      <c r="E72" t="str">
        <f>TEXT(Table57[[#This Row],[Date]],"dddd")</f>
        <v>Tuesday</v>
      </c>
      <c r="F72" s="25" cm="1">
        <f t="array" ref="F72">IFERROR(_xlfn.XLOOKUP(Table57[[#This Row],[Code]],Table1[[#All],[Code]],Table1[[#All],[Time]],,0,1),"")</f>
        <v>0.5277546296296296</v>
      </c>
      <c r="G72" s="25" cm="1">
        <f t="array" ref="G72">IFERROR(_xlfn.XLOOKUP(Table57[[#This Row],[Code]],Table1[[#All],[Code]],Table1[[#All],[Time]],,0,-1),"")</f>
        <v>0.81383101851851858</v>
      </c>
      <c r="H72" s="23">
        <f>IFERROR(IF(Table57[[#This Row],[Out]]&gt;=Table57[[#This Row],[In]],Table57[[#This Row],[Out]]-Table57[[#This Row],[In]],(0.5+Table57[[#This Row],[Out]])-Table57[[#This Row],[In]]),"")</f>
        <v>0.28607638888888898</v>
      </c>
      <c r="I72" s="31" t="str">
        <f>IFERROR(IF(Table57[[#This Row],[In]]&gt;$C$2,Table57[[#This Row],[In]]-$C$2,""),"")</f>
        <v/>
      </c>
      <c r="J72" s="31">
        <f>IF(Table57[[#This Row],[Work_Hours]]=0,"",(IF(Table57[[#This Row],[Out]]&lt;$C$3,$C$3-Table57[[#This Row],[Out]],"")))</f>
        <v>0.10283564814814805</v>
      </c>
      <c r="K72" s="32">
        <f>IFERROR(Table57[[#This Row],[In]]+$C$1,"")</f>
        <v>0.86108796296296286</v>
      </c>
      <c r="L72" s="29"/>
      <c r="M72" s="31">
        <f>IF($C$2&gt;Table57[[#This Row],[In]],$C$2-Table57[[#This Row],[In]],"")</f>
        <v>1.3912037037037028E-2</v>
      </c>
      <c r="N72" s="29" t="str">
        <f>IFERROR(IF(Table57[[#This Row],[Out]]&gt;$C$3,(Table57[[#This Row],[Out]])-($C$3),""),"")</f>
        <v/>
      </c>
      <c r="Q72" s="27">
        <f>F73-F74</f>
        <v>-1.1979166666666652E-2</v>
      </c>
    </row>
    <row r="73" spans="1:17" hidden="1" x14ac:dyDescent="0.25">
      <c r="A73" s="23" t="str">
        <f>Table57[[#This Row],[No.]]&amp;Table57[[#This Row],[Date]]</f>
        <v>1445308</v>
      </c>
      <c r="B73" s="22">
        <f>'Unique Dates'!A70</f>
        <v>14</v>
      </c>
      <c r="C73" s="22" t="str" cm="1">
        <f t="array" ref="C73">_xlfn.XLOOKUP(Table57[[#This Row],[No.]],Table2[[#All],[CODE]],Table2[[#All],[NAME]],,0,1)</f>
        <v>SALMA</v>
      </c>
      <c r="D73" s="6">
        <f>'Unique Dates'!B70</f>
        <v>45308</v>
      </c>
      <c r="E73" t="str">
        <f>TEXT(Table57[[#This Row],[Date]],"dddd")</f>
        <v>Wednesday</v>
      </c>
      <c r="F73" s="25" cm="1">
        <f t="array" ref="F73">IFERROR(_xlfn.XLOOKUP(Table57[[#This Row],[Code]],Table1[[#All],[Code]],Table1[[#All],[Time]],,0,1),"")</f>
        <v>0.52175925925925926</v>
      </c>
      <c r="G73" s="25" cm="1">
        <f t="array" ref="G73">IFERROR(_xlfn.XLOOKUP(Table57[[#This Row],[Code]],Table1[[#All],[Code]],Table1[[#All],[Time]],,0,-1),"")</f>
        <v>0.9324189814814815</v>
      </c>
      <c r="H73" s="23">
        <f>IFERROR(IF(Table57[[#This Row],[Out]]&gt;=Table57[[#This Row],[In]],Table57[[#This Row],[Out]]-Table57[[#This Row],[In]],(0.5+Table57[[#This Row],[Out]])-Table57[[#This Row],[In]]),"")</f>
        <v>0.41065972222222225</v>
      </c>
      <c r="I73" s="31" t="str">
        <f>IFERROR(IF(Table57[[#This Row],[In]]&gt;$C$2,Table57[[#This Row],[In]]-$C$2,""),"")</f>
        <v/>
      </c>
      <c r="J73" s="31" t="str">
        <f>IF(Table57[[#This Row],[Work_Hours]]=0,"",(IF(Table57[[#This Row],[Out]]&lt;$C$3,$C$3-Table57[[#This Row],[Out]],"")))</f>
        <v/>
      </c>
      <c r="K73" s="32">
        <f>IFERROR(Table57[[#This Row],[In]]+$C$1,"")</f>
        <v>0.85509259259259252</v>
      </c>
      <c r="L73" s="29"/>
      <c r="M73" s="31">
        <f>IF($C$2&gt;Table57[[#This Row],[In]],$C$2-Table57[[#This Row],[In]],"")</f>
        <v>1.9907407407407374E-2</v>
      </c>
      <c r="N73" s="29">
        <f>IFERROR(IF(Table57[[#This Row],[Out]]&gt;$C$3,(Table57[[#This Row],[Out]])-($C$3),""),"")</f>
        <v>1.5752314814814872E-2</v>
      </c>
    </row>
    <row r="74" spans="1:17" hidden="1" x14ac:dyDescent="0.25">
      <c r="A74" s="23" t="str">
        <f>Table57[[#This Row],[No.]]&amp;Table57[[#This Row],[Date]]</f>
        <v>1445309</v>
      </c>
      <c r="B74" s="22">
        <f>'Unique Dates'!A71</f>
        <v>14</v>
      </c>
      <c r="C74" s="22" t="str" cm="1">
        <f t="array" ref="C74">_xlfn.XLOOKUP(Table57[[#This Row],[No.]],Table2[[#All],[CODE]],Table2[[#All],[NAME]],,0,1)</f>
        <v>SALMA</v>
      </c>
      <c r="D74" s="6">
        <f>'Unique Dates'!B71</f>
        <v>45309</v>
      </c>
      <c r="E74" t="str">
        <f>TEXT(Table57[[#This Row],[Date]],"dddd")</f>
        <v>Thursday</v>
      </c>
      <c r="F74" s="25" cm="1">
        <f t="array" ref="F74">IFERROR(_xlfn.XLOOKUP(Table57[[#This Row],[Code]],Table1[[#All],[Code]],Table1[[#All],[Time]],,0,1),"")</f>
        <v>0.53373842592592591</v>
      </c>
      <c r="G74" s="25" cm="1">
        <f t="array" ref="G74">IFERROR(_xlfn.XLOOKUP(Table57[[#This Row],[Code]],Table1[[#All],[Code]],Table1[[#All],[Time]],,0,-1),"")</f>
        <v>0.9098032407407407</v>
      </c>
      <c r="H74" s="23">
        <f>IFERROR(IF(Table57[[#This Row],[Out]]&gt;=Table57[[#This Row],[In]],Table57[[#This Row],[Out]]-Table57[[#This Row],[In]],(0.5+Table57[[#This Row],[Out]])-Table57[[#This Row],[In]]),"")</f>
        <v>0.3760648148148148</v>
      </c>
      <c r="I74" s="31" t="str">
        <f>IFERROR(IF(Table57[[#This Row],[In]]&gt;$C$2,Table57[[#This Row],[In]]-$C$2,""),"")</f>
        <v/>
      </c>
      <c r="J74" s="31">
        <f>IF(Table57[[#This Row],[Work_Hours]]=0,"",(IF(Table57[[#This Row],[Out]]&lt;$C$3,$C$3-Table57[[#This Row],[Out]],"")))</f>
        <v>6.8634259259259256E-3</v>
      </c>
      <c r="K74" s="32">
        <f>IFERROR(Table57[[#This Row],[In]]+$C$1,"")</f>
        <v>0.86707175925925917</v>
      </c>
      <c r="L74" s="29"/>
      <c r="M74" s="31">
        <f>IF($C$2&gt;Table57[[#This Row],[In]],$C$2-Table57[[#This Row],[In]],"")</f>
        <v>7.9282407407407218E-3</v>
      </c>
      <c r="N74" s="29" t="str">
        <f>IFERROR(IF(Table57[[#This Row],[Out]]&gt;$C$3,(Table57[[#This Row],[Out]])-($C$3),""),"")</f>
        <v/>
      </c>
    </row>
    <row r="75" spans="1:17" hidden="1" x14ac:dyDescent="0.25">
      <c r="A75" s="23" t="str">
        <f>Table57[[#This Row],[No.]]&amp;Table57[[#This Row],[Date]]</f>
        <v>1445312</v>
      </c>
      <c r="B75" s="22">
        <f>'Unique Dates'!A72</f>
        <v>14</v>
      </c>
      <c r="C75" s="22" t="str" cm="1">
        <f t="array" ref="C75">_xlfn.XLOOKUP(Table57[[#This Row],[No.]],Table2[[#All],[CODE]],Table2[[#All],[NAME]],,0,1)</f>
        <v>SALMA</v>
      </c>
      <c r="D75" s="6">
        <f>'Unique Dates'!B72</f>
        <v>45312</v>
      </c>
      <c r="E75" t="str">
        <f>TEXT(Table57[[#This Row],[Date]],"dddd")</f>
        <v>Sunday</v>
      </c>
      <c r="F75" s="25" cm="1">
        <f t="array" ref="F75">IFERROR(_xlfn.XLOOKUP(Table57[[#This Row],[Code]],Table1[[#All],[Code]],Table1[[#All],[Time]],,0,1),"")</f>
        <v>0.81328703703703698</v>
      </c>
      <c r="G75" s="25" cm="1">
        <f t="array" ref="G75">IFERROR(_xlfn.XLOOKUP(Table57[[#This Row],[Code]],Table1[[#All],[Code]],Table1[[#All],[Time]],,0,-1),"")</f>
        <v>0.81328703703703698</v>
      </c>
      <c r="H75" s="23">
        <f>IFERROR(IF(Table57[[#This Row],[Out]]&gt;=Table57[[#This Row],[In]],Table57[[#This Row],[Out]]-Table57[[#This Row],[In]],(0.5+Table57[[#This Row],[Out]])-Table57[[#This Row],[In]]),"")</f>
        <v>0</v>
      </c>
      <c r="I75" s="31">
        <f>IFERROR(IF(Table57[[#This Row],[In]]&gt;$C$2,Table57[[#This Row],[In]]-$C$2,""),"")</f>
        <v>0.27162037037037035</v>
      </c>
      <c r="J75" s="31" t="str">
        <f>IF(Table57[[#This Row],[Work_Hours]]=0,"",(IF(Table57[[#This Row],[Out]]&lt;$C$3,$C$3-Table57[[#This Row],[Out]],"")))</f>
        <v/>
      </c>
      <c r="K75" s="32">
        <f>IFERROR(Table57[[#This Row],[In]]+$C$1,"")</f>
        <v>1.1466203703703703</v>
      </c>
      <c r="L75" s="29"/>
      <c r="M75" s="31" t="str">
        <f>IF($C$2&gt;Table57[[#This Row],[In]],$C$2-Table57[[#This Row],[In]],"")</f>
        <v/>
      </c>
      <c r="N75" s="29" t="str">
        <f>IFERROR(IF(Table57[[#This Row],[Out]]&gt;$C$3,(Table57[[#This Row],[Out]])-($C$3),""),"")</f>
        <v/>
      </c>
    </row>
    <row r="76" spans="1:17" hidden="1" x14ac:dyDescent="0.25">
      <c r="A76" s="23" t="str">
        <f>Table57[[#This Row],[No.]]&amp;Table57[[#This Row],[Date]]</f>
        <v>1445313</v>
      </c>
      <c r="B76" s="22">
        <f>'Unique Dates'!A73</f>
        <v>14</v>
      </c>
      <c r="C76" s="22" t="str" cm="1">
        <f t="array" ref="C76">_xlfn.XLOOKUP(Table57[[#This Row],[No.]],Table2[[#All],[CODE]],Table2[[#All],[NAME]],,0,1)</f>
        <v>SALMA</v>
      </c>
      <c r="D76" s="6">
        <f>'Unique Dates'!B73</f>
        <v>45313</v>
      </c>
      <c r="E76" t="str">
        <f>TEXT(Table57[[#This Row],[Date]],"dddd")</f>
        <v>Monday</v>
      </c>
      <c r="F76" s="25" cm="1">
        <f t="array" ref="F76">IFERROR(_xlfn.XLOOKUP(Table57[[#This Row],[Code]],Table1[[#All],[Code]],Table1[[#All],[Time]],,0,1),"")</f>
        <v>0.54193287037037041</v>
      </c>
      <c r="G76" s="25" cm="1">
        <f t="array" ref="G76">IFERROR(_xlfn.XLOOKUP(Table57[[#This Row],[Code]],Table1[[#All],[Code]],Table1[[#All],[Time]],,0,-1),"")</f>
        <v>0.9135416666666667</v>
      </c>
      <c r="H76" s="23">
        <f>IFERROR(IF(Table57[[#This Row],[Out]]&gt;=Table57[[#This Row],[In]],Table57[[#This Row],[Out]]-Table57[[#This Row],[In]],(0.5+Table57[[#This Row],[Out]])-Table57[[#This Row],[In]]),"")</f>
        <v>0.37160879629629628</v>
      </c>
      <c r="I76" s="31">
        <f>IFERROR(IF(Table57[[#This Row],[In]]&gt;$C$2,Table57[[#This Row],[In]]-$C$2,""),"")</f>
        <v>2.6620370370378232E-4</v>
      </c>
      <c r="J76" s="31">
        <f>IF(Table57[[#This Row],[Work_Hours]]=0,"",(IF(Table57[[#This Row],[Out]]&lt;$C$3,$C$3-Table57[[#This Row],[Out]],"")))</f>
        <v>3.1249999999999334E-3</v>
      </c>
      <c r="K76" s="32">
        <f>IFERROR(Table57[[#This Row],[In]]+$C$1,"")</f>
        <v>0.87526620370370378</v>
      </c>
      <c r="L76" s="29"/>
      <c r="M76" s="31" t="str">
        <f>IF($C$2&gt;Table57[[#This Row],[In]],$C$2-Table57[[#This Row],[In]],"")</f>
        <v/>
      </c>
      <c r="N76" s="29" t="str">
        <f>IFERROR(IF(Table57[[#This Row],[Out]]&gt;$C$3,(Table57[[#This Row],[Out]])-($C$3),""),"")</f>
        <v/>
      </c>
    </row>
    <row r="77" spans="1:17" hidden="1" x14ac:dyDescent="0.25">
      <c r="A77" s="23" t="str">
        <f>Table57[[#This Row],[No.]]&amp;Table57[[#This Row],[Date]]</f>
        <v>1445314</v>
      </c>
      <c r="B77" s="22">
        <f>'Unique Dates'!A74</f>
        <v>14</v>
      </c>
      <c r="C77" s="22" t="str" cm="1">
        <f t="array" ref="C77">_xlfn.XLOOKUP(Table57[[#This Row],[No.]],Table2[[#All],[CODE]],Table2[[#All],[NAME]],,0,1)</f>
        <v>SALMA</v>
      </c>
      <c r="D77" s="6">
        <f>'Unique Dates'!B74</f>
        <v>45314</v>
      </c>
      <c r="E77" t="str">
        <f>TEXT(Table57[[#This Row],[Date]],"dddd")</f>
        <v>Tuesday</v>
      </c>
      <c r="F77" s="25" cm="1">
        <f t="array" ref="F77">IFERROR(_xlfn.XLOOKUP(Table57[[#This Row],[Code]],Table1[[#All],[Code]],Table1[[#All],[Time]],,0,1),"")</f>
        <v>0.53643518518518518</v>
      </c>
      <c r="G77" s="25" cm="1">
        <f t="array" ref="G77">IFERROR(_xlfn.XLOOKUP(Table57[[#This Row],[Code]],Table1[[#All],[Code]],Table1[[#All],[Time]],,0,-1),"")</f>
        <v>0.84366898148148151</v>
      </c>
      <c r="H77" s="23">
        <f>IFERROR(IF(Table57[[#This Row],[Out]]&gt;=Table57[[#This Row],[In]],Table57[[#This Row],[Out]]-Table57[[#This Row],[In]],(0.5+Table57[[#This Row],[Out]])-Table57[[#This Row],[In]]),"")</f>
        <v>0.30723379629629632</v>
      </c>
      <c r="I77" s="31" t="str">
        <f>IFERROR(IF(Table57[[#This Row],[In]]&gt;$C$2,Table57[[#This Row],[In]]-$C$2,""),"")</f>
        <v/>
      </c>
      <c r="J77" s="31">
        <f>IF(Table57[[#This Row],[Work_Hours]]=0,"",(IF(Table57[[#This Row],[Out]]&lt;$C$3,$C$3-Table57[[#This Row],[Out]],"")))</f>
        <v>7.2997685185185124E-2</v>
      </c>
      <c r="K77" s="32">
        <f>IFERROR(Table57[[#This Row],[In]]+$C$1,"")</f>
        <v>0.86976851851851844</v>
      </c>
      <c r="L77" s="29"/>
      <c r="M77" s="31">
        <f>IF($C$2&gt;Table57[[#This Row],[In]],$C$2-Table57[[#This Row],[In]],"")</f>
        <v>5.2314814814814481E-3</v>
      </c>
      <c r="N77" s="29" t="str">
        <f>IFERROR(IF(Table57[[#This Row],[Out]]&gt;$C$3,(Table57[[#This Row],[Out]])-($C$3),""),"")</f>
        <v/>
      </c>
    </row>
    <row r="78" spans="1:17" hidden="1" x14ac:dyDescent="0.25">
      <c r="A78" s="23" t="str">
        <f>Table57[[#This Row],[No.]]&amp;Table57[[#This Row],[Date]]</f>
        <v>1445315</v>
      </c>
      <c r="B78" s="22">
        <f>'Unique Dates'!A75</f>
        <v>14</v>
      </c>
      <c r="C78" s="22" t="str" cm="1">
        <f t="array" ref="C78">_xlfn.XLOOKUP(Table57[[#This Row],[No.]],Table2[[#All],[CODE]],Table2[[#All],[NAME]],,0,1)</f>
        <v>SALMA</v>
      </c>
      <c r="D78" s="6">
        <f>'Unique Dates'!B75</f>
        <v>45315</v>
      </c>
      <c r="E78" t="str">
        <f>TEXT(Table57[[#This Row],[Date]],"dddd")</f>
        <v>Wednesday</v>
      </c>
      <c r="F78" s="25" cm="1">
        <f t="array" ref="F78">IFERROR(_xlfn.XLOOKUP(Table57[[#This Row],[Code]],Table1[[#All],[Code]],Table1[[#All],[Time]],,0,1),"")</f>
        <v>2.6018518518518521E-2</v>
      </c>
      <c r="G78" s="25" cm="1">
        <f t="array" ref="G78">IFERROR(_xlfn.XLOOKUP(Table57[[#This Row],[Code]],Table1[[#All],[Code]],Table1[[#All],[Time]],,0,-1),"")</f>
        <v>0.94666666666666666</v>
      </c>
      <c r="H78" s="23">
        <f>IFERROR(IF(Table57[[#This Row],[Out]]&gt;=Table57[[#This Row],[In]],Table57[[#This Row],[Out]]-Table57[[#This Row],[In]],(0.5+Table57[[#This Row],[Out]])-Table57[[#This Row],[In]]),"")</f>
        <v>0.9206481481481481</v>
      </c>
      <c r="I78" s="31" t="str">
        <f>IFERROR(IF(Table57[[#This Row],[In]]&gt;$C$2,Table57[[#This Row],[In]]-$C$2,""),"")</f>
        <v/>
      </c>
      <c r="J78" s="31" t="str">
        <f>IF(Table57[[#This Row],[Work_Hours]]=0,"",(IF(Table57[[#This Row],[Out]]&lt;$C$3,$C$3-Table57[[#This Row],[Out]],"")))</f>
        <v/>
      </c>
      <c r="K78" s="32">
        <f>IFERROR(Table57[[#This Row],[In]]+$C$1,"")</f>
        <v>0.35935185185185181</v>
      </c>
      <c r="L78" s="29"/>
      <c r="M78" s="31">
        <f>IF($C$2&gt;Table57[[#This Row],[In]],$C$2-Table57[[#This Row],[In]],"")</f>
        <v>0.51564814814814808</v>
      </c>
      <c r="N78" s="29">
        <f>IFERROR(IF(Table57[[#This Row],[Out]]&gt;$C$3,(Table57[[#This Row],[Out]])-($C$3),""),"")</f>
        <v>3.0000000000000027E-2</v>
      </c>
    </row>
    <row r="79" spans="1:17" hidden="1" x14ac:dyDescent="0.25">
      <c r="A79" s="23" t="str">
        <f>Table57[[#This Row],[No.]]&amp;Table57[[#This Row],[Date]]</f>
        <v>1445316</v>
      </c>
      <c r="B79" s="22">
        <f>'Unique Dates'!A76</f>
        <v>14</v>
      </c>
      <c r="C79" s="22" t="str" cm="1">
        <f t="array" ref="C79">_xlfn.XLOOKUP(Table57[[#This Row],[No.]],Table2[[#All],[CODE]],Table2[[#All],[NAME]],,0,1)</f>
        <v>SALMA</v>
      </c>
      <c r="D79" s="6">
        <f>'Unique Dates'!B76</f>
        <v>45316</v>
      </c>
      <c r="E79" t="str">
        <f>TEXT(Table57[[#This Row],[Date]],"dddd")</f>
        <v>Thursday</v>
      </c>
      <c r="F79" s="25" cm="1">
        <f t="array" ref="F79">IFERROR(_xlfn.XLOOKUP(Table57[[#This Row],[Code]],Table1[[#All],[Code]],Table1[[#All],[Time]],,0,1),"")</f>
        <v>0.53277777777777779</v>
      </c>
      <c r="G79" s="25" cm="1">
        <f t="array" ref="G79">IFERROR(_xlfn.XLOOKUP(Table57[[#This Row],[Code]],Table1[[#All],[Code]],Table1[[#All],[Time]],,0,-1),"")</f>
        <v>0.91581018518518509</v>
      </c>
      <c r="H79" s="23">
        <f>IFERROR(IF(Table57[[#This Row],[Out]]&gt;=Table57[[#This Row],[In]],Table57[[#This Row],[Out]]-Table57[[#This Row],[In]],(0.5+Table57[[#This Row],[Out]])-Table57[[#This Row],[In]]),"")</f>
        <v>0.38303240740740729</v>
      </c>
      <c r="I79" s="31" t="str">
        <f>IFERROR(IF(Table57[[#This Row],[In]]&gt;$C$2,Table57[[#This Row],[In]]-$C$2,""),"")</f>
        <v/>
      </c>
      <c r="J79" s="31">
        <f>IF(Table57[[#This Row],[Work_Hours]]=0,"",(IF(Table57[[#This Row],[Out]]&lt;$C$3,$C$3-Table57[[#This Row],[Out]],"")))</f>
        <v>8.5648148148154135E-4</v>
      </c>
      <c r="K79" s="32">
        <f>IFERROR(Table57[[#This Row],[In]]+$C$1,"")</f>
        <v>0.86611111111111105</v>
      </c>
      <c r="L79" s="29"/>
      <c r="M79" s="31">
        <f>IF($C$2&gt;Table57[[#This Row],[In]],$C$2-Table57[[#This Row],[In]],"")</f>
        <v>8.8888888888888351E-3</v>
      </c>
      <c r="N79" s="29" t="str">
        <f>IFERROR(IF(Table57[[#This Row],[Out]]&gt;$C$3,(Table57[[#This Row],[Out]])-($C$3),""),"")</f>
        <v/>
      </c>
    </row>
    <row r="80" spans="1:17" hidden="1" x14ac:dyDescent="0.25">
      <c r="A80" s="23" t="str">
        <f>Table57[[#This Row],[No.]]&amp;Table57[[#This Row],[Date]]</f>
        <v>1445318</v>
      </c>
      <c r="B80" s="22">
        <f>'Unique Dates'!A77</f>
        <v>14</v>
      </c>
      <c r="C80" s="22" t="str" cm="1">
        <f t="array" ref="C80">_xlfn.XLOOKUP(Table57[[#This Row],[No.]],Table2[[#All],[CODE]],Table2[[#All],[NAME]],,0,1)</f>
        <v>SALMA</v>
      </c>
      <c r="D80" s="6">
        <f>'Unique Dates'!B77</f>
        <v>45318</v>
      </c>
      <c r="E80" t="str">
        <f>TEXT(Table57[[#This Row],[Date]],"dddd")</f>
        <v>Saturday</v>
      </c>
      <c r="F80" s="25" cm="1">
        <f t="array" ref="F80">IFERROR(_xlfn.XLOOKUP(Table57[[#This Row],[Code]],Table1[[#All],[Code]],Table1[[#All],[Time]],,0,1),"")</f>
        <v>0.52650462962962963</v>
      </c>
      <c r="G80" s="25" cm="1">
        <f t="array" ref="G80">IFERROR(_xlfn.XLOOKUP(Table57[[#This Row],[Code]],Table1[[#All],[Code]],Table1[[#All],[Time]],,0,-1),"")</f>
        <v>0.52650462962962963</v>
      </c>
      <c r="H80" s="23">
        <f>IFERROR(IF(Table57[[#This Row],[Out]]&gt;=Table57[[#This Row],[In]],Table57[[#This Row],[Out]]-Table57[[#This Row],[In]],(0.5+Table57[[#This Row],[Out]])-Table57[[#This Row],[In]]),"")</f>
        <v>0</v>
      </c>
      <c r="I80" s="31" t="str">
        <f>IFERROR(IF(Table57[[#This Row],[In]]&gt;$C$2,Table57[[#This Row],[In]]-$C$2,""),"")</f>
        <v/>
      </c>
      <c r="J80" s="31" t="str">
        <f>IF(Table57[[#This Row],[Work_Hours]]=0,"",(IF(Table57[[#This Row],[Out]]&lt;$C$3,$C$3-Table57[[#This Row],[Out]],"")))</f>
        <v/>
      </c>
      <c r="K80" s="32">
        <f>IFERROR(Table57[[#This Row],[In]]+$C$1,"")</f>
        <v>0.85983796296296289</v>
      </c>
      <c r="L80" s="29"/>
      <c r="M80" s="31">
        <f>IF($C$2&gt;Table57[[#This Row],[In]],$C$2-Table57[[#This Row],[In]],"")</f>
        <v>1.5162037037037002E-2</v>
      </c>
      <c r="N80" s="29" t="str">
        <f>IFERROR(IF(Table57[[#This Row],[Out]]&gt;$C$3,(Table57[[#This Row],[Out]])-($C$3),""),"")</f>
        <v/>
      </c>
    </row>
    <row r="81" spans="1:14" hidden="1" x14ac:dyDescent="0.25">
      <c r="A81" s="23" t="str">
        <f>Table57[[#This Row],[No.]]&amp;Table57[[#This Row],[Date]]</f>
        <v>1445319</v>
      </c>
      <c r="B81" s="22">
        <f>'Unique Dates'!A78</f>
        <v>14</v>
      </c>
      <c r="C81" s="22" t="str" cm="1">
        <f t="array" ref="C81">_xlfn.XLOOKUP(Table57[[#This Row],[No.]],Table2[[#All],[CODE]],Table2[[#All],[NAME]],,0,1)</f>
        <v>SALMA</v>
      </c>
      <c r="D81" s="6">
        <f>'Unique Dates'!B78</f>
        <v>45319</v>
      </c>
      <c r="E81" t="str">
        <f>TEXT(Table57[[#This Row],[Date]],"dddd")</f>
        <v>Sunday</v>
      </c>
      <c r="F81" s="25" cm="1">
        <f t="array" ref="F81">IFERROR(_xlfn.XLOOKUP(Table57[[#This Row],[Code]],Table1[[#All],[Code]],Table1[[#All],[Time]],,0,1),"")</f>
        <v>0.96791666666666665</v>
      </c>
      <c r="G81" s="25" cm="1">
        <f t="array" ref="G81">IFERROR(_xlfn.XLOOKUP(Table57[[#This Row],[Code]],Table1[[#All],[Code]],Table1[[#All],[Time]],,0,-1),"")</f>
        <v>0.96791666666666665</v>
      </c>
      <c r="H81" s="23">
        <f>IFERROR(IF(Table57[[#This Row],[Out]]&gt;=Table57[[#This Row],[In]],Table57[[#This Row],[Out]]-Table57[[#This Row],[In]],(0.5+Table57[[#This Row],[Out]])-Table57[[#This Row],[In]]),"")</f>
        <v>0</v>
      </c>
      <c r="I81" s="31">
        <f>IFERROR(IF(Table57[[#This Row],[In]]&gt;$C$2,Table57[[#This Row],[In]]-$C$2,""),"")</f>
        <v>0.42625000000000002</v>
      </c>
      <c r="J81" s="31" t="str">
        <f>IF(Table57[[#This Row],[Work_Hours]]=0,"",(IF(Table57[[#This Row],[Out]]&lt;$C$3,$C$3-Table57[[#This Row],[Out]],"")))</f>
        <v/>
      </c>
      <c r="K81" s="32">
        <f>IFERROR(Table57[[#This Row],[In]]+$C$1,"")</f>
        <v>1.30125</v>
      </c>
      <c r="L81" s="29"/>
      <c r="M81" s="31" t="str">
        <f>IF($C$2&gt;Table57[[#This Row],[In]],$C$2-Table57[[#This Row],[In]],"")</f>
        <v/>
      </c>
      <c r="N81" s="29">
        <f>IFERROR(IF(Table57[[#This Row],[Out]]&gt;$C$3,(Table57[[#This Row],[Out]])-($C$3),""),"")</f>
        <v>5.1250000000000018E-2</v>
      </c>
    </row>
    <row r="82" spans="1:14" hidden="1" x14ac:dyDescent="0.25">
      <c r="A82" s="23" t="str">
        <f>Table57[[#This Row],[No.]]&amp;Table57[[#This Row],[Date]]</f>
        <v>1645293</v>
      </c>
      <c r="B82" s="22">
        <f>'Unique Dates'!A79</f>
        <v>16</v>
      </c>
      <c r="C82" s="22" t="str" cm="1">
        <f t="array" ref="C82">_xlfn.XLOOKUP(Table57[[#This Row],[No.]],Table2[[#All],[CODE]],Table2[[#All],[NAME]],,0,1)</f>
        <v>NOUR</v>
      </c>
      <c r="D82" s="6">
        <f>'Unique Dates'!B79</f>
        <v>45293</v>
      </c>
      <c r="E82" t="str">
        <f>TEXT(Table57[[#This Row],[Date]],"dddd")</f>
        <v>Tuesday</v>
      </c>
      <c r="F82" s="25" cm="1">
        <f t="array" ref="F82">IFERROR(_xlfn.XLOOKUP(Table57[[#This Row],[Code]],Table1[[#All],[Code]],Table1[[#All],[Time]],,0,1),"")</f>
        <v>0.58564814814814814</v>
      </c>
      <c r="G82" s="25" cm="1">
        <f t="array" ref="G82">IFERROR(_xlfn.XLOOKUP(Table57[[#This Row],[Code]],Table1[[#All],[Code]],Table1[[#All],[Time]],,0,-1),"")</f>
        <v>0.9164699074074073</v>
      </c>
      <c r="H82" s="23">
        <f>IFERROR(IF(Table57[[#This Row],[Out]]&gt;=Table57[[#This Row],[In]],Table57[[#This Row],[Out]]-Table57[[#This Row],[In]],(0.5+Table57[[#This Row],[Out]])-Table57[[#This Row],[In]]),"")</f>
        <v>0.33082175925925916</v>
      </c>
      <c r="I82" s="31">
        <f>IFERROR(IF(Table57[[#This Row],[In]]&gt;$C$2,Table57[[#This Row],[In]]-$C$2,""),"")</f>
        <v>4.398148148148151E-2</v>
      </c>
      <c r="J82" s="31">
        <f>IF(Table57[[#This Row],[Work_Hours]]=0,"",(IF(Table57[[#This Row],[Out]]&lt;$C$3,$C$3-Table57[[#This Row],[Out]],"")))</f>
        <v>1.9675925925932702E-4</v>
      </c>
      <c r="K82" s="32">
        <f>IFERROR(Table57[[#This Row],[In]]+$C$1,"")</f>
        <v>0.9189814814814814</v>
      </c>
      <c r="L82" s="29"/>
      <c r="M82" s="31" t="str">
        <f>IF($C$2&gt;Table57[[#This Row],[In]],$C$2-Table57[[#This Row],[In]],"")</f>
        <v/>
      </c>
      <c r="N82" s="29" t="str">
        <f>IFERROR(IF(Table57[[#This Row],[Out]]&gt;$C$3,(Table57[[#This Row],[Out]])-($C$3),""),"")</f>
        <v/>
      </c>
    </row>
    <row r="83" spans="1:14" hidden="1" x14ac:dyDescent="0.25">
      <c r="A83" s="23" t="str">
        <f>Table57[[#This Row],[No.]]&amp;Table57[[#This Row],[Date]]</f>
        <v>1645294</v>
      </c>
      <c r="B83" s="22">
        <f>'Unique Dates'!A80</f>
        <v>16</v>
      </c>
      <c r="C83" s="22" t="str" cm="1">
        <f t="array" ref="C83">_xlfn.XLOOKUP(Table57[[#This Row],[No.]],Table2[[#All],[CODE]],Table2[[#All],[NAME]],,0,1)</f>
        <v>NOUR</v>
      </c>
      <c r="D83" s="6">
        <f>'Unique Dates'!B80</f>
        <v>45294</v>
      </c>
      <c r="E83" t="str">
        <f>TEXT(Table57[[#This Row],[Date]],"dddd")</f>
        <v>Wednesday</v>
      </c>
      <c r="F83" s="25" cm="1">
        <f t="array" ref="F83">IFERROR(_xlfn.XLOOKUP(Table57[[#This Row],[Code]],Table1[[#All],[Code]],Table1[[#All],[Time]],,0,1),"")</f>
        <v>0.57697916666666671</v>
      </c>
      <c r="G83" s="25" cm="1">
        <f t="array" ref="G83">IFERROR(_xlfn.XLOOKUP(Table57[[#This Row],[Code]],Table1[[#All],[Code]],Table1[[#All],[Time]],,0,-1),"")</f>
        <v>0.90476851851851858</v>
      </c>
      <c r="H83" s="23">
        <f>IFERROR(IF(Table57[[#This Row],[Out]]&gt;=Table57[[#This Row],[In]],Table57[[#This Row],[Out]]-Table57[[#This Row],[In]],(0.5+Table57[[#This Row],[Out]])-Table57[[#This Row],[In]]),"")</f>
        <v>0.32778935185185187</v>
      </c>
      <c r="I83" s="31">
        <f>IFERROR(IF(Table57[[#This Row],[In]]&gt;$C$2,Table57[[#This Row],[In]]-$C$2,""),"")</f>
        <v>3.531250000000008E-2</v>
      </c>
      <c r="J83" s="31">
        <f>IF(Table57[[#This Row],[Work_Hours]]=0,"",(IF(Table57[[#This Row],[Out]]&lt;$C$3,$C$3-Table57[[#This Row],[Out]],"")))</f>
        <v>1.1898148148148047E-2</v>
      </c>
      <c r="K83" s="32">
        <f>IFERROR(Table57[[#This Row],[In]]+$C$1,"")</f>
        <v>0.91031250000000008</v>
      </c>
      <c r="L83" s="29"/>
      <c r="M83" s="31" t="str">
        <f>IF($C$2&gt;Table57[[#This Row],[In]],$C$2-Table57[[#This Row],[In]],"")</f>
        <v/>
      </c>
      <c r="N83" s="29" t="str">
        <f>IFERROR(IF(Table57[[#This Row],[Out]]&gt;$C$3,(Table57[[#This Row],[Out]])-($C$3),""),"")</f>
        <v/>
      </c>
    </row>
    <row r="84" spans="1:14" hidden="1" x14ac:dyDescent="0.25">
      <c r="A84" s="23" t="str">
        <f>Table57[[#This Row],[No.]]&amp;Table57[[#This Row],[Date]]</f>
        <v>1645296</v>
      </c>
      <c r="B84" s="22">
        <f>'Unique Dates'!A81</f>
        <v>16</v>
      </c>
      <c r="C84" s="22" t="str" cm="1">
        <f t="array" ref="C84">_xlfn.XLOOKUP(Table57[[#This Row],[No.]],Table2[[#All],[CODE]],Table2[[#All],[NAME]],,0,1)</f>
        <v>NOUR</v>
      </c>
      <c r="D84" s="6">
        <f>'Unique Dates'!B81</f>
        <v>45296</v>
      </c>
      <c r="E84" t="str">
        <f>TEXT(Table57[[#This Row],[Date]],"dddd")</f>
        <v>Friday</v>
      </c>
      <c r="F84" s="25" cm="1">
        <f t="array" ref="F84">IFERROR(_xlfn.XLOOKUP(Table57[[#This Row],[Code]],Table1[[#All],[Code]],Table1[[#All],[Time]],,0,1),"")</f>
        <v>0.63398148148148148</v>
      </c>
      <c r="G84" s="25" cm="1">
        <f t="array" ref="G84">IFERROR(_xlfn.XLOOKUP(Table57[[#This Row],[Code]],Table1[[#All],[Code]],Table1[[#All],[Time]],,0,-1),"")</f>
        <v>0.99584490740740739</v>
      </c>
      <c r="H84" s="23">
        <f>IFERROR(IF(Table57[[#This Row],[Out]]&gt;=Table57[[#This Row],[In]],Table57[[#This Row],[Out]]-Table57[[#This Row],[In]],(0.5+Table57[[#This Row],[Out]])-Table57[[#This Row],[In]]),"")</f>
        <v>0.36186342592592591</v>
      </c>
      <c r="I84" s="31">
        <f>IFERROR(IF(Table57[[#This Row],[In]]&gt;$C$2,Table57[[#This Row],[In]]-$C$2,""),"")</f>
        <v>9.231481481481485E-2</v>
      </c>
      <c r="J84" s="31" t="str">
        <f>IF(Table57[[#This Row],[Work_Hours]]=0,"",(IF(Table57[[#This Row],[Out]]&lt;$C$3,$C$3-Table57[[#This Row],[Out]],"")))</f>
        <v/>
      </c>
      <c r="K84" s="32">
        <f>IFERROR(Table57[[#This Row],[In]]+$C$1,"")</f>
        <v>0.96731481481481474</v>
      </c>
      <c r="L84" s="29"/>
      <c r="M84" s="31" t="str">
        <f>IF($C$2&gt;Table57[[#This Row],[In]],$C$2-Table57[[#This Row],[In]],"")</f>
        <v/>
      </c>
      <c r="N84" s="29">
        <f>IFERROR(IF(Table57[[#This Row],[Out]]&gt;$C$3,(Table57[[#This Row],[Out]])-($C$3),""),"")</f>
        <v>7.9178240740740757E-2</v>
      </c>
    </row>
    <row r="85" spans="1:14" hidden="1" x14ac:dyDescent="0.25">
      <c r="A85" s="23" t="str">
        <f>Table57[[#This Row],[No.]]&amp;Table57[[#This Row],[Date]]</f>
        <v>1645297</v>
      </c>
      <c r="B85" s="22">
        <f>'Unique Dates'!A82</f>
        <v>16</v>
      </c>
      <c r="C85" s="22" t="str" cm="1">
        <f t="array" ref="C85">_xlfn.XLOOKUP(Table57[[#This Row],[No.]],Table2[[#All],[CODE]],Table2[[#All],[NAME]],,0,1)</f>
        <v>NOUR</v>
      </c>
      <c r="D85" s="6">
        <f>'Unique Dates'!B82</f>
        <v>45297</v>
      </c>
      <c r="E85" t="str">
        <f>TEXT(Table57[[#This Row],[Date]],"dddd")</f>
        <v>Saturday</v>
      </c>
      <c r="F85" s="25" cm="1">
        <f t="array" ref="F85">IFERROR(_xlfn.XLOOKUP(Table57[[#This Row],[Code]],Table1[[#All],[Code]],Table1[[#All],[Time]],,0,1),"")</f>
        <v>0.60398148148148145</v>
      </c>
      <c r="G85" s="25" cm="1">
        <f t="array" ref="G85">IFERROR(_xlfn.XLOOKUP(Table57[[#This Row],[Code]],Table1[[#All],[Code]],Table1[[#All],[Time]],,0,-1),"")</f>
        <v>0.92729166666666663</v>
      </c>
      <c r="H85" s="23">
        <f>IFERROR(IF(Table57[[#This Row],[Out]]&gt;=Table57[[#This Row],[In]],Table57[[#This Row],[Out]]-Table57[[#This Row],[In]],(0.5+Table57[[#This Row],[Out]])-Table57[[#This Row],[In]]),"")</f>
        <v>0.32331018518518517</v>
      </c>
      <c r="I85" s="31">
        <f>IFERROR(IF(Table57[[#This Row],[In]]&gt;$C$2,Table57[[#This Row],[In]]-$C$2,""),"")</f>
        <v>6.2314814814814823E-2</v>
      </c>
      <c r="J85" s="31" t="str">
        <f>IF(Table57[[#This Row],[Work_Hours]]=0,"",(IF(Table57[[#This Row],[Out]]&lt;$C$3,$C$3-Table57[[#This Row],[Out]],"")))</f>
        <v/>
      </c>
      <c r="K85" s="32">
        <f>IFERROR(Table57[[#This Row],[In]]+$C$1,"")</f>
        <v>0.93731481481481471</v>
      </c>
      <c r="L85" s="29"/>
      <c r="M85" s="31" t="str">
        <f>IF($C$2&gt;Table57[[#This Row],[In]],$C$2-Table57[[#This Row],[In]],"")</f>
        <v/>
      </c>
      <c r="N85" s="29">
        <f>IFERROR(IF(Table57[[#This Row],[Out]]&gt;$C$3,(Table57[[#This Row],[Out]])-($C$3),""),"")</f>
        <v>1.0624999999999996E-2</v>
      </c>
    </row>
    <row r="86" spans="1:14" hidden="1" x14ac:dyDescent="0.25">
      <c r="A86" s="23" t="str">
        <f>Table57[[#This Row],[No.]]&amp;Table57[[#This Row],[Date]]</f>
        <v>1645299</v>
      </c>
      <c r="B86" s="22">
        <f>'Unique Dates'!A83</f>
        <v>16</v>
      </c>
      <c r="C86" s="22" t="str" cm="1">
        <f t="array" ref="C86">_xlfn.XLOOKUP(Table57[[#This Row],[No.]],Table2[[#All],[CODE]],Table2[[#All],[NAME]],,0,1)</f>
        <v>NOUR</v>
      </c>
      <c r="D86" s="6">
        <f>'Unique Dates'!B83</f>
        <v>45299</v>
      </c>
      <c r="E86" t="str">
        <f>TEXT(Table57[[#This Row],[Date]],"dddd")</f>
        <v>Monday</v>
      </c>
      <c r="F86" s="25" cm="1">
        <f t="array" ref="F86">IFERROR(_xlfn.XLOOKUP(Table57[[#This Row],[Code]],Table1[[#All],[Code]],Table1[[#All],[Time]],,0,1),"")</f>
        <v>0.57337962962962963</v>
      </c>
      <c r="G86" s="25" cm="1">
        <f t="array" ref="G86">IFERROR(_xlfn.XLOOKUP(Table57[[#This Row],[Code]],Table1[[#All],[Code]],Table1[[#All],[Time]],,0,-1),"")</f>
        <v>0.94499999999999995</v>
      </c>
      <c r="H86" s="23">
        <f>IFERROR(IF(Table57[[#This Row],[Out]]&gt;=Table57[[#This Row],[In]],Table57[[#This Row],[Out]]-Table57[[#This Row],[In]],(0.5+Table57[[#This Row],[Out]])-Table57[[#This Row],[In]]),"")</f>
        <v>0.37162037037037032</v>
      </c>
      <c r="I86" s="31">
        <f>IFERROR(IF(Table57[[#This Row],[In]]&gt;$C$2,Table57[[#This Row],[In]]-$C$2,""),"")</f>
        <v>3.1712962962962998E-2</v>
      </c>
      <c r="J86" s="31" t="str">
        <f>IF(Table57[[#This Row],[Work_Hours]]=0,"",(IF(Table57[[#This Row],[Out]]&lt;$C$3,$C$3-Table57[[#This Row],[Out]],"")))</f>
        <v/>
      </c>
      <c r="K86" s="32">
        <f>IFERROR(Table57[[#This Row],[In]]+$C$1,"")</f>
        <v>0.90671296296296289</v>
      </c>
      <c r="L86" s="29"/>
      <c r="M86" s="31" t="str">
        <f>IF($C$2&gt;Table57[[#This Row],[In]],$C$2-Table57[[#This Row],[In]],"")</f>
        <v/>
      </c>
      <c r="N86" s="29">
        <f>IFERROR(IF(Table57[[#This Row],[Out]]&gt;$C$3,(Table57[[#This Row],[Out]])-($C$3),""),"")</f>
        <v>2.8333333333333321E-2</v>
      </c>
    </row>
    <row r="87" spans="1:14" hidden="1" x14ac:dyDescent="0.25">
      <c r="A87" s="23" t="str">
        <f>Table57[[#This Row],[No.]]&amp;Table57[[#This Row],[Date]]</f>
        <v>1645300</v>
      </c>
      <c r="B87" s="22">
        <f>'Unique Dates'!A84</f>
        <v>16</v>
      </c>
      <c r="C87" s="22" t="str" cm="1">
        <f t="array" ref="C87">_xlfn.XLOOKUP(Table57[[#This Row],[No.]],Table2[[#All],[CODE]],Table2[[#All],[NAME]],,0,1)</f>
        <v>NOUR</v>
      </c>
      <c r="D87" s="6">
        <f>'Unique Dates'!B84</f>
        <v>45300</v>
      </c>
      <c r="E87" t="str">
        <f>TEXT(Table57[[#This Row],[Date]],"dddd")</f>
        <v>Tuesday</v>
      </c>
      <c r="F87" s="25" cm="1">
        <f t="array" ref="F87">IFERROR(_xlfn.XLOOKUP(Table57[[#This Row],[Code]],Table1[[#All],[Code]],Table1[[#All],[Time]],,0,1),"")</f>
        <v>0.59729166666666667</v>
      </c>
      <c r="G87" s="25" cm="1">
        <f t="array" ref="G87">IFERROR(_xlfn.XLOOKUP(Table57[[#This Row],[Code]],Table1[[#All],[Code]],Table1[[#All],[Time]],,0,-1),"")</f>
        <v>0.90728009259259268</v>
      </c>
      <c r="H87" s="23">
        <f>IFERROR(IF(Table57[[#This Row],[Out]]&gt;=Table57[[#This Row],[In]],Table57[[#This Row],[Out]]-Table57[[#This Row],[In]],(0.5+Table57[[#This Row],[Out]])-Table57[[#This Row],[In]]),"")</f>
        <v>0.30998842592592601</v>
      </c>
      <c r="I87" s="31">
        <f>IFERROR(IF(Table57[[#This Row],[In]]&gt;$C$2,Table57[[#This Row],[In]]-$C$2,""),"")</f>
        <v>5.5625000000000036E-2</v>
      </c>
      <c r="J87" s="31">
        <f>IF(Table57[[#This Row],[Work_Hours]]=0,"",(IF(Table57[[#This Row],[Out]]&lt;$C$3,$C$3-Table57[[#This Row],[Out]],"")))</f>
        <v>9.3865740740739501E-3</v>
      </c>
      <c r="K87" s="32">
        <f>IFERROR(Table57[[#This Row],[In]]+$C$1,"")</f>
        <v>0.93062500000000004</v>
      </c>
      <c r="L87" s="29"/>
      <c r="M87" s="31" t="str">
        <f>IF($C$2&gt;Table57[[#This Row],[In]],$C$2-Table57[[#This Row],[In]],"")</f>
        <v/>
      </c>
      <c r="N87" s="29" t="str">
        <f>IFERROR(IF(Table57[[#This Row],[Out]]&gt;$C$3,(Table57[[#This Row],[Out]])-($C$3),""),"")</f>
        <v/>
      </c>
    </row>
    <row r="88" spans="1:14" hidden="1" x14ac:dyDescent="0.25">
      <c r="A88" s="23" t="str">
        <f>Table57[[#This Row],[No.]]&amp;Table57[[#This Row],[Date]]</f>
        <v>1645301</v>
      </c>
      <c r="B88" s="22">
        <f>'Unique Dates'!A85</f>
        <v>16</v>
      </c>
      <c r="C88" s="22" t="str" cm="1">
        <f t="array" ref="C88">_xlfn.XLOOKUP(Table57[[#This Row],[No.]],Table2[[#All],[CODE]],Table2[[#All],[NAME]],,0,1)</f>
        <v>NOUR</v>
      </c>
      <c r="D88" s="6">
        <f>'Unique Dates'!B85</f>
        <v>45301</v>
      </c>
      <c r="E88" t="str">
        <f>TEXT(Table57[[#This Row],[Date]],"dddd")</f>
        <v>Wednesday</v>
      </c>
      <c r="F88" s="25" cm="1">
        <f t="array" ref="F88">IFERROR(_xlfn.XLOOKUP(Table57[[#This Row],[Code]],Table1[[#All],[Code]],Table1[[#All],[Time]],,0,1),"")</f>
        <v>0.53123842592592596</v>
      </c>
      <c r="G88" s="25" cm="1">
        <f t="array" ref="G88">IFERROR(_xlfn.XLOOKUP(Table57[[#This Row],[Code]],Table1[[#All],[Code]],Table1[[#All],[Time]],,0,-1),"")</f>
        <v>0.92700231481481488</v>
      </c>
      <c r="H88" s="23">
        <f>IFERROR(IF(Table57[[#This Row],[Out]]&gt;=Table57[[#This Row],[In]],Table57[[#This Row],[Out]]-Table57[[#This Row],[In]],(0.5+Table57[[#This Row],[Out]])-Table57[[#This Row],[In]]),"")</f>
        <v>0.39576388888888892</v>
      </c>
      <c r="I88" s="31" t="str">
        <f>IFERROR(IF(Table57[[#This Row],[In]]&gt;$C$2,Table57[[#This Row],[In]]-$C$2,""),"")</f>
        <v/>
      </c>
      <c r="J88" s="31" t="str">
        <f>IF(Table57[[#This Row],[Work_Hours]]=0,"",(IF(Table57[[#This Row],[Out]]&lt;$C$3,$C$3-Table57[[#This Row],[Out]],"")))</f>
        <v/>
      </c>
      <c r="K88" s="32">
        <f>IFERROR(Table57[[#This Row],[In]]+$C$1,"")</f>
        <v>0.86457175925925922</v>
      </c>
      <c r="L88" s="29"/>
      <c r="M88" s="31">
        <f>IF($C$2&gt;Table57[[#This Row],[In]],$C$2-Table57[[#This Row],[In]],"")</f>
        <v>1.0428240740740669E-2</v>
      </c>
      <c r="N88" s="29">
        <f>IFERROR(IF(Table57[[#This Row],[Out]]&gt;$C$3,(Table57[[#This Row],[Out]])-($C$3),""),"")</f>
        <v>1.0335648148148247E-2</v>
      </c>
    </row>
    <row r="89" spans="1:14" hidden="1" x14ac:dyDescent="0.25">
      <c r="A89" s="23" t="str">
        <f>Table57[[#This Row],[No.]]&amp;Table57[[#This Row],[Date]]</f>
        <v>1645303</v>
      </c>
      <c r="B89" s="22">
        <f>'Unique Dates'!A86</f>
        <v>16</v>
      </c>
      <c r="C89" s="22" t="str" cm="1">
        <f t="array" ref="C89">_xlfn.XLOOKUP(Table57[[#This Row],[No.]],Table2[[#All],[CODE]],Table2[[#All],[NAME]],,0,1)</f>
        <v>NOUR</v>
      </c>
      <c r="D89" s="6">
        <f>'Unique Dates'!B86</f>
        <v>45303</v>
      </c>
      <c r="E89" t="str">
        <f>TEXT(Table57[[#This Row],[Date]],"dddd")</f>
        <v>Friday</v>
      </c>
      <c r="F89" s="25" cm="1">
        <f t="array" ref="F89">IFERROR(_xlfn.XLOOKUP(Table57[[#This Row],[Code]],Table1[[#All],[Code]],Table1[[#All],[Time]],,0,1),"")</f>
        <v>0.58385416666666667</v>
      </c>
      <c r="G89" s="25" cm="1">
        <f t="array" ref="G89">IFERROR(_xlfn.XLOOKUP(Table57[[#This Row],[Code]],Table1[[#All],[Code]],Table1[[#All],[Time]],,0,-1),"")</f>
        <v>0.91483796296296294</v>
      </c>
      <c r="H89" s="23">
        <f>IFERROR(IF(Table57[[#This Row],[Out]]&gt;=Table57[[#This Row],[In]],Table57[[#This Row],[Out]]-Table57[[#This Row],[In]],(0.5+Table57[[#This Row],[Out]])-Table57[[#This Row],[In]]),"")</f>
        <v>0.33098379629629626</v>
      </c>
      <c r="I89" s="31">
        <f>IFERROR(IF(Table57[[#This Row],[In]]&gt;$C$2,Table57[[#This Row],[In]]-$C$2,""),"")</f>
        <v>4.2187500000000044E-2</v>
      </c>
      <c r="J89" s="31">
        <f>IF(Table57[[#This Row],[Work_Hours]]=0,"",(IF(Table57[[#This Row],[Out]]&lt;$C$3,$C$3-Table57[[#This Row],[Out]],"")))</f>
        <v>1.8287037037036935E-3</v>
      </c>
      <c r="K89" s="32">
        <f>IFERROR(Table57[[#This Row],[In]]+$C$1,"")</f>
        <v>0.91718750000000004</v>
      </c>
      <c r="L89" s="29"/>
      <c r="M89" s="31" t="str">
        <f>IF($C$2&gt;Table57[[#This Row],[In]],$C$2-Table57[[#This Row],[In]],"")</f>
        <v/>
      </c>
      <c r="N89" s="29" t="str">
        <f>IFERROR(IF(Table57[[#This Row],[Out]]&gt;$C$3,(Table57[[#This Row],[Out]])-($C$3),""),"")</f>
        <v/>
      </c>
    </row>
    <row r="90" spans="1:14" hidden="1" x14ac:dyDescent="0.25">
      <c r="A90" s="23" t="str">
        <f>Table57[[#This Row],[No.]]&amp;Table57[[#This Row],[Date]]</f>
        <v>1645304</v>
      </c>
      <c r="B90" s="22">
        <f>'Unique Dates'!A87</f>
        <v>16</v>
      </c>
      <c r="C90" s="22" t="str" cm="1">
        <f t="array" ref="C90">_xlfn.XLOOKUP(Table57[[#This Row],[No.]],Table2[[#All],[CODE]],Table2[[#All],[NAME]],,0,1)</f>
        <v>NOUR</v>
      </c>
      <c r="D90" s="6">
        <f>'Unique Dates'!B87</f>
        <v>45304</v>
      </c>
      <c r="E90" t="str">
        <f>TEXT(Table57[[#This Row],[Date]],"dddd")</f>
        <v>Saturday</v>
      </c>
      <c r="F90" s="25" cm="1">
        <f t="array" ref="F90">IFERROR(_xlfn.XLOOKUP(Table57[[#This Row],[Code]],Table1[[#All],[Code]],Table1[[#All],[Time]],,0,1),"")</f>
        <v>0.57959490740740738</v>
      </c>
      <c r="G90" s="25" cm="1">
        <f t="array" ref="G90">IFERROR(_xlfn.XLOOKUP(Table57[[#This Row],[Code]],Table1[[#All],[Code]],Table1[[#All],[Time]],,0,-1),"")</f>
        <v>0.57959490740740738</v>
      </c>
      <c r="H90" s="23">
        <f>IFERROR(IF(Table57[[#This Row],[Out]]&gt;=Table57[[#This Row],[In]],Table57[[#This Row],[Out]]-Table57[[#This Row],[In]],(0.5+Table57[[#This Row],[Out]])-Table57[[#This Row],[In]]),"")</f>
        <v>0</v>
      </c>
      <c r="I90" s="31">
        <f>IFERROR(IF(Table57[[#This Row],[In]]&gt;$C$2,Table57[[#This Row],[In]]-$C$2,""),"")</f>
        <v>3.7928240740740748E-2</v>
      </c>
      <c r="J90" s="31" t="str">
        <f>IF(Table57[[#This Row],[Work_Hours]]=0,"",(IF(Table57[[#This Row],[Out]]&lt;$C$3,$C$3-Table57[[#This Row],[Out]],"")))</f>
        <v/>
      </c>
      <c r="K90" s="32">
        <f>IFERROR(Table57[[#This Row],[In]]+$C$1,"")</f>
        <v>0.91292824074074064</v>
      </c>
      <c r="L90" s="29"/>
      <c r="M90" s="31" t="str">
        <f>IF($C$2&gt;Table57[[#This Row],[In]],$C$2-Table57[[#This Row],[In]],"")</f>
        <v/>
      </c>
      <c r="N90" s="29" t="str">
        <f>IFERROR(IF(Table57[[#This Row],[Out]]&gt;$C$3,(Table57[[#This Row],[Out]])-($C$3),""),"")</f>
        <v/>
      </c>
    </row>
    <row r="91" spans="1:14" hidden="1" x14ac:dyDescent="0.25">
      <c r="A91" s="23" t="str">
        <f>Table57[[#This Row],[No.]]&amp;Table57[[#This Row],[Date]]</f>
        <v>1645305</v>
      </c>
      <c r="B91" s="22">
        <f>'Unique Dates'!A88</f>
        <v>16</v>
      </c>
      <c r="C91" s="22" t="str" cm="1">
        <f t="array" ref="C91">_xlfn.XLOOKUP(Table57[[#This Row],[No.]],Table2[[#All],[CODE]],Table2[[#All],[NAME]],,0,1)</f>
        <v>NOUR</v>
      </c>
      <c r="D91" s="6">
        <f>'Unique Dates'!B88</f>
        <v>45305</v>
      </c>
      <c r="E91" t="str">
        <f>TEXT(Table57[[#This Row],[Date]],"dddd")</f>
        <v>Sunday</v>
      </c>
      <c r="F91" s="25" cm="1">
        <f t="array" ref="F91">IFERROR(_xlfn.XLOOKUP(Table57[[#This Row],[Code]],Table1[[#All],[Code]],Table1[[#All],[Time]],,0,1),"")</f>
        <v>0.52254629629629623</v>
      </c>
      <c r="G91" s="25" cm="1">
        <f t="array" ref="G91">IFERROR(_xlfn.XLOOKUP(Table57[[#This Row],[Code]],Table1[[#All],[Code]],Table1[[#All],[Time]],,0,-1),"")</f>
        <v>0.52254629629629623</v>
      </c>
      <c r="H91" s="23">
        <f>IFERROR(IF(Table57[[#This Row],[Out]]&gt;=Table57[[#This Row],[In]],Table57[[#This Row],[Out]]-Table57[[#This Row],[In]],(0.5+Table57[[#This Row],[Out]])-Table57[[#This Row],[In]]),"")</f>
        <v>0</v>
      </c>
      <c r="I91" s="31" t="str">
        <f>IFERROR(IF(Table57[[#This Row],[In]]&gt;$C$2,Table57[[#This Row],[In]]-$C$2,""),"")</f>
        <v/>
      </c>
      <c r="J91" s="31" t="str">
        <f>IF(Table57[[#This Row],[Work_Hours]]=0,"",(IF(Table57[[#This Row],[Out]]&lt;$C$3,$C$3-Table57[[#This Row],[Out]],"")))</f>
        <v/>
      </c>
      <c r="K91" s="32">
        <f>IFERROR(Table57[[#This Row],[In]]+$C$1,"")</f>
        <v>0.8558796296296296</v>
      </c>
      <c r="L91" s="29"/>
      <c r="M91" s="31">
        <f>IF($C$2&gt;Table57[[#This Row],[In]],$C$2-Table57[[#This Row],[In]],"")</f>
        <v>1.9120370370370399E-2</v>
      </c>
      <c r="N91" s="29" t="str">
        <f>IFERROR(IF(Table57[[#This Row],[Out]]&gt;$C$3,(Table57[[#This Row],[Out]])-($C$3),""),"")</f>
        <v/>
      </c>
    </row>
    <row r="92" spans="1:14" hidden="1" x14ac:dyDescent="0.25">
      <c r="A92" s="23" t="str">
        <f>Table57[[#This Row],[No.]]&amp;Table57[[#This Row],[Date]]</f>
        <v>1645308</v>
      </c>
      <c r="B92" s="22">
        <f>'Unique Dates'!A89</f>
        <v>16</v>
      </c>
      <c r="C92" s="22" t="str" cm="1">
        <f t="array" ref="C92">_xlfn.XLOOKUP(Table57[[#This Row],[No.]],Table2[[#All],[CODE]],Table2[[#All],[NAME]],,0,1)</f>
        <v>NOUR</v>
      </c>
      <c r="D92" s="6">
        <f>'Unique Dates'!B89</f>
        <v>45308</v>
      </c>
      <c r="E92" t="str">
        <f>TEXT(Table57[[#This Row],[Date]],"dddd")</f>
        <v>Wednesday</v>
      </c>
      <c r="F92" s="25" cm="1">
        <f t="array" ref="F92">IFERROR(_xlfn.XLOOKUP(Table57[[#This Row],[Code]],Table1[[#All],[Code]],Table1[[#All],[Time]],,0,1),"")</f>
        <v>0.58518518518518514</v>
      </c>
      <c r="G92" s="25" cm="1">
        <f t="array" ref="G92">IFERROR(_xlfn.XLOOKUP(Table57[[#This Row],[Code]],Table1[[#All],[Code]],Table1[[#All],[Time]],,0,-1),"")</f>
        <v>0.914525462962963</v>
      </c>
      <c r="H92" s="23">
        <f>IFERROR(IF(Table57[[#This Row],[Out]]&gt;=Table57[[#This Row],[In]],Table57[[#This Row],[Out]]-Table57[[#This Row],[In]],(0.5+Table57[[#This Row],[Out]])-Table57[[#This Row],[In]]),"")</f>
        <v>0.32934027777777786</v>
      </c>
      <c r="I92" s="31">
        <f>IFERROR(IF(Table57[[#This Row],[In]]&gt;$C$2,Table57[[#This Row],[In]]-$C$2,""),"")</f>
        <v>4.3518518518518512E-2</v>
      </c>
      <c r="J92" s="31">
        <f>IF(Table57[[#This Row],[Work_Hours]]=0,"",(IF(Table57[[#This Row],[Out]]&lt;$C$3,$C$3-Table57[[#This Row],[Out]],"")))</f>
        <v>2.1412037037036313E-3</v>
      </c>
      <c r="K92" s="32">
        <f>IFERROR(Table57[[#This Row],[In]]+$C$1,"")</f>
        <v>0.91851851851851851</v>
      </c>
      <c r="L92" s="29"/>
      <c r="M92" s="31" t="str">
        <f>IF($C$2&gt;Table57[[#This Row],[In]],$C$2-Table57[[#This Row],[In]],"")</f>
        <v/>
      </c>
      <c r="N92" s="29" t="str">
        <f>IFERROR(IF(Table57[[#This Row],[Out]]&gt;$C$3,(Table57[[#This Row],[Out]])-($C$3),""),"")</f>
        <v/>
      </c>
    </row>
    <row r="93" spans="1:14" hidden="1" x14ac:dyDescent="0.25">
      <c r="A93" s="23" t="str">
        <f>Table57[[#This Row],[No.]]&amp;Table57[[#This Row],[Date]]</f>
        <v>1645309</v>
      </c>
      <c r="B93" s="22">
        <f>'Unique Dates'!A90</f>
        <v>16</v>
      </c>
      <c r="C93" s="22" t="str" cm="1">
        <f t="array" ref="C93">_xlfn.XLOOKUP(Table57[[#This Row],[No.]],Table2[[#All],[CODE]],Table2[[#All],[NAME]],,0,1)</f>
        <v>NOUR</v>
      </c>
      <c r="D93" s="6">
        <f>'Unique Dates'!B90</f>
        <v>45309</v>
      </c>
      <c r="E93" t="str">
        <f>TEXT(Table57[[#This Row],[Date]],"dddd")</f>
        <v>Thursday</v>
      </c>
      <c r="F93" s="25" cm="1">
        <f t="array" ref="F93">IFERROR(_xlfn.XLOOKUP(Table57[[#This Row],[Code]],Table1[[#All],[Code]],Table1[[#All],[Time]],,0,1),"")</f>
        <v>0.5784259259259259</v>
      </c>
      <c r="G93" s="25" cm="1">
        <f t="array" ref="G93">IFERROR(_xlfn.XLOOKUP(Table57[[#This Row],[Code]],Table1[[#All],[Code]],Table1[[#All],[Time]],,0,-1),"")</f>
        <v>0.91019675925925936</v>
      </c>
      <c r="H93" s="23">
        <f>IFERROR(IF(Table57[[#This Row],[Out]]&gt;=Table57[[#This Row],[In]],Table57[[#This Row],[Out]]-Table57[[#This Row],[In]],(0.5+Table57[[#This Row],[Out]])-Table57[[#This Row],[In]]),"")</f>
        <v>0.33177083333333346</v>
      </c>
      <c r="I93" s="31">
        <f>IFERROR(IF(Table57[[#This Row],[In]]&gt;$C$2,Table57[[#This Row],[In]]-$C$2,""),"")</f>
        <v>3.6759259259259269E-2</v>
      </c>
      <c r="J93" s="31">
        <f>IF(Table57[[#This Row],[Work_Hours]]=0,"",(IF(Table57[[#This Row],[Out]]&lt;$C$3,$C$3-Table57[[#This Row],[Out]],"")))</f>
        <v>6.4699074074072715E-3</v>
      </c>
      <c r="K93" s="32">
        <f>IFERROR(Table57[[#This Row],[In]]+$C$1,"")</f>
        <v>0.91175925925925916</v>
      </c>
      <c r="L93" s="29"/>
      <c r="M93" s="31" t="str">
        <f>IF($C$2&gt;Table57[[#This Row],[In]],$C$2-Table57[[#This Row],[In]],"")</f>
        <v/>
      </c>
      <c r="N93" s="29" t="str">
        <f>IFERROR(IF(Table57[[#This Row],[Out]]&gt;$C$3,(Table57[[#This Row],[Out]])-($C$3),""),"")</f>
        <v/>
      </c>
    </row>
    <row r="94" spans="1:14" hidden="1" x14ac:dyDescent="0.25">
      <c r="A94" s="23" t="str">
        <f>Table57[[#This Row],[No.]]&amp;Table57[[#This Row],[Date]]</f>
        <v>1645310</v>
      </c>
      <c r="B94" s="22">
        <f>'Unique Dates'!A91</f>
        <v>16</v>
      </c>
      <c r="C94" s="22" t="str" cm="1">
        <f t="array" ref="C94">_xlfn.XLOOKUP(Table57[[#This Row],[No.]],Table2[[#All],[CODE]],Table2[[#All],[NAME]],,0,1)</f>
        <v>NOUR</v>
      </c>
      <c r="D94" s="6">
        <f>'Unique Dates'!B91</f>
        <v>45310</v>
      </c>
      <c r="E94" t="str">
        <f>TEXT(Table57[[#This Row],[Date]],"dddd")</f>
        <v>Friday</v>
      </c>
      <c r="F94" s="25" cm="1">
        <f t="array" ref="F94">IFERROR(_xlfn.XLOOKUP(Table57[[#This Row],[Code]],Table1[[#All],[Code]],Table1[[#All],[Time]],,0,1),"")</f>
        <v>0.59339120370370368</v>
      </c>
      <c r="G94" s="25" cm="1">
        <f t="array" ref="G94">IFERROR(_xlfn.XLOOKUP(Table57[[#This Row],[Code]],Table1[[#All],[Code]],Table1[[#All],[Time]],,0,-1),"")</f>
        <v>0.95079861111111119</v>
      </c>
      <c r="H94" s="23">
        <f>IFERROR(IF(Table57[[#This Row],[Out]]&gt;=Table57[[#This Row],[In]],Table57[[#This Row],[Out]]-Table57[[#This Row],[In]],(0.5+Table57[[#This Row],[Out]])-Table57[[#This Row],[In]]),"")</f>
        <v>0.35740740740740751</v>
      </c>
      <c r="I94" s="31">
        <f>IFERROR(IF(Table57[[#This Row],[In]]&gt;$C$2,Table57[[#This Row],[In]]-$C$2,""),"")</f>
        <v>5.1724537037037055E-2</v>
      </c>
      <c r="J94" s="31" t="str">
        <f>IF(Table57[[#This Row],[Work_Hours]]=0,"",(IF(Table57[[#This Row],[Out]]&lt;$C$3,$C$3-Table57[[#This Row],[Out]],"")))</f>
        <v/>
      </c>
      <c r="K94" s="32">
        <f>IFERROR(Table57[[#This Row],[In]]+$C$1,"")</f>
        <v>0.92672453703703694</v>
      </c>
      <c r="L94" s="29"/>
      <c r="M94" s="31" t="str">
        <f>IF($C$2&gt;Table57[[#This Row],[In]],$C$2-Table57[[#This Row],[In]],"")</f>
        <v/>
      </c>
      <c r="N94" s="29">
        <f>IFERROR(IF(Table57[[#This Row],[Out]]&gt;$C$3,(Table57[[#This Row],[Out]])-($C$3),""),"")</f>
        <v>3.4131944444444562E-2</v>
      </c>
    </row>
    <row r="95" spans="1:14" hidden="1" x14ac:dyDescent="0.25">
      <c r="A95" s="23" t="str">
        <f>Table57[[#This Row],[No.]]&amp;Table57[[#This Row],[Date]]</f>
        <v>1645311</v>
      </c>
      <c r="B95" s="22">
        <f>'Unique Dates'!A92</f>
        <v>16</v>
      </c>
      <c r="C95" s="22" t="str" cm="1">
        <f t="array" ref="C95">_xlfn.XLOOKUP(Table57[[#This Row],[No.]],Table2[[#All],[CODE]],Table2[[#All],[NAME]],,0,1)</f>
        <v>NOUR</v>
      </c>
      <c r="D95" s="6">
        <f>'Unique Dates'!B92</f>
        <v>45311</v>
      </c>
      <c r="E95" t="str">
        <f>TEXT(Table57[[#This Row],[Date]],"dddd")</f>
        <v>Saturday</v>
      </c>
      <c r="F95" s="25" cm="1">
        <f t="array" ref="F95">IFERROR(_xlfn.XLOOKUP(Table57[[#This Row],[Code]],Table1[[#All],[Code]],Table1[[#All],[Time]],,0,1),"")</f>
        <v>0.56616898148148154</v>
      </c>
      <c r="G95" s="25" cm="1">
        <f t="array" ref="G95">IFERROR(_xlfn.XLOOKUP(Table57[[#This Row],[Code]],Table1[[#All],[Code]],Table1[[#All],[Time]],,0,-1),"")</f>
        <v>0.56616898148148154</v>
      </c>
      <c r="H95" s="23">
        <f>IFERROR(IF(Table57[[#This Row],[Out]]&gt;=Table57[[#This Row],[In]],Table57[[#This Row],[Out]]-Table57[[#This Row],[In]],(0.5+Table57[[#This Row],[Out]])-Table57[[#This Row],[In]]),"")</f>
        <v>0</v>
      </c>
      <c r="I95" s="31">
        <f>IFERROR(IF(Table57[[#This Row],[In]]&gt;$C$2,Table57[[#This Row],[In]]-$C$2,""),"")</f>
        <v>2.4502314814814907E-2</v>
      </c>
      <c r="J95" s="31" t="str">
        <f>IF(Table57[[#This Row],[Work_Hours]]=0,"",(IF(Table57[[#This Row],[Out]]&lt;$C$3,$C$3-Table57[[#This Row],[Out]],"")))</f>
        <v/>
      </c>
      <c r="K95" s="32">
        <f>IFERROR(Table57[[#This Row],[In]]+$C$1,"")</f>
        <v>0.89950231481481491</v>
      </c>
      <c r="L95" s="29"/>
      <c r="M95" s="31" t="str">
        <f>IF($C$2&gt;Table57[[#This Row],[In]],$C$2-Table57[[#This Row],[In]],"")</f>
        <v/>
      </c>
      <c r="N95" s="29" t="str">
        <f>IFERROR(IF(Table57[[#This Row],[Out]]&gt;$C$3,(Table57[[#This Row],[Out]])-($C$3),""),"")</f>
        <v/>
      </c>
    </row>
    <row r="96" spans="1:14" hidden="1" x14ac:dyDescent="0.25">
      <c r="A96" s="23" t="str">
        <f>Table57[[#This Row],[No.]]&amp;Table57[[#This Row],[Date]]</f>
        <v>1645312</v>
      </c>
      <c r="B96" s="22">
        <f>'Unique Dates'!A93</f>
        <v>16</v>
      </c>
      <c r="C96" s="22" t="str" cm="1">
        <f t="array" ref="C96">_xlfn.XLOOKUP(Table57[[#This Row],[No.]],Table2[[#All],[CODE]],Table2[[#All],[NAME]],,0,1)</f>
        <v>NOUR</v>
      </c>
      <c r="D96" s="6">
        <f>'Unique Dates'!B93</f>
        <v>45312</v>
      </c>
      <c r="E96" t="str">
        <f>TEXT(Table57[[#This Row],[Date]],"dddd")</f>
        <v>Sunday</v>
      </c>
      <c r="F96" s="25" cm="1">
        <f t="array" ref="F96">IFERROR(_xlfn.XLOOKUP(Table57[[#This Row],[Code]],Table1[[#All],[Code]],Table1[[#All],[Time]],,0,1),"")</f>
        <v>0.50998842592592586</v>
      </c>
      <c r="G96" s="25" cm="1">
        <f t="array" ref="G96">IFERROR(_xlfn.XLOOKUP(Table57[[#This Row],[Code]],Table1[[#All],[Code]],Table1[[#All],[Time]],,0,-1),"")</f>
        <v>0.50998842592592586</v>
      </c>
      <c r="H96" s="23">
        <f>IFERROR(IF(Table57[[#This Row],[Out]]&gt;=Table57[[#This Row],[In]],Table57[[#This Row],[Out]]-Table57[[#This Row],[In]],(0.5+Table57[[#This Row],[Out]])-Table57[[#This Row],[In]]),"")</f>
        <v>0</v>
      </c>
      <c r="I96" s="31" t="str">
        <f>IFERROR(IF(Table57[[#This Row],[In]]&gt;$C$2,Table57[[#This Row],[In]]-$C$2,""),"")</f>
        <v/>
      </c>
      <c r="J96" s="31" t="str">
        <f>IF(Table57[[#This Row],[Work_Hours]]=0,"",(IF(Table57[[#This Row],[Out]]&lt;$C$3,$C$3-Table57[[#This Row],[Out]],"")))</f>
        <v/>
      </c>
      <c r="K96" s="32">
        <f>IFERROR(Table57[[#This Row],[In]]+$C$1,"")</f>
        <v>0.84332175925925923</v>
      </c>
      <c r="L96" s="29"/>
      <c r="M96" s="31">
        <f>IF($C$2&gt;Table57[[#This Row],[In]],$C$2-Table57[[#This Row],[In]],"")</f>
        <v>3.1678240740740771E-2</v>
      </c>
      <c r="N96" s="29" t="str">
        <f>IFERROR(IF(Table57[[#This Row],[Out]]&gt;$C$3,(Table57[[#This Row],[Out]])-($C$3),""),"")</f>
        <v/>
      </c>
    </row>
    <row r="97" spans="1:14" hidden="1" x14ac:dyDescent="0.25">
      <c r="A97" s="23" t="str">
        <f>Table57[[#This Row],[No.]]&amp;Table57[[#This Row],[Date]]</f>
        <v>1645313</v>
      </c>
      <c r="B97" s="22">
        <f>'Unique Dates'!A94</f>
        <v>16</v>
      </c>
      <c r="C97" s="22" t="str" cm="1">
        <f t="array" ref="C97">_xlfn.XLOOKUP(Table57[[#This Row],[No.]],Table2[[#All],[CODE]],Table2[[#All],[NAME]],,0,1)</f>
        <v>NOUR</v>
      </c>
      <c r="D97" s="6">
        <f>'Unique Dates'!B94</f>
        <v>45313</v>
      </c>
      <c r="E97" t="str">
        <f>TEXT(Table57[[#This Row],[Date]],"dddd")</f>
        <v>Monday</v>
      </c>
      <c r="F97" s="25" cm="1">
        <f t="array" ref="F97">IFERROR(_xlfn.XLOOKUP(Table57[[#This Row],[Code]],Table1[[#All],[Code]],Table1[[#All],[Time]],,0,1),"")</f>
        <v>0.57554398148148145</v>
      </c>
      <c r="G97" s="25" cm="1">
        <f t="array" ref="G97">IFERROR(_xlfn.XLOOKUP(Table57[[#This Row],[Code]],Table1[[#All],[Code]],Table1[[#All],[Time]],,0,-1),"")</f>
        <v>0.90913194444444445</v>
      </c>
      <c r="H97" s="23">
        <f>IFERROR(IF(Table57[[#This Row],[Out]]&gt;=Table57[[#This Row],[In]],Table57[[#This Row],[Out]]-Table57[[#This Row],[In]],(0.5+Table57[[#This Row],[Out]])-Table57[[#This Row],[In]]),"")</f>
        <v>0.333587962962963</v>
      </c>
      <c r="I97" s="31">
        <f>IFERROR(IF(Table57[[#This Row],[In]]&gt;$C$2,Table57[[#This Row],[In]]-$C$2,""),"")</f>
        <v>3.3877314814814818E-2</v>
      </c>
      <c r="J97" s="31">
        <f>IF(Table57[[#This Row],[Work_Hours]]=0,"",(IF(Table57[[#This Row],[Out]]&lt;$C$3,$C$3-Table57[[#This Row],[Out]],"")))</f>
        <v>7.5347222222221788E-3</v>
      </c>
      <c r="K97" s="32">
        <f>IFERROR(Table57[[#This Row],[In]]+$C$1,"")</f>
        <v>0.90887731481481482</v>
      </c>
      <c r="L97" s="29"/>
      <c r="M97" s="31" t="str">
        <f>IF($C$2&gt;Table57[[#This Row],[In]],$C$2-Table57[[#This Row],[In]],"")</f>
        <v/>
      </c>
      <c r="N97" s="29" t="str">
        <f>IFERROR(IF(Table57[[#This Row],[Out]]&gt;$C$3,(Table57[[#This Row],[Out]])-($C$3),""),"")</f>
        <v/>
      </c>
    </row>
    <row r="98" spans="1:14" hidden="1" x14ac:dyDescent="0.25">
      <c r="A98" s="23" t="str">
        <f>Table57[[#This Row],[No.]]&amp;Table57[[#This Row],[Date]]</f>
        <v>1645314</v>
      </c>
      <c r="B98" s="22">
        <f>'Unique Dates'!A95</f>
        <v>16</v>
      </c>
      <c r="C98" s="22" t="str" cm="1">
        <f t="array" ref="C98">_xlfn.XLOOKUP(Table57[[#This Row],[No.]],Table2[[#All],[CODE]],Table2[[#All],[NAME]],,0,1)</f>
        <v>NOUR</v>
      </c>
      <c r="D98" s="6">
        <f>'Unique Dates'!B95</f>
        <v>45314</v>
      </c>
      <c r="E98" t="str">
        <f>TEXT(Table57[[#This Row],[Date]],"dddd")</f>
        <v>Tuesday</v>
      </c>
      <c r="F98" s="25" cm="1">
        <f t="array" ref="F98">IFERROR(_xlfn.XLOOKUP(Table57[[#This Row],[Code]],Table1[[#All],[Code]],Table1[[#All],[Time]],,0,1),"")</f>
        <v>0.56989583333333338</v>
      </c>
      <c r="G98" s="25" cm="1">
        <f t="array" ref="G98">IFERROR(_xlfn.XLOOKUP(Table57[[#This Row],[Code]],Table1[[#All],[Code]],Table1[[#All],[Time]],,0,-1),"")</f>
        <v>0.91218749999999993</v>
      </c>
      <c r="H98" s="23">
        <f>IFERROR(IF(Table57[[#This Row],[Out]]&gt;=Table57[[#This Row],[In]],Table57[[#This Row],[Out]]-Table57[[#This Row],[In]],(0.5+Table57[[#This Row],[Out]])-Table57[[#This Row],[In]]),"")</f>
        <v>0.34229166666666655</v>
      </c>
      <c r="I98" s="31">
        <f>IFERROR(IF(Table57[[#This Row],[In]]&gt;$C$2,Table57[[#This Row],[In]]-$C$2,""),"")</f>
        <v>2.822916666666675E-2</v>
      </c>
      <c r="J98" s="31">
        <f>IF(Table57[[#This Row],[Work_Hours]]=0,"",(IF(Table57[[#This Row],[Out]]&lt;$C$3,$C$3-Table57[[#This Row],[Out]],"")))</f>
        <v>4.4791666666667007E-3</v>
      </c>
      <c r="K98" s="32">
        <f>IFERROR(Table57[[#This Row],[In]]+$C$1,"")</f>
        <v>0.90322916666666675</v>
      </c>
      <c r="L98" s="29"/>
      <c r="M98" s="31" t="str">
        <f>IF($C$2&gt;Table57[[#This Row],[In]],$C$2-Table57[[#This Row],[In]],"")</f>
        <v/>
      </c>
      <c r="N98" s="29" t="str">
        <f>IFERROR(IF(Table57[[#This Row],[Out]]&gt;$C$3,(Table57[[#This Row],[Out]])-($C$3),""),"")</f>
        <v/>
      </c>
    </row>
    <row r="99" spans="1:14" hidden="1" x14ac:dyDescent="0.25">
      <c r="A99" s="23" t="str">
        <f>Table57[[#This Row],[No.]]&amp;Table57[[#This Row],[Date]]</f>
        <v>1645315</v>
      </c>
      <c r="B99" s="22">
        <f>'Unique Dates'!A96</f>
        <v>16</v>
      </c>
      <c r="C99" s="22" t="str" cm="1">
        <f t="array" ref="C99">_xlfn.XLOOKUP(Table57[[#This Row],[No.]],Table2[[#All],[CODE]],Table2[[#All],[NAME]],,0,1)</f>
        <v>NOUR</v>
      </c>
      <c r="D99" s="6">
        <f>'Unique Dates'!B96</f>
        <v>45315</v>
      </c>
      <c r="E99" t="str">
        <f>TEXT(Table57[[#This Row],[Date]],"dddd")</f>
        <v>Wednesday</v>
      </c>
      <c r="F99" s="25" cm="1">
        <f t="array" ref="F99">IFERROR(_xlfn.XLOOKUP(Table57[[#This Row],[Code]],Table1[[#All],[Code]],Table1[[#All],[Time]],,0,1),"")</f>
        <v>0.57724537037037038</v>
      </c>
      <c r="G99" s="25" cm="1">
        <f t="array" ref="G99">IFERROR(_xlfn.XLOOKUP(Table57[[#This Row],[Code]],Table1[[#All],[Code]],Table1[[#All],[Time]],,0,-1),"")</f>
        <v>0.9474189814814814</v>
      </c>
      <c r="H99" s="23">
        <f>IFERROR(IF(Table57[[#This Row],[Out]]&gt;=Table57[[#This Row],[In]],Table57[[#This Row],[Out]]-Table57[[#This Row],[In]],(0.5+Table57[[#This Row],[Out]])-Table57[[#This Row],[In]]),"")</f>
        <v>0.37017361111111102</v>
      </c>
      <c r="I99" s="31">
        <f>IFERROR(IF(Table57[[#This Row],[In]]&gt;$C$2,Table57[[#This Row],[In]]-$C$2,""),"")</f>
        <v>3.5578703703703751E-2</v>
      </c>
      <c r="J99" s="31" t="str">
        <f>IF(Table57[[#This Row],[Work_Hours]]=0,"",(IF(Table57[[#This Row],[Out]]&lt;$C$3,$C$3-Table57[[#This Row],[Out]],"")))</f>
        <v/>
      </c>
      <c r="K99" s="32">
        <f>IFERROR(Table57[[#This Row],[In]]+$C$1,"")</f>
        <v>0.91057870370370364</v>
      </c>
      <c r="L99" s="29"/>
      <c r="M99" s="31" t="str">
        <f>IF($C$2&gt;Table57[[#This Row],[In]],$C$2-Table57[[#This Row],[In]],"")</f>
        <v/>
      </c>
      <c r="N99" s="29">
        <f>IFERROR(IF(Table57[[#This Row],[Out]]&gt;$C$3,(Table57[[#This Row],[Out]])-($C$3),""),"")</f>
        <v>3.0752314814814774E-2</v>
      </c>
    </row>
    <row r="100" spans="1:14" hidden="1" x14ac:dyDescent="0.25">
      <c r="A100" s="23" t="str">
        <f>Table57[[#This Row],[No.]]&amp;Table57[[#This Row],[Date]]</f>
        <v>1645317</v>
      </c>
      <c r="B100" s="22">
        <f>'Unique Dates'!A97</f>
        <v>16</v>
      </c>
      <c r="C100" s="22" t="str" cm="1">
        <f t="array" ref="C100">_xlfn.XLOOKUP(Table57[[#This Row],[No.]],Table2[[#All],[CODE]],Table2[[#All],[NAME]],,0,1)</f>
        <v>NOUR</v>
      </c>
      <c r="D100" s="6">
        <f>'Unique Dates'!B97</f>
        <v>45317</v>
      </c>
      <c r="E100" t="str">
        <f>TEXT(Table57[[#This Row],[Date]],"dddd")</f>
        <v>Friday</v>
      </c>
      <c r="F100" s="25" cm="1">
        <f t="array" ref="F100">IFERROR(_xlfn.XLOOKUP(Table57[[#This Row],[Code]],Table1[[#All],[Code]],Table1[[#All],[Time]],,0,1),"")</f>
        <v>0.57903935185185185</v>
      </c>
      <c r="G100" s="25" cm="1">
        <f t="array" ref="G100">IFERROR(_xlfn.XLOOKUP(Table57[[#This Row],[Code]],Table1[[#All],[Code]],Table1[[#All],[Time]],,0,-1),"")</f>
        <v>0.91547453703703707</v>
      </c>
      <c r="H100" s="23">
        <f>IFERROR(IF(Table57[[#This Row],[Out]]&gt;=Table57[[#This Row],[In]],Table57[[#This Row],[Out]]-Table57[[#This Row],[In]],(0.5+Table57[[#This Row],[Out]])-Table57[[#This Row],[In]]),"")</f>
        <v>0.33643518518518523</v>
      </c>
      <c r="I100" s="31">
        <f>IFERROR(IF(Table57[[#This Row],[In]]&gt;$C$2,Table57[[#This Row],[In]]-$C$2,""),"")</f>
        <v>3.7372685185185217E-2</v>
      </c>
      <c r="J100" s="31">
        <f>IF(Table57[[#This Row],[Work_Hours]]=0,"",(IF(Table57[[#This Row],[Out]]&lt;$C$3,$C$3-Table57[[#This Row],[Out]],"")))</f>
        <v>1.1921296296295569E-3</v>
      </c>
      <c r="K100" s="32">
        <f>IFERROR(Table57[[#This Row],[In]]+$C$1,"")</f>
        <v>0.91237268518518522</v>
      </c>
      <c r="L100" s="29"/>
      <c r="M100" s="31" t="str">
        <f>IF($C$2&gt;Table57[[#This Row],[In]],$C$2-Table57[[#This Row],[In]],"")</f>
        <v/>
      </c>
      <c r="N100" s="29" t="str">
        <f>IFERROR(IF(Table57[[#This Row],[Out]]&gt;$C$3,(Table57[[#This Row],[Out]])-($C$3),""),"")</f>
        <v/>
      </c>
    </row>
    <row r="101" spans="1:14" hidden="1" x14ac:dyDescent="0.25">
      <c r="A101" s="23" t="str">
        <f>Table57[[#This Row],[No.]]&amp;Table57[[#This Row],[Date]]</f>
        <v>1645318</v>
      </c>
      <c r="B101" s="22">
        <f>'Unique Dates'!A98</f>
        <v>16</v>
      </c>
      <c r="C101" s="22" t="str" cm="1">
        <f t="array" ref="C101">_xlfn.XLOOKUP(Table57[[#This Row],[No.]],Table2[[#All],[CODE]],Table2[[#All],[NAME]],,0,1)</f>
        <v>NOUR</v>
      </c>
      <c r="D101" s="6">
        <f>'Unique Dates'!B98</f>
        <v>45318</v>
      </c>
      <c r="E101" t="str">
        <f>TEXT(Table57[[#This Row],[Date]],"dddd")</f>
        <v>Saturday</v>
      </c>
      <c r="F101" s="25" cm="1">
        <f t="array" ref="F101">IFERROR(_xlfn.XLOOKUP(Table57[[#This Row],[Code]],Table1[[#All],[Code]],Table1[[#All],[Time]],,0,1),"")</f>
        <v>0.56497685185185187</v>
      </c>
      <c r="G101" s="25" cm="1">
        <f t="array" ref="G101">IFERROR(_xlfn.XLOOKUP(Table57[[#This Row],[Code]],Table1[[#All],[Code]],Table1[[#All],[Time]],,0,-1),"")</f>
        <v>0.56497685185185187</v>
      </c>
      <c r="H101" s="23">
        <f>IFERROR(IF(Table57[[#This Row],[Out]]&gt;=Table57[[#This Row],[In]],Table57[[#This Row],[Out]]-Table57[[#This Row],[In]],(0.5+Table57[[#This Row],[Out]])-Table57[[#This Row],[In]]),"")</f>
        <v>0</v>
      </c>
      <c r="I101" s="31">
        <f>IFERROR(IF(Table57[[#This Row],[In]]&gt;$C$2,Table57[[#This Row],[In]]-$C$2,""),"")</f>
        <v>2.3310185185185239E-2</v>
      </c>
      <c r="J101" s="31" t="str">
        <f>IF(Table57[[#This Row],[Work_Hours]]=0,"",(IF(Table57[[#This Row],[Out]]&lt;$C$3,$C$3-Table57[[#This Row],[Out]],"")))</f>
        <v/>
      </c>
      <c r="K101" s="32">
        <f>IFERROR(Table57[[#This Row],[In]]+$C$1,"")</f>
        <v>0.89831018518518513</v>
      </c>
      <c r="L101" s="29"/>
      <c r="M101" s="31" t="str">
        <f>IF($C$2&gt;Table57[[#This Row],[In]],$C$2-Table57[[#This Row],[In]],"")</f>
        <v/>
      </c>
      <c r="N101" s="29" t="str">
        <f>IFERROR(IF(Table57[[#This Row],[Out]]&gt;$C$3,(Table57[[#This Row],[Out]])-($C$3),""),"")</f>
        <v/>
      </c>
    </row>
    <row r="102" spans="1:14" hidden="1" x14ac:dyDescent="0.25">
      <c r="A102" s="23" t="str">
        <f>Table57[[#This Row],[No.]]&amp;Table57[[#This Row],[Date]]</f>
        <v>1645319</v>
      </c>
      <c r="B102" s="22">
        <f>'Unique Dates'!A99</f>
        <v>16</v>
      </c>
      <c r="C102" s="22" t="str" cm="1">
        <f t="array" ref="C102">_xlfn.XLOOKUP(Table57[[#This Row],[No.]],Table2[[#All],[CODE]],Table2[[#All],[NAME]],,0,1)</f>
        <v>NOUR</v>
      </c>
      <c r="D102" s="6">
        <f>'Unique Dates'!B99</f>
        <v>45319</v>
      </c>
      <c r="E102" t="str">
        <f>TEXT(Table57[[#This Row],[Date]],"dddd")</f>
        <v>Sunday</v>
      </c>
      <c r="F102" s="25" cm="1">
        <f t="array" ref="F102">IFERROR(_xlfn.XLOOKUP(Table57[[#This Row],[Code]],Table1[[#All],[Code]],Table1[[#All],[Time]],,0,1),"")</f>
        <v>0.50440972222222225</v>
      </c>
      <c r="G102" s="25" cm="1">
        <f t="array" ref="G102">IFERROR(_xlfn.XLOOKUP(Table57[[#This Row],[Code]],Table1[[#All],[Code]],Table1[[#All],[Time]],,0,-1),"")</f>
        <v>0.50440972222222225</v>
      </c>
      <c r="H102" s="23">
        <f>IFERROR(IF(Table57[[#This Row],[Out]]&gt;=Table57[[#This Row],[In]],Table57[[#This Row],[Out]]-Table57[[#This Row],[In]],(0.5+Table57[[#This Row],[Out]])-Table57[[#This Row],[In]]),"")</f>
        <v>0</v>
      </c>
      <c r="I102" s="31" t="str">
        <f>IFERROR(IF(Table57[[#This Row],[In]]&gt;$C$2,Table57[[#This Row],[In]]-$C$2,""),"")</f>
        <v/>
      </c>
      <c r="J102" s="31" t="str">
        <f>IF(Table57[[#This Row],[Work_Hours]]=0,"",(IF(Table57[[#This Row],[Out]]&lt;$C$3,$C$3-Table57[[#This Row],[Out]],"")))</f>
        <v/>
      </c>
      <c r="K102" s="32">
        <f>IFERROR(Table57[[#This Row],[In]]+$C$1,"")</f>
        <v>0.83774305555555562</v>
      </c>
      <c r="L102" s="29"/>
      <c r="M102" s="31">
        <f>IF($C$2&gt;Table57[[#This Row],[In]],$C$2-Table57[[#This Row],[In]],"")</f>
        <v>3.7256944444444384E-2</v>
      </c>
      <c r="N102" s="29" t="str">
        <f>IFERROR(IF(Table57[[#This Row],[Out]]&gt;$C$3,(Table57[[#This Row],[Out]])-($C$3),""),"")</f>
        <v/>
      </c>
    </row>
    <row r="103" spans="1:14" hidden="1" x14ac:dyDescent="0.25">
      <c r="A103" s="23" t="str">
        <f>Table57[[#This Row],[No.]]&amp;Table57[[#This Row],[Date]]</f>
        <v>1745292</v>
      </c>
      <c r="B103" s="22">
        <f>'Unique Dates'!A100</f>
        <v>17</v>
      </c>
      <c r="C103" s="22" t="str" cm="1">
        <f t="array" ref="C103">_xlfn.XLOOKUP(Table57[[#This Row],[No.]],Table2[[#All],[CODE]],Table2[[#All],[NAME]],,0,1)</f>
        <v>TORKYA</v>
      </c>
      <c r="D103" s="6">
        <f>'Unique Dates'!B100</f>
        <v>45292</v>
      </c>
      <c r="E103" t="str">
        <f>TEXT(Table57[[#This Row],[Date]],"dddd")</f>
        <v>Monday</v>
      </c>
      <c r="F103" s="25" cm="1">
        <f t="array" ref="F103">IFERROR(_xlfn.XLOOKUP(Table57[[#This Row],[Code]],Table1[[#All],[Code]],Table1[[#All],[Time]],,0,1),"")</f>
        <v>0.56543981481481487</v>
      </c>
      <c r="G103" s="25" cm="1">
        <f t="array" ref="G103">IFERROR(_xlfn.XLOOKUP(Table57[[#This Row],[Code]],Table1[[#All],[Code]],Table1[[#All],[Time]],,0,-1),"")</f>
        <v>0.76067129629629626</v>
      </c>
      <c r="H103" s="23">
        <f>IFERROR(IF(Table57[[#This Row],[Out]]&gt;=Table57[[#This Row],[In]],Table57[[#This Row],[Out]]-Table57[[#This Row],[In]],(0.5+Table57[[#This Row],[Out]])-Table57[[#This Row],[In]]),"")</f>
        <v>0.19523148148148139</v>
      </c>
      <c r="I103" s="31">
        <f>IFERROR(IF(Table57[[#This Row],[In]]&gt;$C$2,Table57[[#This Row],[In]]-$C$2,""),"")</f>
        <v>2.3773148148148238E-2</v>
      </c>
      <c r="J103" s="31">
        <f>IF(Table57[[#This Row],[Work_Hours]]=0,"",(IF(Table57[[#This Row],[Out]]&lt;$C$3,$C$3-Table57[[#This Row],[Out]],"")))</f>
        <v>0.15599537037037037</v>
      </c>
      <c r="K103" s="32">
        <f>IFERROR(Table57[[#This Row],[In]]+$C$1,"")</f>
        <v>0.89877314814814824</v>
      </c>
      <c r="L103" s="29"/>
      <c r="M103" s="31" t="str">
        <f>IF($C$2&gt;Table57[[#This Row],[In]],$C$2-Table57[[#This Row],[In]],"")</f>
        <v/>
      </c>
      <c r="N103" s="29" t="str">
        <f>IFERROR(IF(Table57[[#This Row],[Out]]&gt;$C$3,(Table57[[#This Row],[Out]])-($C$3),""),"")</f>
        <v/>
      </c>
    </row>
    <row r="104" spans="1:14" hidden="1" x14ac:dyDescent="0.25">
      <c r="A104" s="23" t="str">
        <f>Table57[[#This Row],[No.]]&amp;Table57[[#This Row],[Date]]</f>
        <v>1745293</v>
      </c>
      <c r="B104" s="22">
        <f>'Unique Dates'!A101</f>
        <v>17</v>
      </c>
      <c r="C104" s="22" t="str" cm="1">
        <f t="array" ref="C104">_xlfn.XLOOKUP(Table57[[#This Row],[No.]],Table2[[#All],[CODE]],Table2[[#All],[NAME]],,0,1)</f>
        <v>TORKYA</v>
      </c>
      <c r="D104" s="6">
        <f>'Unique Dates'!B101</f>
        <v>45293</v>
      </c>
      <c r="E104" t="str">
        <f>TEXT(Table57[[#This Row],[Date]],"dddd")</f>
        <v>Tuesday</v>
      </c>
      <c r="F104" s="25" cm="1">
        <f t="array" ref="F104">IFERROR(_xlfn.XLOOKUP(Table57[[#This Row],[Code]],Table1[[#All],[Code]],Table1[[#All],[Time]],,0,1),"")</f>
        <v>0.56309027777777776</v>
      </c>
      <c r="G104" s="25" cm="1">
        <f t="array" ref="G104">IFERROR(_xlfn.XLOOKUP(Table57[[#This Row],[Code]],Table1[[#All],[Code]],Table1[[#All],[Time]],,0,-1),"")</f>
        <v>0.7774537037037037</v>
      </c>
      <c r="H104" s="23">
        <f>IFERROR(IF(Table57[[#This Row],[Out]]&gt;=Table57[[#This Row],[In]],Table57[[#This Row],[Out]]-Table57[[#This Row],[In]],(0.5+Table57[[#This Row],[Out]])-Table57[[#This Row],[In]]),"")</f>
        <v>0.21436342592592594</v>
      </c>
      <c r="I104" s="31">
        <f>IFERROR(IF(Table57[[#This Row],[In]]&gt;$C$2,Table57[[#This Row],[In]]-$C$2,""),"")</f>
        <v>2.1423611111111129E-2</v>
      </c>
      <c r="J104" s="31">
        <f>IF(Table57[[#This Row],[Work_Hours]]=0,"",(IF(Table57[[#This Row],[Out]]&lt;$C$3,$C$3-Table57[[#This Row],[Out]],"")))</f>
        <v>0.13921296296296293</v>
      </c>
      <c r="K104" s="32">
        <f>IFERROR(Table57[[#This Row],[In]]+$C$1,"")</f>
        <v>0.89642361111111102</v>
      </c>
      <c r="L104" s="29"/>
      <c r="M104" s="31" t="str">
        <f>IF($C$2&gt;Table57[[#This Row],[In]],$C$2-Table57[[#This Row],[In]],"")</f>
        <v/>
      </c>
      <c r="N104" s="29" t="str">
        <f>IFERROR(IF(Table57[[#This Row],[Out]]&gt;$C$3,(Table57[[#This Row],[Out]])-($C$3),""),"")</f>
        <v/>
      </c>
    </row>
    <row r="105" spans="1:14" hidden="1" x14ac:dyDescent="0.25">
      <c r="A105" s="23" t="str">
        <f>Table57[[#This Row],[No.]]&amp;Table57[[#This Row],[Date]]</f>
        <v>1745294</v>
      </c>
      <c r="B105" s="22">
        <f>'Unique Dates'!A102</f>
        <v>17</v>
      </c>
      <c r="C105" s="22" t="str" cm="1">
        <f t="array" ref="C105">_xlfn.XLOOKUP(Table57[[#This Row],[No.]],Table2[[#All],[CODE]],Table2[[#All],[NAME]],,0,1)</f>
        <v>TORKYA</v>
      </c>
      <c r="D105" s="6">
        <f>'Unique Dates'!B102</f>
        <v>45294</v>
      </c>
      <c r="E105" t="str">
        <f>TEXT(Table57[[#This Row],[Date]],"dddd")</f>
        <v>Wednesday</v>
      </c>
      <c r="F105" s="25" cm="1">
        <f t="array" ref="F105">IFERROR(_xlfn.XLOOKUP(Table57[[#This Row],[Code]],Table1[[#All],[Code]],Table1[[#All],[Time]],,0,1),"")</f>
        <v>0.55303240740740744</v>
      </c>
      <c r="G105" s="25" cm="1">
        <f t="array" ref="G105">IFERROR(_xlfn.XLOOKUP(Table57[[#This Row],[Code]],Table1[[#All],[Code]],Table1[[#All],[Time]],,0,-1),"")</f>
        <v>0.74688657407407411</v>
      </c>
      <c r="H105" s="23">
        <f>IFERROR(IF(Table57[[#This Row],[Out]]&gt;=Table57[[#This Row],[In]],Table57[[#This Row],[Out]]-Table57[[#This Row],[In]],(0.5+Table57[[#This Row],[Out]])-Table57[[#This Row],[In]]),"")</f>
        <v>0.19385416666666666</v>
      </c>
      <c r="I105" s="31">
        <f>IFERROR(IF(Table57[[#This Row],[In]]&gt;$C$2,Table57[[#This Row],[In]]-$C$2,""),"")</f>
        <v>1.1365740740740815E-2</v>
      </c>
      <c r="J105" s="31">
        <f>IF(Table57[[#This Row],[Work_Hours]]=0,"",(IF(Table57[[#This Row],[Out]]&lt;$C$3,$C$3-Table57[[#This Row],[Out]],"")))</f>
        <v>0.16978009259259252</v>
      </c>
      <c r="K105" s="32">
        <f>IFERROR(Table57[[#This Row],[In]]+$C$1,"")</f>
        <v>0.88636574074074082</v>
      </c>
      <c r="L105" s="29"/>
      <c r="M105" s="31" t="str">
        <f>IF($C$2&gt;Table57[[#This Row],[In]],$C$2-Table57[[#This Row],[In]],"")</f>
        <v/>
      </c>
      <c r="N105" s="29" t="str">
        <f>IFERROR(IF(Table57[[#This Row],[Out]]&gt;$C$3,(Table57[[#This Row],[Out]])-($C$3),""),"")</f>
        <v/>
      </c>
    </row>
    <row r="106" spans="1:14" hidden="1" x14ac:dyDescent="0.25">
      <c r="A106" s="23" t="str">
        <f>Table57[[#This Row],[No.]]&amp;Table57[[#This Row],[Date]]</f>
        <v>1745295</v>
      </c>
      <c r="B106" s="22">
        <f>'Unique Dates'!A103</f>
        <v>17</v>
      </c>
      <c r="C106" s="22" t="str" cm="1">
        <f t="array" ref="C106">_xlfn.XLOOKUP(Table57[[#This Row],[No.]],Table2[[#All],[CODE]],Table2[[#All],[NAME]],,0,1)</f>
        <v>TORKYA</v>
      </c>
      <c r="D106" s="6">
        <f>'Unique Dates'!B103</f>
        <v>45295</v>
      </c>
      <c r="E106" t="str">
        <f>TEXT(Table57[[#This Row],[Date]],"dddd")</f>
        <v>Thursday</v>
      </c>
      <c r="F106" s="25" cm="1">
        <f t="array" ref="F106">IFERROR(_xlfn.XLOOKUP(Table57[[#This Row],[Code]],Table1[[#All],[Code]],Table1[[#All],[Time]],,0,1),"")</f>
        <v>0.55203703703703699</v>
      </c>
      <c r="G106" s="25" cm="1">
        <f t="array" ref="G106">IFERROR(_xlfn.XLOOKUP(Table57[[#This Row],[Code]],Table1[[#All],[Code]],Table1[[#All],[Time]],,0,-1),"")</f>
        <v>0.80758101851851849</v>
      </c>
      <c r="H106" s="23">
        <f>IFERROR(IF(Table57[[#This Row],[Out]]&gt;=Table57[[#This Row],[In]],Table57[[#This Row],[Out]]-Table57[[#This Row],[In]],(0.5+Table57[[#This Row],[Out]])-Table57[[#This Row],[In]]),"")</f>
        <v>0.2555439814814815</v>
      </c>
      <c r="I106" s="31">
        <f>IFERROR(IF(Table57[[#This Row],[In]]&gt;$C$2,Table57[[#This Row],[In]]-$C$2,""),"")</f>
        <v>1.0370370370370363E-2</v>
      </c>
      <c r="J106" s="31">
        <f>IF(Table57[[#This Row],[Work_Hours]]=0,"",(IF(Table57[[#This Row],[Out]]&lt;$C$3,$C$3-Table57[[#This Row],[Out]],"")))</f>
        <v>0.10908564814814814</v>
      </c>
      <c r="K106" s="32">
        <f>IFERROR(Table57[[#This Row],[In]]+$C$1,"")</f>
        <v>0.88537037037037036</v>
      </c>
      <c r="L106" s="29"/>
      <c r="M106" s="31" t="str">
        <f>IF($C$2&gt;Table57[[#This Row],[In]],$C$2-Table57[[#This Row],[In]],"")</f>
        <v/>
      </c>
      <c r="N106" s="29" t="str">
        <f>IFERROR(IF(Table57[[#This Row],[Out]]&gt;$C$3,(Table57[[#This Row],[Out]])-($C$3),""),"")</f>
        <v/>
      </c>
    </row>
    <row r="107" spans="1:14" hidden="1" x14ac:dyDescent="0.25">
      <c r="A107" s="23" t="str">
        <f>Table57[[#This Row],[No.]]&amp;Table57[[#This Row],[Date]]</f>
        <v>1745296</v>
      </c>
      <c r="B107" s="22">
        <f>'Unique Dates'!A104</f>
        <v>17</v>
      </c>
      <c r="C107" s="22" t="str" cm="1">
        <f t="array" ref="C107">_xlfn.XLOOKUP(Table57[[#This Row],[No.]],Table2[[#All],[CODE]],Table2[[#All],[NAME]],,0,1)</f>
        <v>TORKYA</v>
      </c>
      <c r="D107" s="6">
        <f>'Unique Dates'!B104</f>
        <v>45296</v>
      </c>
      <c r="E107" t="str">
        <f>TEXT(Table57[[#This Row],[Date]],"dddd")</f>
        <v>Friday</v>
      </c>
      <c r="F107" s="25" cm="1">
        <f t="array" ref="F107">IFERROR(_xlfn.XLOOKUP(Table57[[#This Row],[Code]],Table1[[#All],[Code]],Table1[[#All],[Time]],,0,1),"")</f>
        <v>0.55556712962962962</v>
      </c>
      <c r="G107" s="25" cm="1">
        <f t="array" ref="G107">IFERROR(_xlfn.XLOOKUP(Table57[[#This Row],[Code]],Table1[[#All],[Code]],Table1[[#All],[Time]],,0,-1),"")</f>
        <v>0.77631944444444445</v>
      </c>
      <c r="H107" s="23">
        <f>IFERROR(IF(Table57[[#This Row],[Out]]&gt;=Table57[[#This Row],[In]],Table57[[#This Row],[Out]]-Table57[[#This Row],[In]],(0.5+Table57[[#This Row],[Out]])-Table57[[#This Row],[In]]),"")</f>
        <v>0.22075231481481483</v>
      </c>
      <c r="I107" s="31">
        <f>IFERROR(IF(Table57[[#This Row],[In]]&gt;$C$2,Table57[[#This Row],[In]]-$C$2,""),"")</f>
        <v>1.3900462962962989E-2</v>
      </c>
      <c r="J107" s="31">
        <f>IF(Table57[[#This Row],[Work_Hours]]=0,"",(IF(Table57[[#This Row],[Out]]&lt;$C$3,$C$3-Table57[[#This Row],[Out]],"")))</f>
        <v>0.14034722222222218</v>
      </c>
      <c r="K107" s="32">
        <f>IFERROR(Table57[[#This Row],[In]]+$C$1,"")</f>
        <v>0.88890046296296288</v>
      </c>
      <c r="L107" s="29"/>
      <c r="M107" s="31" t="str">
        <f>IF($C$2&gt;Table57[[#This Row],[In]],$C$2-Table57[[#This Row],[In]],"")</f>
        <v/>
      </c>
      <c r="N107" s="29" t="str">
        <f>IFERROR(IF(Table57[[#This Row],[Out]]&gt;$C$3,(Table57[[#This Row],[Out]])-($C$3),""),"")</f>
        <v/>
      </c>
    </row>
    <row r="108" spans="1:14" hidden="1" x14ac:dyDescent="0.25">
      <c r="A108" s="23" t="str">
        <f>Table57[[#This Row],[No.]]&amp;Table57[[#This Row],[Date]]</f>
        <v>1745297</v>
      </c>
      <c r="B108" s="22">
        <f>'Unique Dates'!A105</f>
        <v>17</v>
      </c>
      <c r="C108" s="22" t="str" cm="1">
        <f t="array" ref="C108">_xlfn.XLOOKUP(Table57[[#This Row],[No.]],Table2[[#All],[CODE]],Table2[[#All],[NAME]],,0,1)</f>
        <v>TORKYA</v>
      </c>
      <c r="D108" s="6">
        <f>'Unique Dates'!B105</f>
        <v>45297</v>
      </c>
      <c r="E108" t="str">
        <f>TEXT(Table57[[#This Row],[Date]],"dddd")</f>
        <v>Saturday</v>
      </c>
      <c r="F108" s="25" cm="1">
        <f t="array" ref="F108">IFERROR(_xlfn.XLOOKUP(Table57[[#This Row],[Code]],Table1[[#All],[Code]],Table1[[#All],[Time]],,0,1),"")</f>
        <v>0.56127314814814822</v>
      </c>
      <c r="G108" s="25" cm="1">
        <f t="array" ref="G108">IFERROR(_xlfn.XLOOKUP(Table57[[#This Row],[Code]],Table1[[#All],[Code]],Table1[[#All],[Time]],,0,-1),"")</f>
        <v>0.75509259259259265</v>
      </c>
      <c r="H108" s="23">
        <f>IFERROR(IF(Table57[[#This Row],[Out]]&gt;=Table57[[#This Row],[In]],Table57[[#This Row],[Out]]-Table57[[#This Row],[In]],(0.5+Table57[[#This Row],[Out]])-Table57[[#This Row],[In]]),"")</f>
        <v>0.19381944444444443</v>
      </c>
      <c r="I108" s="31">
        <f>IFERROR(IF(Table57[[#This Row],[In]]&gt;$C$2,Table57[[#This Row],[In]]-$C$2,""),"")</f>
        <v>1.9606481481481586E-2</v>
      </c>
      <c r="J108" s="31">
        <f>IF(Table57[[#This Row],[Work_Hours]]=0,"",(IF(Table57[[#This Row],[Out]]&lt;$C$3,$C$3-Table57[[#This Row],[Out]],"")))</f>
        <v>0.16157407407407398</v>
      </c>
      <c r="K108" s="32">
        <f>IFERROR(Table57[[#This Row],[In]]+$C$1,"")</f>
        <v>0.89460648148148159</v>
      </c>
      <c r="L108" s="29"/>
      <c r="M108" s="31" t="str">
        <f>IF($C$2&gt;Table57[[#This Row],[In]],$C$2-Table57[[#This Row],[In]],"")</f>
        <v/>
      </c>
      <c r="N108" s="29" t="str">
        <f>IFERROR(IF(Table57[[#This Row],[Out]]&gt;$C$3,(Table57[[#This Row],[Out]])-($C$3),""),"")</f>
        <v/>
      </c>
    </row>
    <row r="109" spans="1:14" hidden="1" x14ac:dyDescent="0.25">
      <c r="A109" s="23" t="str">
        <f>Table57[[#This Row],[No.]]&amp;Table57[[#This Row],[Date]]</f>
        <v>1745299</v>
      </c>
      <c r="B109" s="22">
        <f>'Unique Dates'!A106</f>
        <v>17</v>
      </c>
      <c r="C109" s="22" t="str" cm="1">
        <f t="array" ref="C109">_xlfn.XLOOKUP(Table57[[#This Row],[No.]],Table2[[#All],[CODE]],Table2[[#All],[NAME]],,0,1)</f>
        <v>TORKYA</v>
      </c>
      <c r="D109" s="6">
        <f>'Unique Dates'!B106</f>
        <v>45299</v>
      </c>
      <c r="E109" t="str">
        <f>TEXT(Table57[[#This Row],[Date]],"dddd")</f>
        <v>Monday</v>
      </c>
      <c r="F109" s="25" cm="1">
        <f t="array" ref="F109">IFERROR(_xlfn.XLOOKUP(Table57[[#This Row],[Code]],Table1[[#All],[Code]],Table1[[#All],[Time]],,0,1),"")</f>
        <v>0.5443634259259259</v>
      </c>
      <c r="G109" s="25" cm="1">
        <f t="array" ref="G109">IFERROR(_xlfn.XLOOKUP(Table57[[#This Row],[Code]],Table1[[#All],[Code]],Table1[[#All],[Time]],,0,-1),"")</f>
        <v>0.7780555555555555</v>
      </c>
      <c r="H109" s="23">
        <f>IFERROR(IF(Table57[[#This Row],[Out]]&gt;=Table57[[#This Row],[In]],Table57[[#This Row],[Out]]-Table57[[#This Row],[In]],(0.5+Table57[[#This Row],[Out]])-Table57[[#This Row],[In]]),"")</f>
        <v>0.2336921296296296</v>
      </c>
      <c r="I109" s="31">
        <f>IFERROR(IF(Table57[[#This Row],[In]]&gt;$C$2,Table57[[#This Row],[In]]-$C$2,""),"")</f>
        <v>2.6967592592592737E-3</v>
      </c>
      <c r="J109" s="31">
        <f>IF(Table57[[#This Row],[Work_Hours]]=0,"",(IF(Table57[[#This Row],[Out]]&lt;$C$3,$C$3-Table57[[#This Row],[Out]],"")))</f>
        <v>0.13861111111111113</v>
      </c>
      <c r="K109" s="32">
        <f>IFERROR(Table57[[#This Row],[In]]+$C$1,"")</f>
        <v>0.87769675925925927</v>
      </c>
      <c r="L109" s="29"/>
      <c r="M109" s="31" t="str">
        <f>IF($C$2&gt;Table57[[#This Row],[In]],$C$2-Table57[[#This Row],[In]],"")</f>
        <v/>
      </c>
      <c r="N109" s="29" t="str">
        <f>IFERROR(IF(Table57[[#This Row],[Out]]&gt;$C$3,(Table57[[#This Row],[Out]])-($C$3),""),"")</f>
        <v/>
      </c>
    </row>
    <row r="110" spans="1:14" hidden="1" x14ac:dyDescent="0.25">
      <c r="A110" s="23" t="str">
        <f>Table57[[#This Row],[No.]]&amp;Table57[[#This Row],[Date]]</f>
        <v>1745300</v>
      </c>
      <c r="B110" s="22">
        <f>'Unique Dates'!A107</f>
        <v>17</v>
      </c>
      <c r="C110" s="22" t="str" cm="1">
        <f t="array" ref="C110">_xlfn.XLOOKUP(Table57[[#This Row],[No.]],Table2[[#All],[CODE]],Table2[[#All],[NAME]],,0,1)</f>
        <v>TORKYA</v>
      </c>
      <c r="D110" s="6">
        <f>'Unique Dates'!B107</f>
        <v>45300</v>
      </c>
      <c r="E110" t="str">
        <f>TEXT(Table57[[#This Row],[Date]],"dddd")</f>
        <v>Tuesday</v>
      </c>
      <c r="F110" s="25" cm="1">
        <f t="array" ref="F110">IFERROR(_xlfn.XLOOKUP(Table57[[#This Row],[Code]],Table1[[#All],[Code]],Table1[[#All],[Time]],,0,1),"")</f>
        <v>0.55402777777777779</v>
      </c>
      <c r="G110" s="25" cm="1">
        <f t="array" ref="G110">IFERROR(_xlfn.XLOOKUP(Table57[[#This Row],[Code]],Table1[[#All],[Code]],Table1[[#All],[Time]],,0,-1),"")</f>
        <v>0.75383101851851853</v>
      </c>
      <c r="H110" s="23">
        <f>IFERROR(IF(Table57[[#This Row],[Out]]&gt;=Table57[[#This Row],[In]],Table57[[#This Row],[Out]]-Table57[[#This Row],[In]],(0.5+Table57[[#This Row],[Out]])-Table57[[#This Row],[In]]),"")</f>
        <v>0.19980324074074074</v>
      </c>
      <c r="I110" s="31">
        <f>IFERROR(IF(Table57[[#This Row],[In]]&gt;$C$2,Table57[[#This Row],[In]]-$C$2,""),"")</f>
        <v>1.2361111111111156E-2</v>
      </c>
      <c r="J110" s="31">
        <f>IF(Table57[[#This Row],[Work_Hours]]=0,"",(IF(Table57[[#This Row],[Out]]&lt;$C$3,$C$3-Table57[[#This Row],[Out]],"")))</f>
        <v>0.1628356481481481</v>
      </c>
      <c r="K110" s="32">
        <f>IFERROR(Table57[[#This Row],[In]]+$C$1,"")</f>
        <v>0.88736111111111104</v>
      </c>
      <c r="L110" s="29"/>
      <c r="M110" s="31" t="str">
        <f>IF($C$2&gt;Table57[[#This Row],[In]],$C$2-Table57[[#This Row],[In]],"")</f>
        <v/>
      </c>
      <c r="N110" s="29" t="str">
        <f>IFERROR(IF(Table57[[#This Row],[Out]]&gt;$C$3,(Table57[[#This Row],[Out]])-($C$3),""),"")</f>
        <v/>
      </c>
    </row>
    <row r="111" spans="1:14" hidden="1" x14ac:dyDescent="0.25">
      <c r="A111" s="23" t="str">
        <f>Table57[[#This Row],[No.]]&amp;Table57[[#This Row],[Date]]</f>
        <v>1745301</v>
      </c>
      <c r="B111" s="22">
        <f>'Unique Dates'!A108</f>
        <v>17</v>
      </c>
      <c r="C111" s="22" t="str" cm="1">
        <f t="array" ref="C111">_xlfn.XLOOKUP(Table57[[#This Row],[No.]],Table2[[#All],[CODE]],Table2[[#All],[NAME]],,0,1)</f>
        <v>TORKYA</v>
      </c>
      <c r="D111" s="6">
        <f>'Unique Dates'!B108</f>
        <v>45301</v>
      </c>
      <c r="E111" t="str">
        <f>TEXT(Table57[[#This Row],[Date]],"dddd")</f>
        <v>Wednesday</v>
      </c>
      <c r="F111" s="25" cm="1">
        <f t="array" ref="F111">IFERROR(_xlfn.XLOOKUP(Table57[[#This Row],[Code]],Table1[[#All],[Code]],Table1[[#All],[Time]],,0,1),"")</f>
        <v>0.56258101851851849</v>
      </c>
      <c r="G111" s="25" cm="1">
        <f t="array" ref="G111">IFERROR(_xlfn.XLOOKUP(Table57[[#This Row],[Code]],Table1[[#All],[Code]],Table1[[#All],[Time]],,0,-1),"")</f>
        <v>0.78652777777777771</v>
      </c>
      <c r="H111" s="23">
        <f>IFERROR(IF(Table57[[#This Row],[Out]]&gt;=Table57[[#This Row],[In]],Table57[[#This Row],[Out]]-Table57[[#This Row],[In]],(0.5+Table57[[#This Row],[Out]])-Table57[[#This Row],[In]]),"")</f>
        <v>0.22394675925925922</v>
      </c>
      <c r="I111" s="31">
        <f>IFERROR(IF(Table57[[#This Row],[In]]&gt;$C$2,Table57[[#This Row],[In]]-$C$2,""),"")</f>
        <v>2.0914351851851865E-2</v>
      </c>
      <c r="J111" s="31">
        <f>IF(Table57[[#This Row],[Work_Hours]]=0,"",(IF(Table57[[#This Row],[Out]]&lt;$C$3,$C$3-Table57[[#This Row],[Out]],"")))</f>
        <v>0.13013888888888892</v>
      </c>
      <c r="K111" s="32">
        <f>IFERROR(Table57[[#This Row],[In]]+$C$1,"")</f>
        <v>0.89591435185185175</v>
      </c>
      <c r="L111" s="29"/>
      <c r="M111" s="31" t="str">
        <f>IF($C$2&gt;Table57[[#This Row],[In]],$C$2-Table57[[#This Row],[In]],"")</f>
        <v/>
      </c>
      <c r="N111" s="29" t="str">
        <f>IFERROR(IF(Table57[[#This Row],[Out]]&gt;$C$3,(Table57[[#This Row],[Out]])-($C$3),""),"")</f>
        <v/>
      </c>
    </row>
    <row r="112" spans="1:14" hidden="1" x14ac:dyDescent="0.25">
      <c r="A112" s="23" t="str">
        <f>Table57[[#This Row],[No.]]&amp;Table57[[#This Row],[Date]]</f>
        <v>1745302</v>
      </c>
      <c r="B112" s="22">
        <f>'Unique Dates'!A109</f>
        <v>17</v>
      </c>
      <c r="C112" s="22" t="str" cm="1">
        <f t="array" ref="C112">_xlfn.XLOOKUP(Table57[[#This Row],[No.]],Table2[[#All],[CODE]],Table2[[#All],[NAME]],,0,1)</f>
        <v>TORKYA</v>
      </c>
      <c r="D112" s="6">
        <f>'Unique Dates'!B109</f>
        <v>45302</v>
      </c>
      <c r="E112" t="str">
        <f>TEXT(Table57[[#This Row],[Date]],"dddd")</f>
        <v>Thursday</v>
      </c>
      <c r="F112" s="25" cm="1">
        <f t="array" ref="F112">IFERROR(_xlfn.XLOOKUP(Table57[[#This Row],[Code]],Table1[[#All],[Code]],Table1[[#All],[Time]],,0,1),"")</f>
        <v>0.55193287037037042</v>
      </c>
      <c r="G112" s="25" cm="1">
        <f t="array" ref="G112">IFERROR(_xlfn.XLOOKUP(Table57[[#This Row],[Code]],Table1[[#All],[Code]],Table1[[#All],[Time]],,0,-1),"")</f>
        <v>0.75987268518518514</v>
      </c>
      <c r="H112" s="23">
        <f>IFERROR(IF(Table57[[#This Row],[Out]]&gt;=Table57[[#This Row],[In]],Table57[[#This Row],[Out]]-Table57[[#This Row],[In]],(0.5+Table57[[#This Row],[Out]])-Table57[[#This Row],[In]]),"")</f>
        <v>0.20793981481481472</v>
      </c>
      <c r="I112" s="31">
        <f>IFERROR(IF(Table57[[#This Row],[In]]&gt;$C$2,Table57[[#This Row],[In]]-$C$2,""),"")</f>
        <v>1.0266203703703791E-2</v>
      </c>
      <c r="J112" s="31">
        <f>IF(Table57[[#This Row],[Work_Hours]]=0,"",(IF(Table57[[#This Row],[Out]]&lt;$C$3,$C$3-Table57[[#This Row],[Out]],"")))</f>
        <v>0.15679398148148149</v>
      </c>
      <c r="K112" s="32">
        <f>IFERROR(Table57[[#This Row],[In]]+$C$1,"")</f>
        <v>0.88526620370370379</v>
      </c>
      <c r="L112" s="29"/>
      <c r="M112" s="31" t="str">
        <f>IF($C$2&gt;Table57[[#This Row],[In]],$C$2-Table57[[#This Row],[In]],"")</f>
        <v/>
      </c>
      <c r="N112" s="29" t="str">
        <f>IFERROR(IF(Table57[[#This Row],[Out]]&gt;$C$3,(Table57[[#This Row],[Out]])-($C$3),""),"")</f>
        <v/>
      </c>
    </row>
    <row r="113" spans="1:14" hidden="1" x14ac:dyDescent="0.25">
      <c r="A113" s="23" t="str">
        <f>Table57[[#This Row],[No.]]&amp;Table57[[#This Row],[Date]]</f>
        <v>1745303</v>
      </c>
      <c r="B113" s="22">
        <f>'Unique Dates'!A110</f>
        <v>17</v>
      </c>
      <c r="C113" s="22" t="str" cm="1">
        <f t="array" ref="C113">_xlfn.XLOOKUP(Table57[[#This Row],[No.]],Table2[[#All],[CODE]],Table2[[#All],[NAME]],,0,1)</f>
        <v>TORKYA</v>
      </c>
      <c r="D113" s="6">
        <f>'Unique Dates'!B110</f>
        <v>45303</v>
      </c>
      <c r="E113" t="str">
        <f>TEXT(Table57[[#This Row],[Date]],"dddd")</f>
        <v>Friday</v>
      </c>
      <c r="F113" s="25" cm="1">
        <f t="array" ref="F113">IFERROR(_xlfn.XLOOKUP(Table57[[#This Row],[Code]],Table1[[#All],[Code]],Table1[[#All],[Time]],,0,1),"")</f>
        <v>0.57046296296296295</v>
      </c>
      <c r="G113" s="25" cm="1">
        <f t="array" ref="G113">IFERROR(_xlfn.XLOOKUP(Table57[[#This Row],[Code]],Table1[[#All],[Code]],Table1[[#All],[Time]],,0,-1),"")</f>
        <v>0.74885416666666671</v>
      </c>
      <c r="H113" s="23">
        <f>IFERROR(IF(Table57[[#This Row],[Out]]&gt;=Table57[[#This Row],[In]],Table57[[#This Row],[Out]]-Table57[[#This Row],[In]],(0.5+Table57[[#This Row],[Out]])-Table57[[#This Row],[In]]),"")</f>
        <v>0.17839120370370376</v>
      </c>
      <c r="I113" s="31">
        <f>IFERROR(IF(Table57[[#This Row],[In]]&gt;$C$2,Table57[[#This Row],[In]]-$C$2,""),"")</f>
        <v>2.879629629629632E-2</v>
      </c>
      <c r="J113" s="31">
        <f>IF(Table57[[#This Row],[Work_Hours]]=0,"",(IF(Table57[[#This Row],[Out]]&lt;$C$3,$C$3-Table57[[#This Row],[Out]],"")))</f>
        <v>0.16781249999999992</v>
      </c>
      <c r="K113" s="32">
        <f>IFERROR(Table57[[#This Row],[In]]+$C$1,"")</f>
        <v>0.90379629629629621</v>
      </c>
      <c r="L113" s="29"/>
      <c r="M113" s="31" t="str">
        <f>IF($C$2&gt;Table57[[#This Row],[In]],$C$2-Table57[[#This Row],[In]],"")</f>
        <v/>
      </c>
      <c r="N113" s="29" t="str">
        <f>IFERROR(IF(Table57[[#This Row],[Out]]&gt;$C$3,(Table57[[#This Row],[Out]])-($C$3),""),"")</f>
        <v/>
      </c>
    </row>
    <row r="114" spans="1:14" hidden="1" x14ac:dyDescent="0.25">
      <c r="A114" s="23" t="str">
        <f>Table57[[#This Row],[No.]]&amp;Table57[[#This Row],[Date]]</f>
        <v>1745304</v>
      </c>
      <c r="B114" s="22">
        <f>'Unique Dates'!A111</f>
        <v>17</v>
      </c>
      <c r="C114" s="22" t="str" cm="1">
        <f t="array" ref="C114">_xlfn.XLOOKUP(Table57[[#This Row],[No.]],Table2[[#All],[CODE]],Table2[[#All],[NAME]],,0,1)</f>
        <v>TORKYA</v>
      </c>
      <c r="D114" s="6">
        <f>'Unique Dates'!B111</f>
        <v>45304</v>
      </c>
      <c r="E114" t="str">
        <f>TEXT(Table57[[#This Row],[Date]],"dddd")</f>
        <v>Saturday</v>
      </c>
      <c r="F114" s="25" cm="1">
        <f t="array" ref="F114">IFERROR(_xlfn.XLOOKUP(Table57[[#This Row],[Code]],Table1[[#All],[Code]],Table1[[#All],[Time]],,0,1),"")</f>
        <v>0.56252314814814819</v>
      </c>
      <c r="G114" s="25" cm="1">
        <f t="array" ref="G114">IFERROR(_xlfn.XLOOKUP(Table57[[#This Row],[Code]],Table1[[#All],[Code]],Table1[[#All],[Time]],,0,-1),"")</f>
        <v>0.75631944444444443</v>
      </c>
      <c r="H114" s="23">
        <f>IFERROR(IF(Table57[[#This Row],[Out]]&gt;=Table57[[#This Row],[In]],Table57[[#This Row],[Out]]-Table57[[#This Row],[In]],(0.5+Table57[[#This Row],[Out]])-Table57[[#This Row],[In]]),"")</f>
        <v>0.19379629629629624</v>
      </c>
      <c r="I114" s="31">
        <f>IFERROR(IF(Table57[[#This Row],[In]]&gt;$C$2,Table57[[#This Row],[In]]-$C$2,""),"")</f>
        <v>2.0856481481481559E-2</v>
      </c>
      <c r="J114" s="31">
        <f>IF(Table57[[#This Row],[Work_Hours]]=0,"",(IF(Table57[[#This Row],[Out]]&lt;$C$3,$C$3-Table57[[#This Row],[Out]],"")))</f>
        <v>0.1603472222222222</v>
      </c>
      <c r="K114" s="32">
        <f>IFERROR(Table57[[#This Row],[In]]+$C$1,"")</f>
        <v>0.89585648148148156</v>
      </c>
      <c r="L114" s="29"/>
      <c r="M114" s="31" t="str">
        <f>IF($C$2&gt;Table57[[#This Row],[In]],$C$2-Table57[[#This Row],[In]],"")</f>
        <v/>
      </c>
      <c r="N114" s="29" t="str">
        <f>IFERROR(IF(Table57[[#This Row],[Out]]&gt;$C$3,(Table57[[#This Row],[Out]])-($C$3),""),"")</f>
        <v/>
      </c>
    </row>
    <row r="115" spans="1:14" hidden="1" x14ac:dyDescent="0.25">
      <c r="A115" s="23" t="str">
        <f>Table57[[#This Row],[No.]]&amp;Table57[[#This Row],[Date]]</f>
        <v>1745306</v>
      </c>
      <c r="B115" s="22">
        <f>'Unique Dates'!A112</f>
        <v>17</v>
      </c>
      <c r="C115" s="22" t="str" cm="1">
        <f t="array" ref="C115">_xlfn.XLOOKUP(Table57[[#This Row],[No.]],Table2[[#All],[CODE]],Table2[[#All],[NAME]],,0,1)</f>
        <v>TORKYA</v>
      </c>
      <c r="D115" s="6">
        <f>'Unique Dates'!B112</f>
        <v>45306</v>
      </c>
      <c r="E115" t="str">
        <f>TEXT(Table57[[#This Row],[Date]],"dddd")</f>
        <v>Monday</v>
      </c>
      <c r="F115" s="25" cm="1">
        <f t="array" ref="F115">IFERROR(_xlfn.XLOOKUP(Table57[[#This Row],[Code]],Table1[[#All],[Code]],Table1[[#All],[Time]],,0,1),"")</f>
        <v>0.61085648148148153</v>
      </c>
      <c r="G115" s="25" cm="1">
        <f t="array" ref="G115">IFERROR(_xlfn.XLOOKUP(Table57[[#This Row],[Code]],Table1[[#All],[Code]],Table1[[#All],[Time]],,0,-1),"")</f>
        <v>0.80560185185185185</v>
      </c>
      <c r="H115" s="23">
        <f>IFERROR(IF(Table57[[#This Row],[Out]]&gt;=Table57[[#This Row],[In]],Table57[[#This Row],[Out]]-Table57[[#This Row],[In]],(0.5+Table57[[#This Row],[Out]])-Table57[[#This Row],[In]]),"")</f>
        <v>0.19474537037037032</v>
      </c>
      <c r="I115" s="31">
        <f>IFERROR(IF(Table57[[#This Row],[In]]&gt;$C$2,Table57[[#This Row],[In]]-$C$2,""),"")</f>
        <v>6.9189814814814898E-2</v>
      </c>
      <c r="J115" s="31">
        <f>IF(Table57[[#This Row],[Work_Hours]]=0,"",(IF(Table57[[#This Row],[Out]]&lt;$C$3,$C$3-Table57[[#This Row],[Out]],"")))</f>
        <v>0.11106481481481478</v>
      </c>
      <c r="K115" s="32">
        <f>IFERROR(Table57[[#This Row],[In]]+$C$1,"")</f>
        <v>0.9441898148148149</v>
      </c>
      <c r="L115" s="29"/>
      <c r="M115" s="31" t="str">
        <f>IF($C$2&gt;Table57[[#This Row],[In]],$C$2-Table57[[#This Row],[In]],"")</f>
        <v/>
      </c>
      <c r="N115" s="29" t="str">
        <f>IFERROR(IF(Table57[[#This Row],[Out]]&gt;$C$3,(Table57[[#This Row],[Out]])-($C$3),""),"")</f>
        <v/>
      </c>
    </row>
    <row r="116" spans="1:14" hidden="1" x14ac:dyDescent="0.25">
      <c r="A116" s="23" t="str">
        <f>Table57[[#This Row],[No.]]&amp;Table57[[#This Row],[Date]]</f>
        <v>1745307</v>
      </c>
      <c r="B116" s="22">
        <f>'Unique Dates'!A113</f>
        <v>17</v>
      </c>
      <c r="C116" s="22" t="str" cm="1">
        <f t="array" ref="C116">_xlfn.XLOOKUP(Table57[[#This Row],[No.]],Table2[[#All],[CODE]],Table2[[#All],[NAME]],,0,1)</f>
        <v>TORKYA</v>
      </c>
      <c r="D116" s="6">
        <f>'Unique Dates'!B113</f>
        <v>45307</v>
      </c>
      <c r="E116" t="str">
        <f>TEXT(Table57[[#This Row],[Date]],"dddd")</f>
        <v>Tuesday</v>
      </c>
      <c r="F116" s="25" cm="1">
        <f t="array" ref="F116">IFERROR(_xlfn.XLOOKUP(Table57[[#This Row],[Code]],Table1[[#All],[Code]],Table1[[#All],[Time]],,0,1),"")</f>
        <v>0.54303240740740744</v>
      </c>
      <c r="G116" s="25" cm="1">
        <f t="array" ref="G116">IFERROR(_xlfn.XLOOKUP(Table57[[#This Row],[Code]],Table1[[#All],[Code]],Table1[[#All],[Time]],,0,-1),"")</f>
        <v>0.75222222222222224</v>
      </c>
      <c r="H116" s="23">
        <f>IFERROR(IF(Table57[[#This Row],[Out]]&gt;=Table57[[#This Row],[In]],Table57[[#This Row],[Out]]-Table57[[#This Row],[In]],(0.5+Table57[[#This Row],[Out]])-Table57[[#This Row],[In]]),"")</f>
        <v>0.2091898148148148</v>
      </c>
      <c r="I116" s="31">
        <f>IFERROR(IF(Table57[[#This Row],[In]]&gt;$C$2,Table57[[#This Row],[In]]-$C$2,""),"")</f>
        <v>1.3657407407408062E-3</v>
      </c>
      <c r="J116" s="31">
        <f>IF(Table57[[#This Row],[Work_Hours]]=0,"",(IF(Table57[[#This Row],[Out]]&lt;$C$3,$C$3-Table57[[#This Row],[Out]],"")))</f>
        <v>0.16444444444444439</v>
      </c>
      <c r="K116" s="32">
        <f>IFERROR(Table57[[#This Row],[In]]+$C$1,"")</f>
        <v>0.87636574074074081</v>
      </c>
      <c r="L116" s="29"/>
      <c r="M116" s="31" t="str">
        <f>IF($C$2&gt;Table57[[#This Row],[In]],$C$2-Table57[[#This Row],[In]],"")</f>
        <v/>
      </c>
      <c r="N116" s="29" t="str">
        <f>IFERROR(IF(Table57[[#This Row],[Out]]&gt;$C$3,(Table57[[#This Row],[Out]])-($C$3),""),"")</f>
        <v/>
      </c>
    </row>
    <row r="117" spans="1:14" hidden="1" x14ac:dyDescent="0.25">
      <c r="A117" s="23" t="str">
        <f>Table57[[#This Row],[No.]]&amp;Table57[[#This Row],[Date]]</f>
        <v>1745308</v>
      </c>
      <c r="B117" s="22">
        <f>'Unique Dates'!A114</f>
        <v>17</v>
      </c>
      <c r="C117" s="22" t="str" cm="1">
        <f t="array" ref="C117">_xlfn.XLOOKUP(Table57[[#This Row],[No.]],Table2[[#All],[CODE]],Table2[[#All],[NAME]],,0,1)</f>
        <v>TORKYA</v>
      </c>
      <c r="D117" s="6">
        <f>'Unique Dates'!B114</f>
        <v>45308</v>
      </c>
      <c r="E117" t="str">
        <f>TEXT(Table57[[#This Row],[Date]],"dddd")</f>
        <v>Wednesday</v>
      </c>
      <c r="F117" s="25" cm="1">
        <f t="array" ref="F117">IFERROR(_xlfn.XLOOKUP(Table57[[#This Row],[Code]],Table1[[#All],[Code]],Table1[[#All],[Time]],,0,1),"")</f>
        <v>0.56534722222222222</v>
      </c>
      <c r="G117" s="25" cm="1">
        <f t="array" ref="G117">IFERROR(_xlfn.XLOOKUP(Table57[[#This Row],[Code]],Table1[[#All],[Code]],Table1[[#All],[Time]],,0,-1),"")</f>
        <v>0.763738425925926</v>
      </c>
      <c r="H117" s="23">
        <f>IFERROR(IF(Table57[[#This Row],[Out]]&gt;=Table57[[#This Row],[In]],Table57[[#This Row],[Out]]-Table57[[#This Row],[In]],(0.5+Table57[[#This Row],[Out]])-Table57[[#This Row],[In]]),"")</f>
        <v>0.19839120370370378</v>
      </c>
      <c r="I117" s="31">
        <f>IFERROR(IF(Table57[[#This Row],[In]]&gt;$C$2,Table57[[#This Row],[In]]-$C$2,""),"")</f>
        <v>2.3680555555555594E-2</v>
      </c>
      <c r="J117" s="31">
        <f>IF(Table57[[#This Row],[Work_Hours]]=0,"",(IF(Table57[[#This Row],[Out]]&lt;$C$3,$C$3-Table57[[#This Row],[Out]],"")))</f>
        <v>0.15292824074074063</v>
      </c>
      <c r="K117" s="32">
        <f>IFERROR(Table57[[#This Row],[In]]+$C$1,"")</f>
        <v>0.89868055555555548</v>
      </c>
      <c r="L117" s="29"/>
      <c r="M117" s="31" t="str">
        <f>IF($C$2&gt;Table57[[#This Row],[In]],$C$2-Table57[[#This Row],[In]],"")</f>
        <v/>
      </c>
      <c r="N117" s="29" t="str">
        <f>IFERROR(IF(Table57[[#This Row],[Out]]&gt;$C$3,(Table57[[#This Row],[Out]])-($C$3),""),"")</f>
        <v/>
      </c>
    </row>
    <row r="118" spans="1:14" hidden="1" x14ac:dyDescent="0.25">
      <c r="A118" s="23" t="str">
        <f>Table57[[#This Row],[No.]]&amp;Table57[[#This Row],[Date]]</f>
        <v>1745309</v>
      </c>
      <c r="B118" s="22">
        <f>'Unique Dates'!A115</f>
        <v>17</v>
      </c>
      <c r="C118" s="22" t="str" cm="1">
        <f t="array" ref="C118">_xlfn.XLOOKUP(Table57[[#This Row],[No.]],Table2[[#All],[CODE]],Table2[[#All],[NAME]],,0,1)</f>
        <v>TORKYA</v>
      </c>
      <c r="D118" s="6">
        <f>'Unique Dates'!B115</f>
        <v>45309</v>
      </c>
      <c r="E118" t="str">
        <f>TEXT(Table57[[#This Row],[Date]],"dddd")</f>
        <v>Thursday</v>
      </c>
      <c r="F118" s="25" cm="1">
        <f t="array" ref="F118">IFERROR(_xlfn.XLOOKUP(Table57[[#This Row],[Code]],Table1[[#All],[Code]],Table1[[#All],[Time]],,0,1),"")</f>
        <v>0.54546296296296293</v>
      </c>
      <c r="G118" s="25" cm="1">
        <f t="array" ref="G118">IFERROR(_xlfn.XLOOKUP(Table57[[#This Row],[Code]],Table1[[#All],[Code]],Table1[[#All],[Time]],,0,-1),"")</f>
        <v>0.71980324074074076</v>
      </c>
      <c r="H118" s="23">
        <f>IFERROR(IF(Table57[[#This Row],[Out]]&gt;=Table57[[#This Row],[In]],Table57[[#This Row],[Out]]-Table57[[#This Row],[In]],(0.5+Table57[[#This Row],[Out]])-Table57[[#This Row],[In]]),"")</f>
        <v>0.17434027777777783</v>
      </c>
      <c r="I118" s="31">
        <f>IFERROR(IF(Table57[[#This Row],[In]]&gt;$C$2,Table57[[#This Row],[In]]-$C$2,""),"")</f>
        <v>3.7962962962962976E-3</v>
      </c>
      <c r="J118" s="31">
        <f>IF(Table57[[#This Row],[Work_Hours]]=0,"",(IF(Table57[[#This Row],[Out]]&lt;$C$3,$C$3-Table57[[#This Row],[Out]],"")))</f>
        <v>0.19686342592592587</v>
      </c>
      <c r="K118" s="32">
        <f>IFERROR(Table57[[#This Row],[In]]+$C$1,"")</f>
        <v>0.8787962962962963</v>
      </c>
      <c r="L118" s="29"/>
      <c r="M118" s="31" t="str">
        <f>IF($C$2&gt;Table57[[#This Row],[In]],$C$2-Table57[[#This Row],[In]],"")</f>
        <v/>
      </c>
      <c r="N118" s="29" t="str">
        <f>IFERROR(IF(Table57[[#This Row],[Out]]&gt;$C$3,(Table57[[#This Row],[Out]])-($C$3),""),"")</f>
        <v/>
      </c>
    </row>
    <row r="119" spans="1:14" hidden="1" x14ac:dyDescent="0.25">
      <c r="A119" s="23" t="str">
        <f>Table57[[#This Row],[No.]]&amp;Table57[[#This Row],[Date]]</f>
        <v>1745310</v>
      </c>
      <c r="B119" s="22">
        <f>'Unique Dates'!A116</f>
        <v>17</v>
      </c>
      <c r="C119" s="22" t="str" cm="1">
        <f t="array" ref="C119">_xlfn.XLOOKUP(Table57[[#This Row],[No.]],Table2[[#All],[CODE]],Table2[[#All],[NAME]],,0,1)</f>
        <v>TORKYA</v>
      </c>
      <c r="D119" s="6">
        <f>'Unique Dates'!B116</f>
        <v>45310</v>
      </c>
      <c r="E119" t="str">
        <f>TEXT(Table57[[#This Row],[Date]],"dddd")</f>
        <v>Friday</v>
      </c>
      <c r="F119" s="25" cm="1">
        <f t="array" ref="F119">IFERROR(_xlfn.XLOOKUP(Table57[[#This Row],[Code]],Table1[[#All],[Code]],Table1[[#All],[Time]],,0,1),"")</f>
        <v>0.53831018518518514</v>
      </c>
      <c r="G119" s="25" cm="1">
        <f t="array" ref="G119">IFERROR(_xlfn.XLOOKUP(Table57[[#This Row],[Code]],Table1[[#All],[Code]],Table1[[#All],[Time]],,0,-1),"")</f>
        <v>0.74989583333333332</v>
      </c>
      <c r="H119" s="23">
        <f>IFERROR(IF(Table57[[#This Row],[Out]]&gt;=Table57[[#This Row],[In]],Table57[[#This Row],[Out]]-Table57[[#This Row],[In]],(0.5+Table57[[#This Row],[Out]])-Table57[[#This Row],[In]]),"")</f>
        <v>0.21158564814814818</v>
      </c>
      <c r="I119" s="31" t="str">
        <f>IFERROR(IF(Table57[[#This Row],[In]]&gt;$C$2,Table57[[#This Row],[In]]-$C$2,""),"")</f>
        <v/>
      </c>
      <c r="J119" s="31">
        <f>IF(Table57[[#This Row],[Work_Hours]]=0,"",(IF(Table57[[#This Row],[Out]]&lt;$C$3,$C$3-Table57[[#This Row],[Out]],"")))</f>
        <v>0.16677083333333331</v>
      </c>
      <c r="K119" s="32">
        <f>IFERROR(Table57[[#This Row],[In]]+$C$1,"")</f>
        <v>0.87164351851851851</v>
      </c>
      <c r="L119" s="29"/>
      <c r="M119" s="31">
        <f>IF($C$2&gt;Table57[[#This Row],[In]],$C$2-Table57[[#This Row],[In]],"")</f>
        <v>3.3564814814814881E-3</v>
      </c>
      <c r="N119" s="29" t="str">
        <f>IFERROR(IF(Table57[[#This Row],[Out]]&gt;$C$3,(Table57[[#This Row],[Out]])-($C$3),""),"")</f>
        <v/>
      </c>
    </row>
    <row r="120" spans="1:14" hidden="1" x14ac:dyDescent="0.25">
      <c r="A120" s="23" t="str">
        <f>Table57[[#This Row],[No.]]&amp;Table57[[#This Row],[Date]]</f>
        <v>1745311</v>
      </c>
      <c r="B120" s="22">
        <f>'Unique Dates'!A117</f>
        <v>17</v>
      </c>
      <c r="C120" s="22" t="str" cm="1">
        <f t="array" ref="C120">_xlfn.XLOOKUP(Table57[[#This Row],[No.]],Table2[[#All],[CODE]],Table2[[#All],[NAME]],,0,1)</f>
        <v>TORKYA</v>
      </c>
      <c r="D120" s="6">
        <f>'Unique Dates'!B117</f>
        <v>45311</v>
      </c>
      <c r="E120" t="str">
        <f>TEXT(Table57[[#This Row],[Date]],"dddd")</f>
        <v>Saturday</v>
      </c>
      <c r="F120" s="25" cm="1">
        <f t="array" ref="F120">IFERROR(_xlfn.XLOOKUP(Table57[[#This Row],[Code]],Table1[[#All],[Code]],Table1[[#All],[Time]],,0,1),"")</f>
        <v>0.55821759259259263</v>
      </c>
      <c r="G120" s="25" cm="1">
        <f t="array" ref="G120">IFERROR(_xlfn.XLOOKUP(Table57[[#This Row],[Code]],Table1[[#All],[Code]],Table1[[#All],[Time]],,0,-1),"")</f>
        <v>0.75774305555555566</v>
      </c>
      <c r="H120" s="23">
        <f>IFERROR(IF(Table57[[#This Row],[Out]]&gt;=Table57[[#This Row],[In]],Table57[[#This Row],[Out]]-Table57[[#This Row],[In]],(0.5+Table57[[#This Row],[Out]])-Table57[[#This Row],[In]]),"")</f>
        <v>0.19952546296296303</v>
      </c>
      <c r="I120" s="31">
        <f>IFERROR(IF(Table57[[#This Row],[In]]&gt;$C$2,Table57[[#This Row],[In]]-$C$2,""),"")</f>
        <v>1.6550925925925997E-2</v>
      </c>
      <c r="J120" s="31">
        <f>IF(Table57[[#This Row],[Work_Hours]]=0,"",(IF(Table57[[#This Row],[Out]]&lt;$C$3,$C$3-Table57[[#This Row],[Out]],"")))</f>
        <v>0.15892361111111097</v>
      </c>
      <c r="K120" s="32">
        <f>IFERROR(Table57[[#This Row],[In]]+$C$1,"")</f>
        <v>0.891550925925926</v>
      </c>
      <c r="L120" s="29"/>
      <c r="M120" s="31" t="str">
        <f>IF($C$2&gt;Table57[[#This Row],[In]],$C$2-Table57[[#This Row],[In]],"")</f>
        <v/>
      </c>
      <c r="N120" s="29" t="str">
        <f>IFERROR(IF(Table57[[#This Row],[Out]]&gt;$C$3,(Table57[[#This Row],[Out]])-($C$3),""),"")</f>
        <v/>
      </c>
    </row>
    <row r="121" spans="1:14" hidden="1" x14ac:dyDescent="0.25">
      <c r="A121" s="23" t="str">
        <f>Table57[[#This Row],[No.]]&amp;Table57[[#This Row],[Date]]</f>
        <v>1745313</v>
      </c>
      <c r="B121" s="22">
        <f>'Unique Dates'!A118</f>
        <v>17</v>
      </c>
      <c r="C121" s="22" t="str" cm="1">
        <f t="array" ref="C121">_xlfn.XLOOKUP(Table57[[#This Row],[No.]],Table2[[#All],[CODE]],Table2[[#All],[NAME]],,0,1)</f>
        <v>TORKYA</v>
      </c>
      <c r="D121" s="6">
        <f>'Unique Dates'!B118</f>
        <v>45313</v>
      </c>
      <c r="E121" t="str">
        <f>TEXT(Table57[[#This Row],[Date]],"dddd")</f>
        <v>Monday</v>
      </c>
      <c r="F121" s="25" cm="1">
        <f t="array" ref="F121">IFERROR(_xlfn.XLOOKUP(Table57[[#This Row],[Code]],Table1[[#All],[Code]],Table1[[#All],[Time]],,0,1),"")</f>
        <v>0.55305555555555552</v>
      </c>
      <c r="G121" s="25" cm="1">
        <f t="array" ref="G121">IFERROR(_xlfn.XLOOKUP(Table57[[#This Row],[Code]],Table1[[#All],[Code]],Table1[[#All],[Time]],,0,-1),"")</f>
        <v>0.74383101851851852</v>
      </c>
      <c r="H121" s="23">
        <f>IFERROR(IF(Table57[[#This Row],[Out]]&gt;=Table57[[#This Row],[In]],Table57[[#This Row],[Out]]-Table57[[#This Row],[In]],(0.5+Table57[[#This Row],[Out]])-Table57[[#This Row],[In]]),"")</f>
        <v>0.19077546296296299</v>
      </c>
      <c r="I121" s="31">
        <f>IFERROR(IF(Table57[[#This Row],[In]]&gt;$C$2,Table57[[#This Row],[In]]-$C$2,""),"")</f>
        <v>1.1388888888888893E-2</v>
      </c>
      <c r="J121" s="31">
        <f>IF(Table57[[#This Row],[Work_Hours]]=0,"",(IF(Table57[[#This Row],[Out]]&lt;$C$3,$C$3-Table57[[#This Row],[Out]],"")))</f>
        <v>0.17283564814814811</v>
      </c>
      <c r="K121" s="32">
        <f>IFERROR(Table57[[#This Row],[In]]+$C$1,"")</f>
        <v>0.88638888888888889</v>
      </c>
      <c r="L121" s="29"/>
      <c r="M121" s="31" t="str">
        <f>IF($C$2&gt;Table57[[#This Row],[In]],$C$2-Table57[[#This Row],[In]],"")</f>
        <v/>
      </c>
      <c r="N121" s="29" t="str">
        <f>IFERROR(IF(Table57[[#This Row],[Out]]&gt;$C$3,(Table57[[#This Row],[Out]])-($C$3),""),"")</f>
        <v/>
      </c>
    </row>
    <row r="122" spans="1:14" hidden="1" x14ac:dyDescent="0.25">
      <c r="A122" s="23" t="str">
        <f>Table57[[#This Row],[No.]]&amp;Table57[[#This Row],[Date]]</f>
        <v>1745314</v>
      </c>
      <c r="B122" s="22">
        <f>'Unique Dates'!A119</f>
        <v>17</v>
      </c>
      <c r="C122" s="22" t="str" cm="1">
        <f t="array" ref="C122">_xlfn.XLOOKUP(Table57[[#This Row],[No.]],Table2[[#All],[CODE]],Table2[[#All],[NAME]],,0,1)</f>
        <v>TORKYA</v>
      </c>
      <c r="D122" s="6">
        <f>'Unique Dates'!B119</f>
        <v>45314</v>
      </c>
      <c r="E122" t="str">
        <f>TEXT(Table57[[#This Row],[Date]],"dddd")</f>
        <v>Tuesday</v>
      </c>
      <c r="F122" s="25" cm="1">
        <f t="array" ref="F122">IFERROR(_xlfn.XLOOKUP(Table57[[#This Row],[Code]],Table1[[#All],[Code]],Table1[[#All],[Time]],,0,1),"")</f>
        <v>0.55821759259259263</v>
      </c>
      <c r="G122" s="25" cm="1">
        <f t="array" ref="G122">IFERROR(_xlfn.XLOOKUP(Table57[[#This Row],[Code]],Table1[[#All],[Code]],Table1[[#All],[Time]],,0,-1),"")</f>
        <v>0.7524074074074073</v>
      </c>
      <c r="H122" s="23">
        <f>IFERROR(IF(Table57[[#This Row],[Out]]&gt;=Table57[[#This Row],[In]],Table57[[#This Row],[Out]]-Table57[[#This Row],[In]],(0.5+Table57[[#This Row],[Out]])-Table57[[#This Row],[In]]),"")</f>
        <v>0.19418981481481468</v>
      </c>
      <c r="I122" s="31">
        <f>IFERROR(IF(Table57[[#This Row],[In]]&gt;$C$2,Table57[[#This Row],[In]]-$C$2,""),"")</f>
        <v>1.6550925925925997E-2</v>
      </c>
      <c r="J122" s="31">
        <f>IF(Table57[[#This Row],[Work_Hours]]=0,"",(IF(Table57[[#This Row],[Out]]&lt;$C$3,$C$3-Table57[[#This Row],[Out]],"")))</f>
        <v>0.16425925925925933</v>
      </c>
      <c r="K122" s="32">
        <f>IFERROR(Table57[[#This Row],[In]]+$C$1,"")</f>
        <v>0.891550925925926</v>
      </c>
      <c r="L122" s="29"/>
      <c r="M122" s="31" t="str">
        <f>IF($C$2&gt;Table57[[#This Row],[In]],$C$2-Table57[[#This Row],[In]],"")</f>
        <v/>
      </c>
      <c r="N122" s="29" t="str">
        <f>IFERROR(IF(Table57[[#This Row],[Out]]&gt;$C$3,(Table57[[#This Row],[Out]])-($C$3),""),"")</f>
        <v/>
      </c>
    </row>
    <row r="123" spans="1:14" hidden="1" x14ac:dyDescent="0.25">
      <c r="A123" s="23" t="str">
        <f>Table57[[#This Row],[No.]]&amp;Table57[[#This Row],[Date]]</f>
        <v>1745315</v>
      </c>
      <c r="B123" s="22">
        <f>'Unique Dates'!A120</f>
        <v>17</v>
      </c>
      <c r="C123" s="22" t="str" cm="1">
        <f t="array" ref="C123">_xlfn.XLOOKUP(Table57[[#This Row],[No.]],Table2[[#All],[CODE]],Table2[[#All],[NAME]],,0,1)</f>
        <v>TORKYA</v>
      </c>
      <c r="D123" s="6">
        <f>'Unique Dates'!B120</f>
        <v>45315</v>
      </c>
      <c r="E123" t="str">
        <f>TEXT(Table57[[#This Row],[Date]],"dddd")</f>
        <v>Wednesday</v>
      </c>
      <c r="F123" s="25" cm="1">
        <f t="array" ref="F123">IFERROR(_xlfn.XLOOKUP(Table57[[#This Row],[Code]],Table1[[#All],[Code]],Table1[[#All],[Time]],,0,1),"")</f>
        <v>0.5502083333333333</v>
      </c>
      <c r="G123" s="25" cm="1">
        <f t="array" ref="G123">IFERROR(_xlfn.XLOOKUP(Table57[[#This Row],[Code]],Table1[[#All],[Code]],Table1[[#All],[Time]],,0,-1),"")</f>
        <v>0.7117013888888889</v>
      </c>
      <c r="H123" s="23">
        <f>IFERROR(IF(Table57[[#This Row],[Out]]&gt;=Table57[[#This Row],[In]],Table57[[#This Row],[Out]]-Table57[[#This Row],[In]],(0.5+Table57[[#This Row],[Out]])-Table57[[#This Row],[In]]),"")</f>
        <v>0.1614930555555556</v>
      </c>
      <c r="I123" s="31">
        <f>IFERROR(IF(Table57[[#This Row],[In]]&gt;$C$2,Table57[[#This Row],[In]]-$C$2,""),"")</f>
        <v>8.5416666666666696E-3</v>
      </c>
      <c r="J123" s="31">
        <f>IF(Table57[[#This Row],[Work_Hours]]=0,"",(IF(Table57[[#This Row],[Out]]&lt;$C$3,$C$3-Table57[[#This Row],[Out]],"")))</f>
        <v>0.20496527777777773</v>
      </c>
      <c r="K123" s="32">
        <f>IFERROR(Table57[[#This Row],[In]]+$C$1,"")</f>
        <v>0.88354166666666667</v>
      </c>
      <c r="L123" s="29"/>
      <c r="M123" s="31" t="str">
        <f>IF($C$2&gt;Table57[[#This Row],[In]],$C$2-Table57[[#This Row],[In]],"")</f>
        <v/>
      </c>
      <c r="N123" s="29" t="str">
        <f>IFERROR(IF(Table57[[#This Row],[Out]]&gt;$C$3,(Table57[[#This Row],[Out]])-($C$3),""),"")</f>
        <v/>
      </c>
    </row>
    <row r="124" spans="1:14" hidden="1" x14ac:dyDescent="0.25">
      <c r="A124" s="23" t="str">
        <f>Table57[[#This Row],[No.]]&amp;Table57[[#This Row],[Date]]</f>
        <v>1745316</v>
      </c>
      <c r="B124" s="22">
        <f>'Unique Dates'!A121</f>
        <v>17</v>
      </c>
      <c r="C124" s="22" t="str" cm="1">
        <f t="array" ref="C124">_xlfn.XLOOKUP(Table57[[#This Row],[No.]],Table2[[#All],[CODE]],Table2[[#All],[NAME]],,0,1)</f>
        <v>TORKYA</v>
      </c>
      <c r="D124" s="6">
        <f>'Unique Dates'!B121</f>
        <v>45316</v>
      </c>
      <c r="E124" t="str">
        <f>TEXT(Table57[[#This Row],[Date]],"dddd")</f>
        <v>Thursday</v>
      </c>
      <c r="F124" s="25" cm="1">
        <f t="array" ref="F124">IFERROR(_xlfn.XLOOKUP(Table57[[#This Row],[Code]],Table1[[#All],[Code]],Table1[[#All],[Time]],,0,1),"")</f>
        <v>0.54953703703703705</v>
      </c>
      <c r="G124" s="25" cm="1">
        <f t="array" ref="G124">IFERROR(_xlfn.XLOOKUP(Table57[[#This Row],[Code]],Table1[[#All],[Code]],Table1[[#All],[Time]],,0,-1),"")</f>
        <v>0.7322453703703703</v>
      </c>
      <c r="H124" s="23">
        <f>IFERROR(IF(Table57[[#This Row],[Out]]&gt;=Table57[[#This Row],[In]],Table57[[#This Row],[Out]]-Table57[[#This Row],[In]],(0.5+Table57[[#This Row],[Out]])-Table57[[#This Row],[In]]),"")</f>
        <v>0.18270833333333325</v>
      </c>
      <c r="I124" s="31">
        <f>IFERROR(IF(Table57[[#This Row],[In]]&gt;$C$2,Table57[[#This Row],[In]]-$C$2,""),"")</f>
        <v>7.8703703703704164E-3</v>
      </c>
      <c r="J124" s="31">
        <f>IF(Table57[[#This Row],[Work_Hours]]=0,"",(IF(Table57[[#This Row],[Out]]&lt;$C$3,$C$3-Table57[[#This Row],[Out]],"")))</f>
        <v>0.18442129629629633</v>
      </c>
      <c r="K124" s="32">
        <f>IFERROR(Table57[[#This Row],[In]]+$C$1,"")</f>
        <v>0.88287037037037042</v>
      </c>
      <c r="L124" s="29"/>
      <c r="M124" s="31" t="str">
        <f>IF($C$2&gt;Table57[[#This Row],[In]],$C$2-Table57[[#This Row],[In]],"")</f>
        <v/>
      </c>
      <c r="N124" s="29" t="str">
        <f>IFERROR(IF(Table57[[#This Row],[Out]]&gt;$C$3,(Table57[[#This Row],[Out]])-($C$3),""),"")</f>
        <v/>
      </c>
    </row>
    <row r="125" spans="1:14" hidden="1" x14ac:dyDescent="0.25">
      <c r="A125" s="23" t="str">
        <f>Table57[[#This Row],[No.]]&amp;Table57[[#This Row],[Date]]</f>
        <v>1745317</v>
      </c>
      <c r="B125" s="22">
        <f>'Unique Dates'!A122</f>
        <v>17</v>
      </c>
      <c r="C125" s="22" t="str" cm="1">
        <f t="array" ref="C125">_xlfn.XLOOKUP(Table57[[#This Row],[No.]],Table2[[#All],[CODE]],Table2[[#All],[NAME]],,0,1)</f>
        <v>TORKYA</v>
      </c>
      <c r="D125" s="6">
        <f>'Unique Dates'!B122</f>
        <v>45317</v>
      </c>
      <c r="E125" t="str">
        <f>TEXT(Table57[[#This Row],[Date]],"dddd")</f>
        <v>Friday</v>
      </c>
      <c r="F125" s="25" cm="1">
        <f t="array" ref="F125">IFERROR(_xlfn.XLOOKUP(Table57[[#This Row],[Code]],Table1[[#All],[Code]],Table1[[#All],[Time]],,0,1),"")</f>
        <v>0.5543865740740741</v>
      </c>
      <c r="G125" s="25" cm="1">
        <f t="array" ref="G125">IFERROR(_xlfn.XLOOKUP(Table57[[#This Row],[Code]],Table1[[#All],[Code]],Table1[[#All],[Time]],,0,-1),"")</f>
        <v>0.78545138888888888</v>
      </c>
      <c r="H125" s="23">
        <f>IFERROR(IF(Table57[[#This Row],[Out]]&gt;=Table57[[#This Row],[In]],Table57[[#This Row],[Out]]-Table57[[#This Row],[In]],(0.5+Table57[[#This Row],[Out]])-Table57[[#This Row],[In]]),"")</f>
        <v>0.23106481481481478</v>
      </c>
      <c r="I125" s="31">
        <f>IFERROR(IF(Table57[[#This Row],[In]]&gt;$C$2,Table57[[#This Row],[In]]-$C$2,""),"")</f>
        <v>1.2719907407407471E-2</v>
      </c>
      <c r="J125" s="31">
        <f>IF(Table57[[#This Row],[Work_Hours]]=0,"",(IF(Table57[[#This Row],[Out]]&lt;$C$3,$C$3-Table57[[#This Row],[Out]],"")))</f>
        <v>0.13121527777777775</v>
      </c>
      <c r="K125" s="32">
        <f>IFERROR(Table57[[#This Row],[In]]+$C$1,"")</f>
        <v>0.88771990740740736</v>
      </c>
      <c r="L125" s="29"/>
      <c r="M125" s="31" t="str">
        <f>IF($C$2&gt;Table57[[#This Row],[In]],$C$2-Table57[[#This Row],[In]],"")</f>
        <v/>
      </c>
      <c r="N125" s="29" t="str">
        <f>IFERROR(IF(Table57[[#This Row],[Out]]&gt;$C$3,(Table57[[#This Row],[Out]])-($C$3),""),"")</f>
        <v/>
      </c>
    </row>
    <row r="126" spans="1:14" hidden="1" x14ac:dyDescent="0.25">
      <c r="A126" s="23" t="str">
        <f>Table57[[#This Row],[No.]]&amp;Table57[[#This Row],[Date]]</f>
        <v>1745318</v>
      </c>
      <c r="B126" s="22">
        <f>'Unique Dates'!A123</f>
        <v>17</v>
      </c>
      <c r="C126" s="22" t="str" cm="1">
        <f t="array" ref="C126">_xlfn.XLOOKUP(Table57[[#This Row],[No.]],Table2[[#All],[CODE]],Table2[[#All],[NAME]],,0,1)</f>
        <v>TORKYA</v>
      </c>
      <c r="D126" s="6">
        <f>'Unique Dates'!B123</f>
        <v>45318</v>
      </c>
      <c r="E126" t="str">
        <f>TEXT(Table57[[#This Row],[Date]],"dddd")</f>
        <v>Saturday</v>
      </c>
      <c r="F126" s="25" cm="1">
        <f t="array" ref="F126">IFERROR(_xlfn.XLOOKUP(Table57[[#This Row],[Code]],Table1[[#All],[Code]],Table1[[#All],[Time]],,0,1),"")</f>
        <v>0.55460648148148151</v>
      </c>
      <c r="G126" s="25" cm="1">
        <f t="array" ref="G126">IFERROR(_xlfn.XLOOKUP(Table57[[#This Row],[Code]],Table1[[#All],[Code]],Table1[[#All],[Time]],,0,-1),"")</f>
        <v>0.74181712962962953</v>
      </c>
      <c r="H126" s="23">
        <f>IFERROR(IF(Table57[[#This Row],[Out]]&gt;=Table57[[#This Row],[In]],Table57[[#This Row],[Out]]-Table57[[#This Row],[In]],(0.5+Table57[[#This Row],[Out]])-Table57[[#This Row],[In]]),"")</f>
        <v>0.18721064814814803</v>
      </c>
      <c r="I126" s="31">
        <f>IFERROR(IF(Table57[[#This Row],[In]]&gt;$C$2,Table57[[#This Row],[In]]-$C$2,""),"")</f>
        <v>1.2939814814814876E-2</v>
      </c>
      <c r="J126" s="31">
        <f>IF(Table57[[#This Row],[Work_Hours]]=0,"",(IF(Table57[[#This Row],[Out]]&lt;$C$3,$C$3-Table57[[#This Row],[Out]],"")))</f>
        <v>0.17484953703703709</v>
      </c>
      <c r="K126" s="32">
        <f>IFERROR(Table57[[#This Row],[In]]+$C$1,"")</f>
        <v>0.88793981481481477</v>
      </c>
      <c r="L126" s="29"/>
      <c r="M126" s="31" t="str">
        <f>IF($C$2&gt;Table57[[#This Row],[In]],$C$2-Table57[[#This Row],[In]],"")</f>
        <v/>
      </c>
      <c r="N126" s="29" t="str">
        <f>IFERROR(IF(Table57[[#This Row],[Out]]&gt;$C$3,(Table57[[#This Row],[Out]])-($C$3),""),"")</f>
        <v/>
      </c>
    </row>
    <row r="127" spans="1:14" hidden="1" x14ac:dyDescent="0.25">
      <c r="A127" s="23" t="str">
        <f>Table57[[#This Row],[No.]]&amp;Table57[[#This Row],[Date]]</f>
        <v>2345300</v>
      </c>
      <c r="B127" s="22">
        <f>'Unique Dates'!A124</f>
        <v>23</v>
      </c>
      <c r="C127" s="22" t="str" cm="1">
        <f t="array" ref="C127">_xlfn.XLOOKUP(Table57[[#This Row],[No.]],Table2[[#All],[CODE]],Table2[[#All],[NAME]],,0,1)</f>
        <v>ZINA</v>
      </c>
      <c r="D127" s="6">
        <f>'Unique Dates'!B124</f>
        <v>45300</v>
      </c>
      <c r="E127" t="str">
        <f>TEXT(Table57[[#This Row],[Date]],"dddd")</f>
        <v>Tuesday</v>
      </c>
      <c r="F127" s="25" cm="1">
        <f t="array" ref="F127">IFERROR(_xlfn.XLOOKUP(Table57[[#This Row],[Code]],Table1[[#All],[Code]],Table1[[#All],[Time]],,0,1),"")</f>
        <v>0.56194444444444447</v>
      </c>
      <c r="G127" s="25" cm="1">
        <f t="array" ref="G127">IFERROR(_xlfn.XLOOKUP(Table57[[#This Row],[Code]],Table1[[#All],[Code]],Table1[[#All],[Time]],,0,-1),"")</f>
        <v>0.56194444444444447</v>
      </c>
      <c r="H127" s="23">
        <f>IFERROR(IF(Table57[[#This Row],[Out]]&gt;=Table57[[#This Row],[In]],Table57[[#This Row],[Out]]-Table57[[#This Row],[In]],(0.5+Table57[[#This Row],[Out]])-Table57[[#This Row],[In]]),"")</f>
        <v>0</v>
      </c>
      <c r="I127" s="31">
        <f>IFERROR(IF(Table57[[#This Row],[In]]&gt;$C$2,Table57[[#This Row],[In]]-$C$2,""),"")</f>
        <v>2.0277777777777839E-2</v>
      </c>
      <c r="J127" s="31" t="str">
        <f>IF(Table57[[#This Row],[Work_Hours]]=0,"",(IF(Table57[[#This Row],[Out]]&lt;$C$3,$C$3-Table57[[#This Row],[Out]],"")))</f>
        <v/>
      </c>
      <c r="K127" s="32">
        <f>IFERROR(Table57[[#This Row],[In]]+$C$1,"")</f>
        <v>0.89527777777777784</v>
      </c>
      <c r="L127" s="29"/>
      <c r="M127" s="31" t="str">
        <f>IF($C$2&gt;Table57[[#This Row],[In]],$C$2-Table57[[#This Row],[In]],"")</f>
        <v/>
      </c>
      <c r="N127" s="29" t="str">
        <f>IFERROR(IF(Table57[[#This Row],[Out]]&gt;$C$3,(Table57[[#This Row],[Out]])-($C$3),""),"")</f>
        <v/>
      </c>
    </row>
    <row r="128" spans="1:14" hidden="1" x14ac:dyDescent="0.25">
      <c r="A128" s="23" t="str">
        <f>Table57[[#This Row],[No.]]&amp;Table57[[#This Row],[Date]]</f>
        <v>2345313</v>
      </c>
      <c r="B128" s="22">
        <f>'Unique Dates'!A125</f>
        <v>23</v>
      </c>
      <c r="C128" s="22" t="str" cm="1">
        <f t="array" ref="C128">_xlfn.XLOOKUP(Table57[[#This Row],[No.]],Table2[[#All],[CODE]],Table2[[#All],[NAME]],,0,1)</f>
        <v>ZINA</v>
      </c>
      <c r="D128" s="6">
        <f>'Unique Dates'!B125</f>
        <v>45313</v>
      </c>
      <c r="E128" t="str">
        <f>TEXT(Table57[[#This Row],[Date]],"dddd")</f>
        <v>Monday</v>
      </c>
      <c r="F128" s="25" cm="1">
        <f t="array" ref="F128">IFERROR(_xlfn.XLOOKUP(Table57[[#This Row],[Code]],Table1[[#All],[Code]],Table1[[#All],[Time]],,0,1),"")</f>
        <v>0.91385416666666675</v>
      </c>
      <c r="G128" s="25" cm="1">
        <f t="array" ref="G128">IFERROR(_xlfn.XLOOKUP(Table57[[#This Row],[Code]],Table1[[#All],[Code]],Table1[[#All],[Time]],,0,-1),"")</f>
        <v>0.91385416666666675</v>
      </c>
      <c r="H128" s="23">
        <f>IFERROR(IF(Table57[[#This Row],[Out]]&gt;=Table57[[#This Row],[In]],Table57[[#This Row],[Out]]-Table57[[#This Row],[In]],(0.5+Table57[[#This Row],[Out]])-Table57[[#This Row],[In]]),"")</f>
        <v>0</v>
      </c>
      <c r="I128" s="31">
        <f>IFERROR(IF(Table57[[#This Row],[In]]&gt;$C$2,Table57[[#This Row],[In]]-$C$2,""),"")</f>
        <v>0.37218750000000012</v>
      </c>
      <c r="J128" s="31" t="str">
        <f>IF(Table57[[#This Row],[Work_Hours]]=0,"",(IF(Table57[[#This Row],[Out]]&lt;$C$3,$C$3-Table57[[#This Row],[Out]],"")))</f>
        <v/>
      </c>
      <c r="K128" s="32">
        <f>IFERROR(Table57[[#This Row],[In]]+$C$1,"")</f>
        <v>1.2471875000000001</v>
      </c>
      <c r="L128" s="29"/>
      <c r="M128" s="31" t="str">
        <f>IF($C$2&gt;Table57[[#This Row],[In]],$C$2-Table57[[#This Row],[In]],"")</f>
        <v/>
      </c>
      <c r="N128" s="29" t="str">
        <f>IFERROR(IF(Table57[[#This Row],[Out]]&gt;$C$3,(Table57[[#This Row],[Out]])-($C$3),""),"")</f>
        <v/>
      </c>
    </row>
    <row r="129" spans="1:14" hidden="1" x14ac:dyDescent="0.25">
      <c r="A129" s="23" t="str">
        <f>Table57[[#This Row],[No.]]&amp;Table57[[#This Row],[Date]]</f>
        <v>2345319</v>
      </c>
      <c r="B129" s="22">
        <f>'Unique Dates'!A126</f>
        <v>23</v>
      </c>
      <c r="C129" s="22" t="str" cm="1">
        <f t="array" ref="C129">_xlfn.XLOOKUP(Table57[[#This Row],[No.]],Table2[[#All],[CODE]],Table2[[#All],[NAME]],,0,1)</f>
        <v>ZINA</v>
      </c>
      <c r="D129" s="6">
        <f>'Unique Dates'!B126</f>
        <v>45319</v>
      </c>
      <c r="E129" t="str">
        <f>TEXT(Table57[[#This Row],[Date]],"dddd")</f>
        <v>Sunday</v>
      </c>
      <c r="F129" s="25" cm="1">
        <f t="array" ref="F129">IFERROR(_xlfn.XLOOKUP(Table57[[#This Row],[Code]],Table1[[#All],[Code]],Table1[[#All],[Time]],,0,1),"")</f>
        <v>0.96743055555555557</v>
      </c>
      <c r="G129" s="25" cm="1">
        <f t="array" ref="G129">IFERROR(_xlfn.XLOOKUP(Table57[[#This Row],[Code]],Table1[[#All],[Code]],Table1[[#All],[Time]],,0,-1),"")</f>
        <v>0.96743055555555557</v>
      </c>
      <c r="H129" s="23">
        <f>IFERROR(IF(Table57[[#This Row],[Out]]&gt;=Table57[[#This Row],[In]],Table57[[#This Row],[Out]]-Table57[[#This Row],[In]],(0.5+Table57[[#This Row],[Out]])-Table57[[#This Row],[In]]),"")</f>
        <v>0</v>
      </c>
      <c r="I129" s="31">
        <f>IFERROR(IF(Table57[[#This Row],[In]]&gt;$C$2,Table57[[#This Row],[In]]-$C$2,""),"")</f>
        <v>0.42576388888888894</v>
      </c>
      <c r="J129" s="31" t="str">
        <f>IF(Table57[[#This Row],[Work_Hours]]=0,"",(IF(Table57[[#This Row],[Out]]&lt;$C$3,$C$3-Table57[[#This Row],[Out]],"")))</f>
        <v/>
      </c>
      <c r="K129" s="32">
        <f>IFERROR(Table57[[#This Row],[In]]+$C$1,"")</f>
        <v>1.3007638888888888</v>
      </c>
      <c r="L129" s="29"/>
      <c r="M129" s="31" t="str">
        <f>IF($C$2&gt;Table57[[#This Row],[In]],$C$2-Table57[[#This Row],[In]],"")</f>
        <v/>
      </c>
      <c r="N129" s="29">
        <f>IFERROR(IF(Table57[[#This Row],[Out]]&gt;$C$3,(Table57[[#This Row],[Out]])-($C$3),""),"")</f>
        <v>5.0763888888888942E-2</v>
      </c>
    </row>
    <row r="130" spans="1:14" hidden="1" x14ac:dyDescent="0.25">
      <c r="A130" s="23" t="str">
        <f>Table57[[#This Row],[No.]]&amp;Table57[[#This Row],[Date]]</f>
        <v>2545292</v>
      </c>
      <c r="B130" s="22">
        <f>'Unique Dates'!A127</f>
        <v>25</v>
      </c>
      <c r="C130" s="22" t="str" cm="1">
        <f t="array" ref="C130">_xlfn.XLOOKUP(Table57[[#This Row],[No.]],Table2[[#All],[CODE]],Table2[[#All],[NAME]],,0,1)</f>
        <v>RAMA</v>
      </c>
      <c r="D130" s="6">
        <f>'Unique Dates'!B127</f>
        <v>45292</v>
      </c>
      <c r="E130" t="str">
        <f>TEXT(Table57[[#This Row],[Date]],"dddd")</f>
        <v>Monday</v>
      </c>
      <c r="F130" s="25" cm="1">
        <f t="array" ref="F130">IFERROR(_xlfn.XLOOKUP(Table57[[#This Row],[Code]],Table1[[#All],[Code]],Table1[[#All],[Time]],,0,1),"")</f>
        <v>0.53738425925925926</v>
      </c>
      <c r="G130" s="25" cm="1">
        <f t="array" ref="G130">IFERROR(_xlfn.XLOOKUP(Table57[[#This Row],[Code]],Table1[[#All],[Code]],Table1[[#All],[Time]],,0,-1),"")</f>
        <v>0.87783564814814818</v>
      </c>
      <c r="H130" s="23">
        <f>IFERROR(IF(Table57[[#This Row],[Out]]&gt;=Table57[[#This Row],[In]],Table57[[#This Row],[Out]]-Table57[[#This Row],[In]],(0.5+Table57[[#This Row],[Out]])-Table57[[#This Row],[In]]),"")</f>
        <v>0.34045138888888893</v>
      </c>
      <c r="I130" s="31" t="str">
        <f>IFERROR(IF(Table57[[#This Row],[In]]&gt;$C$2,Table57[[#This Row],[In]]-$C$2,""),"")</f>
        <v/>
      </c>
      <c r="J130" s="31">
        <f>IF(Table57[[#This Row],[Work_Hours]]=0,"",(IF(Table57[[#This Row],[Out]]&lt;$C$3,$C$3-Table57[[#This Row],[Out]],"")))</f>
        <v>3.8831018518518445E-2</v>
      </c>
      <c r="K130" s="32">
        <f>IFERROR(Table57[[#This Row],[In]]+$C$1,"")</f>
        <v>0.87071759259259252</v>
      </c>
      <c r="L130" s="29"/>
      <c r="M130" s="31">
        <f>IF($C$2&gt;Table57[[#This Row],[In]],$C$2-Table57[[#This Row],[In]],"")</f>
        <v>4.2824074074073737E-3</v>
      </c>
      <c r="N130" s="29" t="str">
        <f>IFERROR(IF(Table57[[#This Row],[Out]]&gt;$C$3,(Table57[[#This Row],[Out]])-($C$3),""),"")</f>
        <v/>
      </c>
    </row>
    <row r="131" spans="1:14" hidden="1" x14ac:dyDescent="0.25">
      <c r="A131" s="23" t="str">
        <f>Table57[[#This Row],[No.]]&amp;Table57[[#This Row],[Date]]</f>
        <v>2545293</v>
      </c>
      <c r="B131" s="22">
        <f>'Unique Dates'!A128</f>
        <v>25</v>
      </c>
      <c r="C131" s="22" t="str" cm="1">
        <f t="array" ref="C131">_xlfn.XLOOKUP(Table57[[#This Row],[No.]],Table2[[#All],[CODE]],Table2[[#All],[NAME]],,0,1)</f>
        <v>RAMA</v>
      </c>
      <c r="D131" s="6">
        <f>'Unique Dates'!B128</f>
        <v>45293</v>
      </c>
      <c r="E131" t="str">
        <f>TEXT(Table57[[#This Row],[Date]],"dddd")</f>
        <v>Tuesday</v>
      </c>
      <c r="F131" s="25" cm="1">
        <f t="array" ref="F131">IFERROR(_xlfn.XLOOKUP(Table57[[#This Row],[Code]],Table1[[#All],[Code]],Table1[[#All],[Time]],,0,1),"")</f>
        <v>0.5489236111111111</v>
      </c>
      <c r="G131" s="25" cm="1">
        <f t="array" ref="G131">IFERROR(_xlfn.XLOOKUP(Table57[[#This Row],[Code]],Table1[[#All],[Code]],Table1[[#All],[Time]],,0,-1),"")</f>
        <v>0.88430555555555557</v>
      </c>
      <c r="H131" s="23">
        <f>IFERROR(IF(Table57[[#This Row],[Out]]&gt;=Table57[[#This Row],[In]],Table57[[#This Row],[Out]]-Table57[[#This Row],[In]],(0.5+Table57[[#This Row],[Out]])-Table57[[#This Row],[In]]),"")</f>
        <v>0.33538194444444447</v>
      </c>
      <c r="I131" s="31">
        <f>IFERROR(IF(Table57[[#This Row],[In]]&gt;$C$2,Table57[[#This Row],[In]]-$C$2,""),"")</f>
        <v>7.2569444444444686E-3</v>
      </c>
      <c r="J131" s="31">
        <f>IF(Table57[[#This Row],[Work_Hours]]=0,"",(IF(Table57[[#This Row],[Out]]&lt;$C$3,$C$3-Table57[[#This Row],[Out]],"")))</f>
        <v>3.2361111111111063E-2</v>
      </c>
      <c r="K131" s="32">
        <f>IFERROR(Table57[[#This Row],[In]]+$C$1,"")</f>
        <v>0.88225694444444436</v>
      </c>
      <c r="L131" s="29"/>
      <c r="M131" s="31" t="str">
        <f>IF($C$2&gt;Table57[[#This Row],[In]],$C$2-Table57[[#This Row],[In]],"")</f>
        <v/>
      </c>
      <c r="N131" s="29" t="str">
        <f>IFERROR(IF(Table57[[#This Row],[Out]]&gt;$C$3,(Table57[[#This Row],[Out]])-($C$3),""),"")</f>
        <v/>
      </c>
    </row>
    <row r="132" spans="1:14" hidden="1" x14ac:dyDescent="0.25">
      <c r="A132" s="23" t="str">
        <f>Table57[[#This Row],[No.]]&amp;Table57[[#This Row],[Date]]</f>
        <v>2545294</v>
      </c>
      <c r="B132" s="22">
        <f>'Unique Dates'!A129</f>
        <v>25</v>
      </c>
      <c r="C132" s="22" t="str" cm="1">
        <f t="array" ref="C132">_xlfn.XLOOKUP(Table57[[#This Row],[No.]],Table2[[#All],[CODE]],Table2[[#All],[NAME]],,0,1)</f>
        <v>RAMA</v>
      </c>
      <c r="D132" s="6">
        <f>'Unique Dates'!B129</f>
        <v>45294</v>
      </c>
      <c r="E132" t="str">
        <f>TEXT(Table57[[#This Row],[Date]],"dddd")</f>
        <v>Wednesday</v>
      </c>
      <c r="F132" s="25" cm="1">
        <f t="array" ref="F132">IFERROR(_xlfn.XLOOKUP(Table57[[#This Row],[Code]],Table1[[#All],[Code]],Table1[[#All],[Time]],,0,1),"")</f>
        <v>0.54334490740740737</v>
      </c>
      <c r="G132" s="25" cm="1">
        <f t="array" ref="G132">IFERROR(_xlfn.XLOOKUP(Table57[[#This Row],[Code]],Table1[[#All],[Code]],Table1[[#All],[Time]],,0,-1),"")</f>
        <v>0.87702546296296291</v>
      </c>
      <c r="H132" s="23">
        <f>IFERROR(IF(Table57[[#This Row],[Out]]&gt;=Table57[[#This Row],[In]],Table57[[#This Row],[Out]]-Table57[[#This Row],[In]],(0.5+Table57[[#This Row],[Out]])-Table57[[#This Row],[In]]),"")</f>
        <v>0.33368055555555554</v>
      </c>
      <c r="I132" s="31">
        <f>IFERROR(IF(Table57[[#This Row],[In]]&gt;$C$2,Table57[[#This Row],[In]]-$C$2,""),"")</f>
        <v>1.678240740740744E-3</v>
      </c>
      <c r="J132" s="31">
        <f>IF(Table57[[#This Row],[Work_Hours]]=0,"",(IF(Table57[[#This Row],[Out]]&lt;$C$3,$C$3-Table57[[#This Row],[Out]],"")))</f>
        <v>3.964120370370372E-2</v>
      </c>
      <c r="K132" s="32">
        <f>IFERROR(Table57[[#This Row],[In]]+$C$1,"")</f>
        <v>0.87667824074074074</v>
      </c>
      <c r="L132" s="29"/>
      <c r="M132" s="31" t="str">
        <f>IF($C$2&gt;Table57[[#This Row],[In]],$C$2-Table57[[#This Row],[In]],"")</f>
        <v/>
      </c>
      <c r="N132" s="29" t="str">
        <f>IFERROR(IF(Table57[[#This Row],[Out]]&gt;$C$3,(Table57[[#This Row],[Out]])-($C$3),""),"")</f>
        <v/>
      </c>
    </row>
    <row r="133" spans="1:14" hidden="1" x14ac:dyDescent="0.25">
      <c r="A133" s="23" t="str">
        <f>Table57[[#This Row],[No.]]&amp;Table57[[#This Row],[Date]]</f>
        <v>2545297</v>
      </c>
      <c r="B133" s="22">
        <f>'Unique Dates'!A130</f>
        <v>25</v>
      </c>
      <c r="C133" s="22" t="str" cm="1">
        <f t="array" ref="C133">_xlfn.XLOOKUP(Table57[[#This Row],[No.]],Table2[[#All],[CODE]],Table2[[#All],[NAME]],,0,1)</f>
        <v>RAMA</v>
      </c>
      <c r="D133" s="6">
        <f>'Unique Dates'!B130</f>
        <v>45297</v>
      </c>
      <c r="E133" t="str">
        <f>TEXT(Table57[[#This Row],[Date]],"dddd")</f>
        <v>Saturday</v>
      </c>
      <c r="F133" s="25" cm="1">
        <f t="array" ref="F133">IFERROR(_xlfn.XLOOKUP(Table57[[#This Row],[Code]],Table1[[#All],[Code]],Table1[[#All],[Time]],,0,1),"")</f>
        <v>0.56118055555555557</v>
      </c>
      <c r="G133" s="25" cm="1">
        <f t="array" ref="G133">IFERROR(_xlfn.XLOOKUP(Table57[[#This Row],[Code]],Table1[[#All],[Code]],Table1[[#All],[Time]],,0,-1),"")</f>
        <v>0.88734953703703701</v>
      </c>
      <c r="H133" s="23">
        <f>IFERROR(IF(Table57[[#This Row],[Out]]&gt;=Table57[[#This Row],[In]],Table57[[#This Row],[Out]]-Table57[[#This Row],[In]],(0.5+Table57[[#This Row],[Out]])-Table57[[#This Row],[In]]),"")</f>
        <v>0.32616898148148143</v>
      </c>
      <c r="I133" s="31">
        <f>IFERROR(IF(Table57[[#This Row],[In]]&gt;$C$2,Table57[[#This Row],[In]]-$C$2,""),"")</f>
        <v>1.9513888888888942E-2</v>
      </c>
      <c r="J133" s="31">
        <f>IF(Table57[[#This Row],[Work_Hours]]=0,"",(IF(Table57[[#This Row],[Out]]&lt;$C$3,$C$3-Table57[[#This Row],[Out]],"")))</f>
        <v>2.9317129629629624E-2</v>
      </c>
      <c r="K133" s="32">
        <f>IFERROR(Table57[[#This Row],[In]]+$C$1,"")</f>
        <v>0.89451388888888883</v>
      </c>
      <c r="L133" s="29"/>
      <c r="M133" s="31" t="str">
        <f>IF($C$2&gt;Table57[[#This Row],[In]],$C$2-Table57[[#This Row],[In]],"")</f>
        <v/>
      </c>
      <c r="N133" s="29" t="str">
        <f>IFERROR(IF(Table57[[#This Row],[Out]]&gt;$C$3,(Table57[[#This Row],[Out]])-($C$3),""),"")</f>
        <v/>
      </c>
    </row>
    <row r="134" spans="1:14" hidden="1" x14ac:dyDescent="0.25">
      <c r="A134" s="23" t="str">
        <f>Table57[[#This Row],[No.]]&amp;Table57[[#This Row],[Date]]</f>
        <v>2545298</v>
      </c>
      <c r="B134" s="22">
        <f>'Unique Dates'!A131</f>
        <v>25</v>
      </c>
      <c r="C134" s="22" t="str" cm="1">
        <f t="array" ref="C134">_xlfn.XLOOKUP(Table57[[#This Row],[No.]],Table2[[#All],[CODE]],Table2[[#All],[NAME]],,0,1)</f>
        <v>RAMA</v>
      </c>
      <c r="D134" s="6">
        <f>'Unique Dates'!B131</f>
        <v>45298</v>
      </c>
      <c r="E134" t="str">
        <f>TEXT(Table57[[#This Row],[Date]],"dddd")</f>
        <v>Sunday</v>
      </c>
      <c r="F134" s="25" cm="1">
        <f t="array" ref="F134">IFERROR(_xlfn.XLOOKUP(Table57[[#This Row],[Code]],Table1[[#All],[Code]],Table1[[#All],[Time]],,0,1),"")</f>
        <v>0.54585648148148147</v>
      </c>
      <c r="G134" s="25" cm="1">
        <f t="array" ref="G134">IFERROR(_xlfn.XLOOKUP(Table57[[#This Row],[Code]],Table1[[#All],[Code]],Table1[[#All],[Time]],,0,-1),"")</f>
        <v>0.86789351851851848</v>
      </c>
      <c r="H134" s="23">
        <f>IFERROR(IF(Table57[[#This Row],[Out]]&gt;=Table57[[#This Row],[In]],Table57[[#This Row],[Out]]-Table57[[#This Row],[In]],(0.5+Table57[[#This Row],[Out]])-Table57[[#This Row],[In]]),"")</f>
        <v>0.32203703703703701</v>
      </c>
      <c r="I134" s="31">
        <f>IFERROR(IF(Table57[[#This Row],[In]]&gt;$C$2,Table57[[#This Row],[In]]-$C$2,""),"")</f>
        <v>4.1898148148148406E-3</v>
      </c>
      <c r="J134" s="31">
        <f>IF(Table57[[#This Row],[Work_Hours]]=0,"",(IF(Table57[[#This Row],[Out]]&lt;$C$3,$C$3-Table57[[#This Row],[Out]],"")))</f>
        <v>4.8773148148148149E-2</v>
      </c>
      <c r="K134" s="32">
        <f>IFERROR(Table57[[#This Row],[In]]+$C$1,"")</f>
        <v>0.87918981481481473</v>
      </c>
      <c r="L134" s="29"/>
      <c r="M134" s="31" t="str">
        <f>IF($C$2&gt;Table57[[#This Row],[In]],$C$2-Table57[[#This Row],[In]],"")</f>
        <v/>
      </c>
      <c r="N134" s="29" t="str">
        <f>IFERROR(IF(Table57[[#This Row],[Out]]&gt;$C$3,(Table57[[#This Row],[Out]])-($C$3),""),"")</f>
        <v/>
      </c>
    </row>
    <row r="135" spans="1:14" hidden="1" x14ac:dyDescent="0.25">
      <c r="A135" s="23" t="str">
        <f>Table57[[#This Row],[No.]]&amp;Table57[[#This Row],[Date]]</f>
        <v>2545299</v>
      </c>
      <c r="B135" s="22">
        <f>'Unique Dates'!A132</f>
        <v>25</v>
      </c>
      <c r="C135" s="22" t="str" cm="1">
        <f t="array" ref="C135">_xlfn.XLOOKUP(Table57[[#This Row],[No.]],Table2[[#All],[CODE]],Table2[[#All],[NAME]],,0,1)</f>
        <v>RAMA</v>
      </c>
      <c r="D135" s="6">
        <f>'Unique Dates'!B132</f>
        <v>45299</v>
      </c>
      <c r="E135" t="str">
        <f>TEXT(Table57[[#This Row],[Date]],"dddd")</f>
        <v>Monday</v>
      </c>
      <c r="F135" s="25" cm="1">
        <f t="array" ref="F135">IFERROR(_xlfn.XLOOKUP(Table57[[#This Row],[Code]],Table1[[#All],[Code]],Table1[[#All],[Time]],,0,1),"")</f>
        <v>0.55667824074074079</v>
      </c>
      <c r="G135" s="25" cm="1">
        <f t="array" ref="G135">IFERROR(_xlfn.XLOOKUP(Table57[[#This Row],[Code]],Table1[[#All],[Code]],Table1[[#All],[Time]],,0,-1),"")</f>
        <v>0.85950231481481476</v>
      </c>
      <c r="H135" s="23">
        <f>IFERROR(IF(Table57[[#This Row],[Out]]&gt;=Table57[[#This Row],[In]],Table57[[#This Row],[Out]]-Table57[[#This Row],[In]],(0.5+Table57[[#This Row],[Out]])-Table57[[#This Row],[In]]),"")</f>
        <v>0.30282407407407397</v>
      </c>
      <c r="I135" s="31">
        <f>IFERROR(IF(Table57[[#This Row],[In]]&gt;$C$2,Table57[[#This Row],[In]]-$C$2,""),"")</f>
        <v>1.5011574074074163E-2</v>
      </c>
      <c r="J135" s="31">
        <f>IF(Table57[[#This Row],[Work_Hours]]=0,"",(IF(Table57[[#This Row],[Out]]&lt;$C$3,$C$3-Table57[[#This Row],[Out]],"")))</f>
        <v>5.7164351851851869E-2</v>
      </c>
      <c r="K135" s="32">
        <f>IFERROR(Table57[[#This Row],[In]]+$C$1,"")</f>
        <v>0.89001157407407416</v>
      </c>
      <c r="L135" s="29"/>
      <c r="M135" s="31" t="str">
        <f>IF($C$2&gt;Table57[[#This Row],[In]],$C$2-Table57[[#This Row],[In]],"")</f>
        <v/>
      </c>
      <c r="N135" s="29" t="str">
        <f>IFERROR(IF(Table57[[#This Row],[Out]]&gt;$C$3,(Table57[[#This Row],[Out]])-($C$3),""),"")</f>
        <v/>
      </c>
    </row>
    <row r="136" spans="1:14" hidden="1" x14ac:dyDescent="0.25">
      <c r="A136" s="23" t="str">
        <f>Table57[[#This Row],[No.]]&amp;Table57[[#This Row],[Date]]</f>
        <v>2545300</v>
      </c>
      <c r="B136" s="22">
        <f>'Unique Dates'!A133</f>
        <v>25</v>
      </c>
      <c r="C136" s="22" t="str" cm="1">
        <f t="array" ref="C136">_xlfn.XLOOKUP(Table57[[#This Row],[No.]],Table2[[#All],[CODE]],Table2[[#All],[NAME]],,0,1)</f>
        <v>RAMA</v>
      </c>
      <c r="D136" s="6">
        <f>'Unique Dates'!B133</f>
        <v>45300</v>
      </c>
      <c r="E136" t="str">
        <f>TEXT(Table57[[#This Row],[Date]],"dddd")</f>
        <v>Tuesday</v>
      </c>
      <c r="F136" s="25" cm="1">
        <f t="array" ref="F136">IFERROR(_xlfn.XLOOKUP(Table57[[#This Row],[Code]],Table1[[#All],[Code]],Table1[[#All],[Time]],,0,1),"")</f>
        <v>0.56783564814814813</v>
      </c>
      <c r="G136" s="25" cm="1">
        <f t="array" ref="G136">IFERROR(_xlfn.XLOOKUP(Table57[[#This Row],[Code]],Table1[[#All],[Code]],Table1[[#All],[Time]],,0,-1),"")</f>
        <v>0.87353009259259251</v>
      </c>
      <c r="H136" s="23">
        <f>IFERROR(IF(Table57[[#This Row],[Out]]&gt;=Table57[[#This Row],[In]],Table57[[#This Row],[Out]]-Table57[[#This Row],[In]],(0.5+Table57[[#This Row],[Out]])-Table57[[#This Row],[In]]),"")</f>
        <v>0.30569444444444438</v>
      </c>
      <c r="I136" s="31">
        <f>IFERROR(IF(Table57[[#This Row],[In]]&gt;$C$2,Table57[[#This Row],[In]]-$C$2,""),"")</f>
        <v>2.6168981481481501E-2</v>
      </c>
      <c r="J136" s="31">
        <f>IF(Table57[[#This Row],[Work_Hours]]=0,"",(IF(Table57[[#This Row],[Out]]&lt;$C$3,$C$3-Table57[[#This Row],[Out]],"")))</f>
        <v>4.3136574074074119E-2</v>
      </c>
      <c r="K136" s="32">
        <f>IFERROR(Table57[[#This Row],[In]]+$C$1,"")</f>
        <v>0.90116898148148139</v>
      </c>
      <c r="L136" s="29"/>
      <c r="M136" s="31" t="str">
        <f>IF($C$2&gt;Table57[[#This Row],[In]],$C$2-Table57[[#This Row],[In]],"")</f>
        <v/>
      </c>
      <c r="N136" s="29" t="str">
        <f>IFERROR(IF(Table57[[#This Row],[Out]]&gt;$C$3,(Table57[[#This Row],[Out]])-($C$3),""),"")</f>
        <v/>
      </c>
    </row>
    <row r="137" spans="1:14" hidden="1" x14ac:dyDescent="0.25">
      <c r="A137" s="23" t="str">
        <f>Table57[[#This Row],[No.]]&amp;Table57[[#This Row],[Date]]</f>
        <v>2545301</v>
      </c>
      <c r="B137" s="22">
        <f>'Unique Dates'!A134</f>
        <v>25</v>
      </c>
      <c r="C137" s="22" t="str" cm="1">
        <f t="array" ref="C137">_xlfn.XLOOKUP(Table57[[#This Row],[No.]],Table2[[#All],[CODE]],Table2[[#All],[NAME]],,0,1)</f>
        <v>RAMA</v>
      </c>
      <c r="D137" s="6">
        <f>'Unique Dates'!B134</f>
        <v>45301</v>
      </c>
      <c r="E137" t="str">
        <f>TEXT(Table57[[#This Row],[Date]],"dddd")</f>
        <v>Wednesday</v>
      </c>
      <c r="F137" s="25" cm="1">
        <f t="array" ref="F137">IFERROR(_xlfn.XLOOKUP(Table57[[#This Row],[Code]],Table1[[#All],[Code]],Table1[[#All],[Time]],,0,1),"")</f>
        <v>0.5472569444444445</v>
      </c>
      <c r="G137" s="25" cm="1">
        <f t="array" ref="G137">IFERROR(_xlfn.XLOOKUP(Table57[[#This Row],[Code]],Table1[[#All],[Code]],Table1[[#All],[Time]],,0,-1),"")</f>
        <v>0.82990740740740743</v>
      </c>
      <c r="H137" s="23">
        <f>IFERROR(IF(Table57[[#This Row],[Out]]&gt;=Table57[[#This Row],[In]],Table57[[#This Row],[Out]]-Table57[[#This Row],[In]],(0.5+Table57[[#This Row],[Out]])-Table57[[#This Row],[In]]),"")</f>
        <v>0.28265046296296292</v>
      </c>
      <c r="I137" s="31">
        <f>IFERROR(IF(Table57[[#This Row],[In]]&gt;$C$2,Table57[[#This Row],[In]]-$C$2,""),"")</f>
        <v>5.5902777777778745E-3</v>
      </c>
      <c r="J137" s="31">
        <f>IF(Table57[[#This Row],[Work_Hours]]=0,"",(IF(Table57[[#This Row],[Out]]&lt;$C$3,$C$3-Table57[[#This Row],[Out]],"")))</f>
        <v>8.6759259259259203E-2</v>
      </c>
      <c r="K137" s="32">
        <f>IFERROR(Table57[[#This Row],[In]]+$C$1,"")</f>
        <v>0.88059027777777787</v>
      </c>
      <c r="L137" s="29"/>
      <c r="M137" s="31" t="str">
        <f>IF($C$2&gt;Table57[[#This Row],[In]],$C$2-Table57[[#This Row],[In]],"")</f>
        <v/>
      </c>
      <c r="N137" s="29" t="str">
        <f>IFERROR(IF(Table57[[#This Row],[Out]]&gt;$C$3,(Table57[[#This Row],[Out]])-($C$3),""),"")</f>
        <v/>
      </c>
    </row>
    <row r="138" spans="1:14" hidden="1" x14ac:dyDescent="0.25">
      <c r="A138" s="23" t="str">
        <f>Table57[[#This Row],[No.]]&amp;Table57[[#This Row],[Date]]</f>
        <v>2545304</v>
      </c>
      <c r="B138" s="22">
        <f>'Unique Dates'!A135</f>
        <v>25</v>
      </c>
      <c r="C138" s="22" t="str" cm="1">
        <f t="array" ref="C138">_xlfn.XLOOKUP(Table57[[#This Row],[No.]],Table2[[#All],[CODE]],Table2[[#All],[NAME]],,0,1)</f>
        <v>RAMA</v>
      </c>
      <c r="D138" s="6">
        <f>'Unique Dates'!B135</f>
        <v>45304</v>
      </c>
      <c r="E138" t="str">
        <f>TEXT(Table57[[#This Row],[Date]],"dddd")</f>
        <v>Saturday</v>
      </c>
      <c r="F138" s="25" cm="1">
        <f t="array" ref="F138">IFERROR(_xlfn.XLOOKUP(Table57[[#This Row],[Code]],Table1[[#All],[Code]],Table1[[#All],[Time]],,0,1),"")</f>
        <v>0.87872685185185195</v>
      </c>
      <c r="G138" s="25" cm="1">
        <f t="array" ref="G138">IFERROR(_xlfn.XLOOKUP(Table57[[#This Row],[Code]],Table1[[#All],[Code]],Table1[[#All],[Time]],,0,-1),"")</f>
        <v>0.87872685185185195</v>
      </c>
      <c r="H138" s="23">
        <f>IFERROR(IF(Table57[[#This Row],[Out]]&gt;=Table57[[#This Row],[In]],Table57[[#This Row],[Out]]-Table57[[#This Row],[In]],(0.5+Table57[[#This Row],[Out]])-Table57[[#This Row],[In]]),"")</f>
        <v>0</v>
      </c>
      <c r="I138" s="31">
        <f>IFERROR(IF(Table57[[#This Row],[In]]&gt;$C$2,Table57[[#This Row],[In]]-$C$2,""),"")</f>
        <v>0.33706018518518532</v>
      </c>
      <c r="J138" s="31" t="str">
        <f>IF(Table57[[#This Row],[Work_Hours]]=0,"",(IF(Table57[[#This Row],[Out]]&lt;$C$3,$C$3-Table57[[#This Row],[Out]],"")))</f>
        <v/>
      </c>
      <c r="K138" s="32">
        <f>IFERROR(Table57[[#This Row],[In]]+$C$1,"")</f>
        <v>1.2120601851851853</v>
      </c>
      <c r="L138" s="29"/>
      <c r="M138" s="31" t="str">
        <f>IF($C$2&gt;Table57[[#This Row],[In]],$C$2-Table57[[#This Row],[In]],"")</f>
        <v/>
      </c>
      <c r="N138" s="29" t="str">
        <f>IFERROR(IF(Table57[[#This Row],[Out]]&gt;$C$3,(Table57[[#This Row],[Out]])-($C$3),""),"")</f>
        <v/>
      </c>
    </row>
    <row r="139" spans="1:14" hidden="1" x14ac:dyDescent="0.25">
      <c r="A139" s="23" t="str">
        <f>Table57[[#This Row],[No.]]&amp;Table57[[#This Row],[Date]]</f>
        <v>2545305</v>
      </c>
      <c r="B139" s="22">
        <f>'Unique Dates'!A136</f>
        <v>25</v>
      </c>
      <c r="C139" s="22" t="str" cm="1">
        <f t="array" ref="C139">_xlfn.XLOOKUP(Table57[[#This Row],[No.]],Table2[[#All],[CODE]],Table2[[#All],[NAME]],,0,1)</f>
        <v>RAMA</v>
      </c>
      <c r="D139" s="6">
        <f>'Unique Dates'!B136</f>
        <v>45305</v>
      </c>
      <c r="E139" t="str">
        <f>TEXT(Table57[[#This Row],[Date]],"dddd")</f>
        <v>Sunday</v>
      </c>
      <c r="F139" s="25" cm="1">
        <f t="array" ref="F139">IFERROR(_xlfn.XLOOKUP(Table57[[#This Row],[Code]],Table1[[#All],[Code]],Table1[[#All],[Time]],,0,1),"")</f>
        <v>0.54728009259259258</v>
      </c>
      <c r="G139" s="25" cm="1">
        <f t="array" ref="G139">IFERROR(_xlfn.XLOOKUP(Table57[[#This Row],[Code]],Table1[[#All],[Code]],Table1[[#All],[Time]],,0,-1),"")</f>
        <v>0.87179398148148157</v>
      </c>
      <c r="H139" s="23">
        <f>IFERROR(IF(Table57[[#This Row],[Out]]&gt;=Table57[[#This Row],[In]],Table57[[#This Row],[Out]]-Table57[[#This Row],[In]],(0.5+Table57[[#This Row],[Out]])-Table57[[#This Row],[In]]),"")</f>
        <v>0.32451388888888899</v>
      </c>
      <c r="I139" s="31">
        <f>IFERROR(IF(Table57[[#This Row],[In]]&gt;$C$2,Table57[[#This Row],[In]]-$C$2,""),"")</f>
        <v>5.6134259259259522E-3</v>
      </c>
      <c r="J139" s="31">
        <f>IF(Table57[[#This Row],[Work_Hours]]=0,"",(IF(Table57[[#This Row],[Out]]&lt;$C$3,$C$3-Table57[[#This Row],[Out]],"")))</f>
        <v>4.4872685185185057E-2</v>
      </c>
      <c r="K139" s="32">
        <f>IFERROR(Table57[[#This Row],[In]]+$C$1,"")</f>
        <v>0.88061342592592595</v>
      </c>
      <c r="L139" s="29"/>
      <c r="M139" s="31" t="str">
        <f>IF($C$2&gt;Table57[[#This Row],[In]],$C$2-Table57[[#This Row],[In]],"")</f>
        <v/>
      </c>
      <c r="N139" s="29" t="str">
        <f>IFERROR(IF(Table57[[#This Row],[Out]]&gt;$C$3,(Table57[[#This Row],[Out]])-($C$3),""),"")</f>
        <v/>
      </c>
    </row>
    <row r="140" spans="1:14" hidden="1" x14ac:dyDescent="0.25">
      <c r="A140" s="23" t="str">
        <f>Table57[[#This Row],[No.]]&amp;Table57[[#This Row],[Date]]</f>
        <v>2545306</v>
      </c>
      <c r="B140" s="22">
        <f>'Unique Dates'!A137</f>
        <v>25</v>
      </c>
      <c r="C140" s="22" t="str" cm="1">
        <f t="array" ref="C140">_xlfn.XLOOKUP(Table57[[#This Row],[No.]],Table2[[#All],[CODE]],Table2[[#All],[NAME]],,0,1)</f>
        <v>RAMA</v>
      </c>
      <c r="D140" s="6">
        <f>'Unique Dates'!B137</f>
        <v>45306</v>
      </c>
      <c r="E140" t="str">
        <f>TEXT(Table57[[#This Row],[Date]],"dddd")</f>
        <v>Monday</v>
      </c>
      <c r="F140" s="25" cm="1">
        <f t="array" ref="F140">IFERROR(_xlfn.XLOOKUP(Table57[[#This Row],[Code]],Table1[[#All],[Code]],Table1[[#All],[Time]],,0,1),"")</f>
        <v>0.56056712962962962</v>
      </c>
      <c r="G140" s="25" cm="1">
        <f t="array" ref="G140">IFERROR(_xlfn.XLOOKUP(Table57[[#This Row],[Code]],Table1[[#All],[Code]],Table1[[#All],[Time]],,0,-1),"")</f>
        <v>0.56056712962962962</v>
      </c>
      <c r="H140" s="23">
        <f>IFERROR(IF(Table57[[#This Row],[Out]]&gt;=Table57[[#This Row],[In]],Table57[[#This Row],[Out]]-Table57[[#This Row],[In]],(0.5+Table57[[#This Row],[Out]])-Table57[[#This Row],[In]]),"")</f>
        <v>0</v>
      </c>
      <c r="I140" s="31">
        <f>IFERROR(IF(Table57[[#This Row],[In]]&gt;$C$2,Table57[[#This Row],[In]]-$C$2,""),"")</f>
        <v>1.8900462962962994E-2</v>
      </c>
      <c r="J140" s="31" t="str">
        <f>IF(Table57[[#This Row],[Work_Hours]]=0,"",(IF(Table57[[#This Row],[Out]]&lt;$C$3,$C$3-Table57[[#This Row],[Out]],"")))</f>
        <v/>
      </c>
      <c r="K140" s="32">
        <f>IFERROR(Table57[[#This Row],[In]]+$C$1,"")</f>
        <v>0.89390046296296299</v>
      </c>
      <c r="L140" s="29"/>
      <c r="M140" s="31" t="str">
        <f>IF($C$2&gt;Table57[[#This Row],[In]],$C$2-Table57[[#This Row],[In]],"")</f>
        <v/>
      </c>
      <c r="N140" s="29" t="str">
        <f>IFERROR(IF(Table57[[#This Row],[Out]]&gt;$C$3,(Table57[[#This Row],[Out]])-($C$3),""),"")</f>
        <v/>
      </c>
    </row>
    <row r="141" spans="1:14" hidden="1" x14ac:dyDescent="0.25">
      <c r="A141" s="23" t="str">
        <f>Table57[[#This Row],[No.]]&amp;Table57[[#This Row],[Date]]</f>
        <v>2545307</v>
      </c>
      <c r="B141" s="22">
        <f>'Unique Dates'!A138</f>
        <v>25</v>
      </c>
      <c r="C141" s="22" t="str" cm="1">
        <f t="array" ref="C141">_xlfn.XLOOKUP(Table57[[#This Row],[No.]],Table2[[#All],[CODE]],Table2[[#All],[NAME]],,0,1)</f>
        <v>RAMA</v>
      </c>
      <c r="D141" s="6">
        <f>'Unique Dates'!B138</f>
        <v>45307</v>
      </c>
      <c r="E141" t="str">
        <f>TEXT(Table57[[#This Row],[Date]],"dddd")</f>
        <v>Tuesday</v>
      </c>
      <c r="F141" s="25" cm="1">
        <f t="array" ref="F141">IFERROR(_xlfn.XLOOKUP(Table57[[#This Row],[Code]],Table1[[#All],[Code]],Table1[[#All],[Time]],,0,1),"")</f>
        <v>0.55902777777777779</v>
      </c>
      <c r="G141" s="25" cm="1">
        <f t="array" ref="G141">IFERROR(_xlfn.XLOOKUP(Table57[[#This Row],[Code]],Table1[[#All],[Code]],Table1[[#All],[Time]],,0,-1),"")</f>
        <v>0.55902777777777779</v>
      </c>
      <c r="H141" s="23">
        <f>IFERROR(IF(Table57[[#This Row],[Out]]&gt;=Table57[[#This Row],[In]],Table57[[#This Row],[Out]]-Table57[[#This Row],[In]],(0.5+Table57[[#This Row],[Out]])-Table57[[#This Row],[In]]),"")</f>
        <v>0</v>
      </c>
      <c r="I141" s="31">
        <f>IFERROR(IF(Table57[[#This Row],[In]]&gt;$C$2,Table57[[#This Row],[In]]-$C$2,""),"")</f>
        <v>1.736111111111116E-2</v>
      </c>
      <c r="J141" s="31" t="str">
        <f>IF(Table57[[#This Row],[Work_Hours]]=0,"",(IF(Table57[[#This Row],[Out]]&lt;$C$3,$C$3-Table57[[#This Row],[Out]],"")))</f>
        <v/>
      </c>
      <c r="K141" s="32">
        <f>IFERROR(Table57[[#This Row],[In]]+$C$1,"")</f>
        <v>0.89236111111111116</v>
      </c>
      <c r="L141" s="29"/>
      <c r="M141" s="31" t="str">
        <f>IF($C$2&gt;Table57[[#This Row],[In]],$C$2-Table57[[#This Row],[In]],"")</f>
        <v/>
      </c>
      <c r="N141" s="29" t="str">
        <f>IFERROR(IF(Table57[[#This Row],[Out]]&gt;$C$3,(Table57[[#This Row],[Out]])-($C$3),""),"")</f>
        <v/>
      </c>
    </row>
    <row r="142" spans="1:14" hidden="1" x14ac:dyDescent="0.25">
      <c r="A142" s="23" t="str">
        <f>Table57[[#This Row],[No.]]&amp;Table57[[#This Row],[Date]]</f>
        <v>2545308</v>
      </c>
      <c r="B142" s="22">
        <f>'Unique Dates'!A139</f>
        <v>25</v>
      </c>
      <c r="C142" s="22" t="str" cm="1">
        <f t="array" ref="C142">_xlfn.XLOOKUP(Table57[[#This Row],[No.]],Table2[[#All],[CODE]],Table2[[#All],[NAME]],,0,1)</f>
        <v>RAMA</v>
      </c>
      <c r="D142" s="6">
        <f>'Unique Dates'!B139</f>
        <v>45308</v>
      </c>
      <c r="E142" t="str">
        <f>TEXT(Table57[[#This Row],[Date]],"dddd")</f>
        <v>Wednesday</v>
      </c>
      <c r="F142" s="25" cm="1">
        <f t="array" ref="F142">IFERROR(_xlfn.XLOOKUP(Table57[[#This Row],[Code]],Table1[[#All],[Code]],Table1[[#All],[Time]],,0,1),"")</f>
        <v>0.56833333333333336</v>
      </c>
      <c r="G142" s="25" cm="1">
        <f t="array" ref="G142">IFERROR(_xlfn.XLOOKUP(Table57[[#This Row],[Code]],Table1[[#All],[Code]],Table1[[#All],[Time]],,0,-1),"")</f>
        <v>0.88079861111111113</v>
      </c>
      <c r="H142" s="23">
        <f>IFERROR(IF(Table57[[#This Row],[Out]]&gt;=Table57[[#This Row],[In]],Table57[[#This Row],[Out]]-Table57[[#This Row],[In]],(0.5+Table57[[#This Row],[Out]])-Table57[[#This Row],[In]]),"")</f>
        <v>0.31246527777777777</v>
      </c>
      <c r="I142" s="31">
        <f>IFERROR(IF(Table57[[#This Row],[In]]&gt;$C$2,Table57[[#This Row],[In]]-$C$2,""),"")</f>
        <v>2.6666666666666727E-2</v>
      </c>
      <c r="J142" s="31">
        <f>IF(Table57[[#This Row],[Work_Hours]]=0,"",(IF(Table57[[#This Row],[Out]]&lt;$C$3,$C$3-Table57[[#This Row],[Out]],"")))</f>
        <v>3.58680555555555E-2</v>
      </c>
      <c r="K142" s="32">
        <f>IFERROR(Table57[[#This Row],[In]]+$C$1,"")</f>
        <v>0.90166666666666662</v>
      </c>
      <c r="L142" s="29"/>
      <c r="M142" s="31" t="str">
        <f>IF($C$2&gt;Table57[[#This Row],[In]],$C$2-Table57[[#This Row],[In]],"")</f>
        <v/>
      </c>
      <c r="N142" s="29" t="str">
        <f>IFERROR(IF(Table57[[#This Row],[Out]]&gt;$C$3,(Table57[[#This Row],[Out]])-($C$3),""),"")</f>
        <v/>
      </c>
    </row>
    <row r="143" spans="1:14" hidden="1" x14ac:dyDescent="0.25">
      <c r="A143" s="23" t="str">
        <f>Table57[[#This Row],[No.]]&amp;Table57[[#This Row],[Date]]</f>
        <v>2545311</v>
      </c>
      <c r="B143" s="22">
        <f>'Unique Dates'!A140</f>
        <v>25</v>
      </c>
      <c r="C143" s="22" t="str" cm="1">
        <f t="array" ref="C143">_xlfn.XLOOKUP(Table57[[#This Row],[No.]],Table2[[#All],[CODE]],Table2[[#All],[NAME]],,0,1)</f>
        <v>RAMA</v>
      </c>
      <c r="D143" s="6">
        <f>'Unique Dates'!B140</f>
        <v>45311</v>
      </c>
      <c r="E143" t="str">
        <f>TEXT(Table57[[#This Row],[Date]],"dddd")</f>
        <v>Saturday</v>
      </c>
      <c r="F143" s="25" cm="1">
        <f t="array" ref="F143">IFERROR(_xlfn.XLOOKUP(Table57[[#This Row],[Code]],Table1[[#All],[Code]],Table1[[#All],[Time]],,0,1),"")</f>
        <v>0.56641203703703702</v>
      </c>
      <c r="G143" s="25" cm="1">
        <f t="array" ref="G143">IFERROR(_xlfn.XLOOKUP(Table57[[#This Row],[Code]],Table1[[#All],[Code]],Table1[[#All],[Time]],,0,-1),"")</f>
        <v>0.88224537037037043</v>
      </c>
      <c r="H143" s="23">
        <f>IFERROR(IF(Table57[[#This Row],[Out]]&gt;=Table57[[#This Row],[In]],Table57[[#This Row],[Out]]-Table57[[#This Row],[In]],(0.5+Table57[[#This Row],[Out]])-Table57[[#This Row],[In]]),"")</f>
        <v>0.31583333333333341</v>
      </c>
      <c r="I143" s="31">
        <f>IFERROR(IF(Table57[[#This Row],[In]]&gt;$C$2,Table57[[#This Row],[In]]-$C$2,""),"")</f>
        <v>2.474537037037039E-2</v>
      </c>
      <c r="J143" s="31">
        <f>IF(Table57[[#This Row],[Work_Hours]]=0,"",(IF(Table57[[#This Row],[Out]]&lt;$C$3,$C$3-Table57[[#This Row],[Out]],"")))</f>
        <v>3.44212962962962E-2</v>
      </c>
      <c r="K143" s="32">
        <f>IFERROR(Table57[[#This Row],[In]]+$C$1,"")</f>
        <v>0.89974537037037039</v>
      </c>
      <c r="L143" s="29"/>
      <c r="M143" s="31" t="str">
        <f>IF($C$2&gt;Table57[[#This Row],[In]],$C$2-Table57[[#This Row],[In]],"")</f>
        <v/>
      </c>
      <c r="N143" s="29" t="str">
        <f>IFERROR(IF(Table57[[#This Row],[Out]]&gt;$C$3,(Table57[[#This Row],[Out]])-($C$3),""),"")</f>
        <v/>
      </c>
    </row>
    <row r="144" spans="1:14" hidden="1" x14ac:dyDescent="0.25">
      <c r="A144" s="23" t="str">
        <f>Table57[[#This Row],[No.]]&amp;Table57[[#This Row],[Date]]</f>
        <v>2545312</v>
      </c>
      <c r="B144" s="22">
        <f>'Unique Dates'!A141</f>
        <v>25</v>
      </c>
      <c r="C144" s="22" t="str" cm="1">
        <f t="array" ref="C144">_xlfn.XLOOKUP(Table57[[#This Row],[No.]],Table2[[#All],[CODE]],Table2[[#All],[NAME]],,0,1)</f>
        <v>RAMA</v>
      </c>
      <c r="D144" s="6">
        <f>'Unique Dates'!B141</f>
        <v>45312</v>
      </c>
      <c r="E144" t="str">
        <f>TEXT(Table57[[#This Row],[Date]],"dddd")</f>
        <v>Sunday</v>
      </c>
      <c r="F144" s="25" cm="1">
        <f t="array" ref="F144">IFERROR(_xlfn.XLOOKUP(Table57[[#This Row],[Code]],Table1[[#All],[Code]],Table1[[#All],[Time]],,0,1),"")</f>
        <v>0.5554513888888889</v>
      </c>
      <c r="G144" s="25" cm="1">
        <f t="array" ref="G144">IFERROR(_xlfn.XLOOKUP(Table57[[#This Row],[Code]],Table1[[#All],[Code]],Table1[[#All],[Time]],,0,-1),"")</f>
        <v>0.87709490740740748</v>
      </c>
      <c r="H144" s="23">
        <f>IFERROR(IF(Table57[[#This Row],[Out]]&gt;=Table57[[#This Row],[In]],Table57[[#This Row],[Out]]-Table57[[#This Row],[In]],(0.5+Table57[[#This Row],[Out]])-Table57[[#This Row],[In]]),"")</f>
        <v>0.32164351851851858</v>
      </c>
      <c r="I144" s="31">
        <f>IFERROR(IF(Table57[[#This Row],[In]]&gt;$C$2,Table57[[#This Row],[In]]-$C$2,""),"")</f>
        <v>1.3784722222222268E-2</v>
      </c>
      <c r="J144" s="31">
        <f>IF(Table57[[#This Row],[Work_Hours]]=0,"",(IF(Table57[[#This Row],[Out]]&lt;$C$3,$C$3-Table57[[#This Row],[Out]],"")))</f>
        <v>3.9571759259259154E-2</v>
      </c>
      <c r="K144" s="32">
        <f>IFERROR(Table57[[#This Row],[In]]+$C$1,"")</f>
        <v>0.88878472222222227</v>
      </c>
      <c r="L144" s="29"/>
      <c r="M144" s="31" t="str">
        <f>IF($C$2&gt;Table57[[#This Row],[In]],$C$2-Table57[[#This Row],[In]],"")</f>
        <v/>
      </c>
      <c r="N144" s="29" t="str">
        <f>IFERROR(IF(Table57[[#This Row],[Out]]&gt;$C$3,(Table57[[#This Row],[Out]])-($C$3),""),"")</f>
        <v/>
      </c>
    </row>
    <row r="145" spans="1:14" hidden="1" x14ac:dyDescent="0.25">
      <c r="A145" s="23" t="str">
        <f>Table57[[#This Row],[No.]]&amp;Table57[[#This Row],[Date]]</f>
        <v>2545313</v>
      </c>
      <c r="B145" s="22">
        <f>'Unique Dates'!A142</f>
        <v>25</v>
      </c>
      <c r="C145" s="22" t="str" cm="1">
        <f t="array" ref="C145">_xlfn.XLOOKUP(Table57[[#This Row],[No.]],Table2[[#All],[CODE]],Table2[[#All],[NAME]],,0,1)</f>
        <v>RAMA</v>
      </c>
      <c r="D145" s="6">
        <f>'Unique Dates'!B142</f>
        <v>45313</v>
      </c>
      <c r="E145" t="str">
        <f>TEXT(Table57[[#This Row],[Date]],"dddd")</f>
        <v>Monday</v>
      </c>
      <c r="F145" s="25" cm="1">
        <f t="array" ref="F145">IFERROR(_xlfn.XLOOKUP(Table57[[#This Row],[Code]],Table1[[#All],[Code]],Table1[[#All],[Time]],,0,1),"")</f>
        <v>0.55204861111111114</v>
      </c>
      <c r="G145" s="25" cm="1">
        <f t="array" ref="G145">IFERROR(_xlfn.XLOOKUP(Table57[[#This Row],[Code]],Table1[[#All],[Code]],Table1[[#All],[Time]],,0,-1),"")</f>
        <v>0.55204861111111114</v>
      </c>
      <c r="H145" s="23">
        <f>IFERROR(IF(Table57[[#This Row],[Out]]&gt;=Table57[[#This Row],[In]],Table57[[#This Row],[Out]]-Table57[[#This Row],[In]],(0.5+Table57[[#This Row],[Out]])-Table57[[#This Row],[In]]),"")</f>
        <v>0</v>
      </c>
      <c r="I145" s="31">
        <f>IFERROR(IF(Table57[[#This Row],[In]]&gt;$C$2,Table57[[#This Row],[In]]-$C$2,""),"")</f>
        <v>1.0381944444444513E-2</v>
      </c>
      <c r="J145" s="31" t="str">
        <f>IF(Table57[[#This Row],[Work_Hours]]=0,"",(IF(Table57[[#This Row],[Out]]&lt;$C$3,$C$3-Table57[[#This Row],[Out]],"")))</f>
        <v/>
      </c>
      <c r="K145" s="32">
        <f>IFERROR(Table57[[#This Row],[In]]+$C$1,"")</f>
        <v>0.8853819444444444</v>
      </c>
      <c r="L145" s="29"/>
      <c r="M145" s="31" t="str">
        <f>IF($C$2&gt;Table57[[#This Row],[In]],$C$2-Table57[[#This Row],[In]],"")</f>
        <v/>
      </c>
      <c r="N145" s="29" t="str">
        <f>IFERROR(IF(Table57[[#This Row],[Out]]&gt;$C$3,(Table57[[#This Row],[Out]])-($C$3),""),"")</f>
        <v/>
      </c>
    </row>
    <row r="146" spans="1:14" hidden="1" x14ac:dyDescent="0.25">
      <c r="A146" s="23" t="str">
        <f>Table57[[#This Row],[No.]]&amp;Table57[[#This Row],[Date]]</f>
        <v>2545314</v>
      </c>
      <c r="B146" s="22">
        <f>'Unique Dates'!A143</f>
        <v>25</v>
      </c>
      <c r="C146" s="22" t="str" cm="1">
        <f t="array" ref="C146">_xlfn.XLOOKUP(Table57[[#This Row],[No.]],Table2[[#All],[CODE]],Table2[[#All],[NAME]],,0,1)</f>
        <v>RAMA</v>
      </c>
      <c r="D146" s="6">
        <f>'Unique Dates'!B143</f>
        <v>45314</v>
      </c>
      <c r="E146" t="str">
        <f>TEXT(Table57[[#This Row],[Date]],"dddd")</f>
        <v>Tuesday</v>
      </c>
      <c r="F146" s="25" cm="1">
        <f t="array" ref="F146">IFERROR(_xlfn.XLOOKUP(Table57[[#This Row],[Code]],Table1[[#All],[Code]],Table1[[#All],[Time]],,0,1),"")</f>
        <v>0.55636574074074074</v>
      </c>
      <c r="G146" s="25" cm="1">
        <f t="array" ref="G146">IFERROR(_xlfn.XLOOKUP(Table57[[#This Row],[Code]],Table1[[#All],[Code]],Table1[[#All],[Time]],,0,-1),"")</f>
        <v>0.55636574074074074</v>
      </c>
      <c r="H146" s="23">
        <f>IFERROR(IF(Table57[[#This Row],[Out]]&gt;=Table57[[#This Row],[In]],Table57[[#This Row],[Out]]-Table57[[#This Row],[In]],(0.5+Table57[[#This Row],[Out]])-Table57[[#This Row],[In]]),"")</f>
        <v>0</v>
      </c>
      <c r="I146" s="31">
        <f>IFERROR(IF(Table57[[#This Row],[In]]&gt;$C$2,Table57[[#This Row],[In]]-$C$2,""),"")</f>
        <v>1.4699074074074114E-2</v>
      </c>
      <c r="J146" s="31" t="str">
        <f>IF(Table57[[#This Row],[Work_Hours]]=0,"",(IF(Table57[[#This Row],[Out]]&lt;$C$3,$C$3-Table57[[#This Row],[Out]],"")))</f>
        <v/>
      </c>
      <c r="K146" s="32">
        <f>IFERROR(Table57[[#This Row],[In]]+$C$1,"")</f>
        <v>0.889699074074074</v>
      </c>
      <c r="L146" s="29"/>
      <c r="M146" s="31" t="str">
        <f>IF($C$2&gt;Table57[[#This Row],[In]],$C$2-Table57[[#This Row],[In]],"")</f>
        <v/>
      </c>
      <c r="N146" s="29" t="str">
        <f>IFERROR(IF(Table57[[#This Row],[Out]]&gt;$C$3,(Table57[[#This Row],[Out]])-($C$3),""),"")</f>
        <v/>
      </c>
    </row>
    <row r="147" spans="1:14" hidden="1" x14ac:dyDescent="0.25">
      <c r="A147" s="23" t="str">
        <f>Table57[[#This Row],[No.]]&amp;Table57[[#This Row],[Date]]</f>
        <v>2545317</v>
      </c>
      <c r="B147" s="22">
        <f>'Unique Dates'!A144</f>
        <v>25</v>
      </c>
      <c r="C147" s="22" t="str" cm="1">
        <f t="array" ref="C147">_xlfn.XLOOKUP(Table57[[#This Row],[No.]],Table2[[#All],[CODE]],Table2[[#All],[NAME]],,0,1)</f>
        <v>RAMA</v>
      </c>
      <c r="D147" s="6">
        <f>'Unique Dates'!B144</f>
        <v>45317</v>
      </c>
      <c r="E147" t="str">
        <f>TEXT(Table57[[#This Row],[Date]],"dddd")</f>
        <v>Friday</v>
      </c>
      <c r="F147" s="25" cm="1">
        <f t="array" ref="F147">IFERROR(_xlfn.XLOOKUP(Table57[[#This Row],[Code]],Table1[[#All],[Code]],Table1[[#All],[Time]],,0,1),"")</f>
        <v>0.55134259259259266</v>
      </c>
      <c r="G147" s="25" cm="1">
        <f t="array" ref="G147">IFERROR(_xlfn.XLOOKUP(Table57[[#This Row],[Code]],Table1[[#All],[Code]],Table1[[#All],[Time]],,0,-1),"")</f>
        <v>0.86811342592592589</v>
      </c>
      <c r="H147" s="23">
        <f>IFERROR(IF(Table57[[#This Row],[Out]]&gt;=Table57[[#This Row],[In]],Table57[[#This Row],[Out]]-Table57[[#This Row],[In]],(0.5+Table57[[#This Row],[Out]])-Table57[[#This Row],[In]]),"")</f>
        <v>0.31677083333333322</v>
      </c>
      <c r="I147" s="31">
        <f>IFERROR(IF(Table57[[#This Row],[In]]&gt;$C$2,Table57[[#This Row],[In]]-$C$2,""),"")</f>
        <v>9.6759259259260322E-3</v>
      </c>
      <c r="J147" s="31">
        <f>IF(Table57[[#This Row],[Work_Hours]]=0,"",(IF(Table57[[#This Row],[Out]]&lt;$C$3,$C$3-Table57[[#This Row],[Out]],"")))</f>
        <v>4.8553240740740744E-2</v>
      </c>
      <c r="K147" s="32">
        <f>IFERROR(Table57[[#This Row],[In]]+$C$1,"")</f>
        <v>0.88467592592592603</v>
      </c>
      <c r="L147" s="29"/>
      <c r="M147" s="31" t="str">
        <f>IF($C$2&gt;Table57[[#This Row],[In]],$C$2-Table57[[#This Row],[In]],"")</f>
        <v/>
      </c>
      <c r="N147" s="29" t="str">
        <f>IFERROR(IF(Table57[[#This Row],[Out]]&gt;$C$3,(Table57[[#This Row],[Out]])-($C$3),""),"")</f>
        <v/>
      </c>
    </row>
    <row r="148" spans="1:14" hidden="1" x14ac:dyDescent="0.25">
      <c r="A148" s="23" t="str">
        <f>Table57[[#This Row],[No.]]&amp;Table57[[#This Row],[Date]]</f>
        <v>2545318</v>
      </c>
      <c r="B148" s="22">
        <f>'Unique Dates'!A145</f>
        <v>25</v>
      </c>
      <c r="C148" s="22" t="str" cm="1">
        <f t="array" ref="C148">_xlfn.XLOOKUP(Table57[[#This Row],[No.]],Table2[[#All],[CODE]],Table2[[#All],[NAME]],,0,1)</f>
        <v>RAMA</v>
      </c>
      <c r="D148" s="6">
        <f>'Unique Dates'!B145</f>
        <v>45318</v>
      </c>
      <c r="E148" t="str">
        <f>TEXT(Table57[[#This Row],[Date]],"dddd")</f>
        <v>Saturday</v>
      </c>
      <c r="F148" s="25" cm="1">
        <f t="array" ref="F148">IFERROR(_xlfn.XLOOKUP(Table57[[#This Row],[Code]],Table1[[#All],[Code]],Table1[[#All],[Time]],,0,1),"")</f>
        <v>0.55202546296296295</v>
      </c>
      <c r="G148" s="25" cm="1">
        <f t="array" ref="G148">IFERROR(_xlfn.XLOOKUP(Table57[[#This Row],[Code]],Table1[[#All],[Code]],Table1[[#All],[Time]],,0,-1),"")</f>
        <v>0.8835763888888889</v>
      </c>
      <c r="H148" s="23">
        <f>IFERROR(IF(Table57[[#This Row],[Out]]&gt;=Table57[[#This Row],[In]],Table57[[#This Row],[Out]]-Table57[[#This Row],[In]],(0.5+Table57[[#This Row],[Out]])-Table57[[#This Row],[In]]),"")</f>
        <v>0.33155092592592594</v>
      </c>
      <c r="I148" s="31">
        <f>IFERROR(IF(Table57[[#This Row],[In]]&gt;$C$2,Table57[[#This Row],[In]]-$C$2,""),"")</f>
        <v>1.0358796296296324E-2</v>
      </c>
      <c r="J148" s="31">
        <f>IF(Table57[[#This Row],[Work_Hours]]=0,"",(IF(Table57[[#This Row],[Out]]&lt;$C$3,$C$3-Table57[[#This Row],[Out]],"")))</f>
        <v>3.3090277777777732E-2</v>
      </c>
      <c r="K148" s="32">
        <f>IFERROR(Table57[[#This Row],[In]]+$C$1,"")</f>
        <v>0.88535879629629632</v>
      </c>
      <c r="L148" s="29"/>
      <c r="M148" s="31" t="str">
        <f>IF($C$2&gt;Table57[[#This Row],[In]],$C$2-Table57[[#This Row],[In]],"")</f>
        <v/>
      </c>
      <c r="N148" s="29" t="str">
        <f>IFERROR(IF(Table57[[#This Row],[Out]]&gt;$C$3,(Table57[[#This Row],[Out]])-($C$3),""),"")</f>
        <v/>
      </c>
    </row>
    <row r="149" spans="1:14" hidden="1" x14ac:dyDescent="0.25">
      <c r="A149" s="23" t="str">
        <f>Table57[[#This Row],[No.]]&amp;Table57[[#This Row],[Date]]</f>
        <v>2545319</v>
      </c>
      <c r="B149" s="22">
        <f>'Unique Dates'!A146</f>
        <v>25</v>
      </c>
      <c r="C149" s="22" t="str" cm="1">
        <f t="array" ref="C149">_xlfn.XLOOKUP(Table57[[#This Row],[No.]],Table2[[#All],[CODE]],Table2[[#All],[NAME]],,0,1)</f>
        <v>RAMA</v>
      </c>
      <c r="D149" s="6">
        <f>'Unique Dates'!B146</f>
        <v>45319</v>
      </c>
      <c r="E149" t="str">
        <f>TEXT(Table57[[#This Row],[Date]],"dddd")</f>
        <v>Sunday</v>
      </c>
      <c r="F149" s="25" cm="1">
        <f t="array" ref="F149">IFERROR(_xlfn.XLOOKUP(Table57[[#This Row],[Code]],Table1[[#All],[Code]],Table1[[#All],[Time]],,0,1),"")</f>
        <v>0.55817129629629625</v>
      </c>
      <c r="G149" s="25" cm="1">
        <f t="array" ref="G149">IFERROR(_xlfn.XLOOKUP(Table57[[#This Row],[Code]],Table1[[#All],[Code]],Table1[[#All],[Time]],,0,-1),"")</f>
        <v>0.55817129629629625</v>
      </c>
      <c r="H149" s="23">
        <f>IFERROR(IF(Table57[[#This Row],[Out]]&gt;=Table57[[#This Row],[In]],Table57[[#This Row],[Out]]-Table57[[#This Row],[In]],(0.5+Table57[[#This Row],[Out]])-Table57[[#This Row],[In]]),"")</f>
        <v>0</v>
      </c>
      <c r="I149" s="31">
        <f>IFERROR(IF(Table57[[#This Row],[In]]&gt;$C$2,Table57[[#This Row],[In]]-$C$2,""),"")</f>
        <v>1.6504629629629619E-2</v>
      </c>
      <c r="J149" s="31" t="str">
        <f>IF(Table57[[#This Row],[Work_Hours]]=0,"",(IF(Table57[[#This Row],[Out]]&lt;$C$3,$C$3-Table57[[#This Row],[Out]],"")))</f>
        <v/>
      </c>
      <c r="K149" s="32">
        <f>IFERROR(Table57[[#This Row],[In]]+$C$1,"")</f>
        <v>0.89150462962962962</v>
      </c>
      <c r="L149" s="29"/>
      <c r="M149" s="31" t="str">
        <f>IF($C$2&gt;Table57[[#This Row],[In]],$C$2-Table57[[#This Row],[In]],"")</f>
        <v/>
      </c>
      <c r="N149" s="29" t="str">
        <f>IFERROR(IF(Table57[[#This Row],[Out]]&gt;$C$3,(Table57[[#This Row],[Out]])-($C$3),""),"")</f>
        <v/>
      </c>
    </row>
    <row r="150" spans="1:14" hidden="1" x14ac:dyDescent="0.25">
      <c r="A150" s="23" t="str">
        <f>Table57[[#This Row],[No.]]&amp;Table57[[#This Row],[Date]]</f>
        <v>3645292</v>
      </c>
      <c r="B150" s="22">
        <f>'Unique Dates'!A147</f>
        <v>36</v>
      </c>
      <c r="C150" s="22" t="str" cm="1">
        <f t="array" ref="C150">_xlfn.XLOOKUP(Table57[[#This Row],[No.]],Table2[[#All],[CODE]],Table2[[#All],[NAME]],,0,1)</f>
        <v xml:space="preserve">lydleen </v>
      </c>
      <c r="D150" s="6">
        <f>'Unique Dates'!B147</f>
        <v>45292</v>
      </c>
      <c r="E150" t="str">
        <f>TEXT(Table57[[#This Row],[Date]],"dddd")</f>
        <v>Monday</v>
      </c>
      <c r="F150" s="25" cm="1">
        <f t="array" ref="F150">IFERROR(_xlfn.XLOOKUP(Table57[[#This Row],[Code]],Table1[[#All],[Code]],Table1[[#All],[Time]],,0,1),"")</f>
        <v>0.59650462962962958</v>
      </c>
      <c r="G150" s="25" cm="1">
        <f t="array" ref="G150">IFERROR(_xlfn.XLOOKUP(Table57[[#This Row],[Code]],Table1[[#All],[Code]],Table1[[#All],[Time]],,0,-1),"")</f>
        <v>0.93744212962962958</v>
      </c>
      <c r="H150" s="23">
        <f>IFERROR(IF(Table57[[#This Row],[Out]]&gt;=Table57[[#This Row],[In]],Table57[[#This Row],[Out]]-Table57[[#This Row],[In]],(0.5+Table57[[#This Row],[Out]])-Table57[[#This Row],[In]]),"")</f>
        <v>0.3409375</v>
      </c>
      <c r="I150" s="31">
        <f>IFERROR(IF(Table57[[#This Row],[In]]&gt;$C$2,Table57[[#This Row],[In]]-$C$2,""),"")</f>
        <v>5.4837962962962949E-2</v>
      </c>
      <c r="J150" s="31" t="str">
        <f>IF(Table57[[#This Row],[Work_Hours]]=0,"",(IF(Table57[[#This Row],[Out]]&lt;$C$3,$C$3-Table57[[#This Row],[Out]],"")))</f>
        <v/>
      </c>
      <c r="K150" s="32">
        <f>IFERROR(Table57[[#This Row],[In]]+$C$1,"")</f>
        <v>0.92983796296296295</v>
      </c>
      <c r="L150" s="29"/>
      <c r="M150" s="31" t="str">
        <f>IF($C$2&gt;Table57[[#This Row],[In]],$C$2-Table57[[#This Row],[In]],"")</f>
        <v/>
      </c>
      <c r="N150" s="29">
        <f>IFERROR(IF(Table57[[#This Row],[Out]]&gt;$C$3,(Table57[[#This Row],[Out]])-($C$3),""),"")</f>
        <v>2.0775462962962954E-2</v>
      </c>
    </row>
    <row r="151" spans="1:14" hidden="1" x14ac:dyDescent="0.25">
      <c r="A151" s="23" t="str">
        <f>Table57[[#This Row],[No.]]&amp;Table57[[#This Row],[Date]]</f>
        <v>3645296</v>
      </c>
      <c r="B151" s="22">
        <f>'Unique Dates'!A148</f>
        <v>36</v>
      </c>
      <c r="C151" s="22" t="str" cm="1">
        <f t="array" ref="C151">_xlfn.XLOOKUP(Table57[[#This Row],[No.]],Table2[[#All],[CODE]],Table2[[#All],[NAME]],,0,1)</f>
        <v xml:space="preserve">lydleen </v>
      </c>
      <c r="D151" s="6">
        <f>'Unique Dates'!B148</f>
        <v>45296</v>
      </c>
      <c r="E151" t="str">
        <f>TEXT(Table57[[#This Row],[Date]],"dddd")</f>
        <v>Friday</v>
      </c>
      <c r="F151" s="25" cm="1">
        <f t="array" ref="F151">IFERROR(_xlfn.XLOOKUP(Table57[[#This Row],[Code]],Table1[[#All],[Code]],Table1[[#All],[Time]],,0,1),"")</f>
        <v>0.59924768518518523</v>
      </c>
      <c r="G151" s="25" cm="1">
        <f t="array" ref="G151">IFERROR(_xlfn.XLOOKUP(Table57[[#This Row],[Code]],Table1[[#All],[Code]],Table1[[#All],[Time]],,0,-1),"")</f>
        <v>0.9955208333333333</v>
      </c>
      <c r="H151" s="23">
        <f>IFERROR(IF(Table57[[#This Row],[Out]]&gt;=Table57[[#This Row],[In]],Table57[[#This Row],[Out]]-Table57[[#This Row],[In]],(0.5+Table57[[#This Row],[Out]])-Table57[[#This Row],[In]]),"")</f>
        <v>0.39627314814814807</v>
      </c>
      <c r="I151" s="31">
        <f>IFERROR(IF(Table57[[#This Row],[In]]&gt;$C$2,Table57[[#This Row],[In]]-$C$2,""),"")</f>
        <v>5.7581018518518601E-2</v>
      </c>
      <c r="J151" s="31" t="str">
        <f>IF(Table57[[#This Row],[Work_Hours]]=0,"",(IF(Table57[[#This Row],[Out]]&lt;$C$3,$C$3-Table57[[#This Row],[Out]],"")))</f>
        <v/>
      </c>
      <c r="K151" s="32">
        <f>IFERROR(Table57[[#This Row],[In]]+$C$1,"")</f>
        <v>0.9325810185185186</v>
      </c>
      <c r="L151" s="29"/>
      <c r="M151" s="31" t="str">
        <f>IF($C$2&gt;Table57[[#This Row],[In]],$C$2-Table57[[#This Row],[In]],"")</f>
        <v/>
      </c>
      <c r="N151" s="29">
        <f>IFERROR(IF(Table57[[#This Row],[Out]]&gt;$C$3,(Table57[[#This Row],[Out]])-($C$3),""),"")</f>
        <v>7.885416666666667E-2</v>
      </c>
    </row>
    <row r="152" spans="1:14" hidden="1" x14ac:dyDescent="0.25">
      <c r="A152" s="23" t="str">
        <f>Table57[[#This Row],[No.]]&amp;Table57[[#This Row],[Date]]</f>
        <v>3645302</v>
      </c>
      <c r="B152" s="22">
        <f>'Unique Dates'!A149</f>
        <v>36</v>
      </c>
      <c r="C152" s="22" t="str" cm="1">
        <f t="array" ref="C152">_xlfn.XLOOKUP(Table57[[#This Row],[No.]],Table2[[#All],[CODE]],Table2[[#All],[NAME]],,0,1)</f>
        <v xml:space="preserve">lydleen </v>
      </c>
      <c r="D152" s="6">
        <f>'Unique Dates'!B149</f>
        <v>45302</v>
      </c>
      <c r="E152" t="str">
        <f>TEXT(Table57[[#This Row],[Date]],"dddd")</f>
        <v>Thursday</v>
      </c>
      <c r="F152" s="25" cm="1">
        <f t="array" ref="F152">IFERROR(_xlfn.XLOOKUP(Table57[[#This Row],[Code]],Table1[[#All],[Code]],Table1[[#All],[Time]],,0,1),"")</f>
        <v>0.54832175925925919</v>
      </c>
      <c r="G152" s="25" cm="1">
        <f t="array" ref="G152">IFERROR(_xlfn.XLOOKUP(Table57[[#This Row],[Code]],Table1[[#All],[Code]],Table1[[#All],[Time]],,0,-1),"")</f>
        <v>0.91961805555555554</v>
      </c>
      <c r="H152" s="23">
        <f>IFERROR(IF(Table57[[#This Row],[Out]]&gt;=Table57[[#This Row],[In]],Table57[[#This Row],[Out]]-Table57[[#This Row],[In]],(0.5+Table57[[#This Row],[Out]])-Table57[[#This Row],[In]]),"")</f>
        <v>0.37129629629629635</v>
      </c>
      <c r="I152" s="31">
        <f>IFERROR(IF(Table57[[#This Row],[In]]&gt;$C$2,Table57[[#This Row],[In]]-$C$2,""),"")</f>
        <v>6.6550925925925597E-3</v>
      </c>
      <c r="J152" s="31" t="str">
        <f>IF(Table57[[#This Row],[Work_Hours]]=0,"",(IF(Table57[[#This Row],[Out]]&lt;$C$3,$C$3-Table57[[#This Row],[Out]],"")))</f>
        <v/>
      </c>
      <c r="K152" s="32">
        <f>IFERROR(Table57[[#This Row],[In]]+$C$1,"")</f>
        <v>0.88165509259259256</v>
      </c>
      <c r="L152" s="29"/>
      <c r="M152" s="31" t="str">
        <f>IF($C$2&gt;Table57[[#This Row],[In]],$C$2-Table57[[#This Row],[In]],"")</f>
        <v/>
      </c>
      <c r="N152" s="29">
        <f>IFERROR(IF(Table57[[#This Row],[Out]]&gt;$C$3,(Table57[[#This Row],[Out]])-($C$3),""),"")</f>
        <v>2.9513888888889062E-3</v>
      </c>
    </row>
    <row r="153" spans="1:14" hidden="1" x14ac:dyDescent="0.25">
      <c r="A153" s="23" t="str">
        <f>Table57[[#This Row],[No.]]&amp;Table57[[#This Row],[Date]]</f>
        <v>3645303</v>
      </c>
      <c r="B153" s="22">
        <f>'Unique Dates'!A150</f>
        <v>36</v>
      </c>
      <c r="C153" s="22" t="str" cm="1">
        <f t="array" ref="C153">_xlfn.XLOOKUP(Table57[[#This Row],[No.]],Table2[[#All],[CODE]],Table2[[#All],[NAME]],,0,1)</f>
        <v xml:space="preserve">lydleen </v>
      </c>
      <c r="D153" s="6">
        <f>'Unique Dates'!B150</f>
        <v>45303</v>
      </c>
      <c r="E153" t="str">
        <f>TEXT(Table57[[#This Row],[Date]],"dddd")</f>
        <v>Friday</v>
      </c>
      <c r="F153" s="25" cm="1">
        <f t="array" ref="F153">IFERROR(_xlfn.XLOOKUP(Table57[[#This Row],[Code]],Table1[[#All],[Code]],Table1[[#All],[Time]],,0,1),"")</f>
        <v>0.52423611111111112</v>
      </c>
      <c r="G153" s="25" cm="1">
        <f t="array" ref="G153">IFERROR(_xlfn.XLOOKUP(Table57[[#This Row],[Code]],Table1[[#All],[Code]],Table1[[#All],[Time]],,0,-1),"")</f>
        <v>0.91461805555555553</v>
      </c>
      <c r="H153" s="23">
        <f>IFERROR(IF(Table57[[#This Row],[Out]]&gt;=Table57[[#This Row],[In]],Table57[[#This Row],[Out]]-Table57[[#This Row],[In]],(0.5+Table57[[#This Row],[Out]])-Table57[[#This Row],[In]]),"")</f>
        <v>0.39038194444444441</v>
      </c>
      <c r="I153" s="31" t="str">
        <f>IFERROR(IF(Table57[[#This Row],[In]]&gt;$C$2,Table57[[#This Row],[In]]-$C$2,""),"")</f>
        <v/>
      </c>
      <c r="J153" s="31">
        <f>IF(Table57[[#This Row],[Work_Hours]]=0,"",(IF(Table57[[#This Row],[Out]]&lt;$C$3,$C$3-Table57[[#This Row],[Out]],"")))</f>
        <v>2.0486111111110983E-3</v>
      </c>
      <c r="K153" s="32">
        <f>IFERROR(Table57[[#This Row],[In]]+$C$1,"")</f>
        <v>0.85756944444444438</v>
      </c>
      <c r="L153" s="29"/>
      <c r="M153" s="31">
        <f>IF($C$2&gt;Table57[[#This Row],[In]],$C$2-Table57[[#This Row],[In]],"")</f>
        <v>1.7430555555555505E-2</v>
      </c>
      <c r="N153" s="29" t="str">
        <f>IFERROR(IF(Table57[[#This Row],[Out]]&gt;$C$3,(Table57[[#This Row],[Out]])-($C$3),""),"")</f>
        <v/>
      </c>
    </row>
    <row r="154" spans="1:14" hidden="1" x14ac:dyDescent="0.25">
      <c r="A154" s="23" t="str">
        <f>Table57[[#This Row],[No.]]&amp;Table57[[#This Row],[Date]]</f>
        <v>3645305</v>
      </c>
      <c r="B154" s="22">
        <f>'Unique Dates'!A151</f>
        <v>36</v>
      </c>
      <c r="C154" s="22" t="str" cm="1">
        <f t="array" ref="C154">_xlfn.XLOOKUP(Table57[[#This Row],[No.]],Table2[[#All],[CODE]],Table2[[#All],[NAME]],,0,1)</f>
        <v xml:space="preserve">lydleen </v>
      </c>
      <c r="D154" s="6">
        <f>'Unique Dates'!B151</f>
        <v>45305</v>
      </c>
      <c r="E154" t="str">
        <f>TEXT(Table57[[#This Row],[Date]],"dddd")</f>
        <v>Sunday</v>
      </c>
      <c r="F154" s="25" cm="1">
        <f t="array" ref="F154">IFERROR(_xlfn.XLOOKUP(Table57[[#This Row],[Code]],Table1[[#All],[Code]],Table1[[#All],[Time]],,0,1),"")</f>
        <v>0.58929398148148149</v>
      </c>
      <c r="G154" s="25" cm="1">
        <f t="array" ref="G154">IFERROR(_xlfn.XLOOKUP(Table57[[#This Row],[Code]],Table1[[#All],[Code]],Table1[[#All],[Time]],,0,-1),"")</f>
        <v>0.94998842592592592</v>
      </c>
      <c r="H154" s="23">
        <f>IFERROR(IF(Table57[[#This Row],[Out]]&gt;=Table57[[#This Row],[In]],Table57[[#This Row],[Out]]-Table57[[#This Row],[In]],(0.5+Table57[[#This Row],[Out]])-Table57[[#This Row],[In]]),"")</f>
        <v>0.36069444444444443</v>
      </c>
      <c r="I154" s="31">
        <f>IFERROR(IF(Table57[[#This Row],[In]]&gt;$C$2,Table57[[#This Row],[In]]-$C$2,""),"")</f>
        <v>4.7627314814814858E-2</v>
      </c>
      <c r="J154" s="31" t="str">
        <f>IF(Table57[[#This Row],[Work_Hours]]=0,"",(IF(Table57[[#This Row],[Out]]&lt;$C$3,$C$3-Table57[[#This Row],[Out]],"")))</f>
        <v/>
      </c>
      <c r="K154" s="32">
        <f>IFERROR(Table57[[#This Row],[In]]+$C$1,"")</f>
        <v>0.92262731481481475</v>
      </c>
      <c r="L154" s="29"/>
      <c r="M154" s="31" t="str">
        <f>IF($C$2&gt;Table57[[#This Row],[In]],$C$2-Table57[[#This Row],[In]],"")</f>
        <v/>
      </c>
      <c r="N154" s="29">
        <f>IFERROR(IF(Table57[[#This Row],[Out]]&gt;$C$3,(Table57[[#This Row],[Out]])-($C$3),""),"")</f>
        <v>3.3321759259259287E-2</v>
      </c>
    </row>
    <row r="155" spans="1:14" hidden="1" x14ac:dyDescent="0.25">
      <c r="A155" s="23" t="str">
        <f>Table57[[#This Row],[No.]]&amp;Table57[[#This Row],[Date]]</f>
        <v>3645306</v>
      </c>
      <c r="B155" s="22">
        <f>'Unique Dates'!A152</f>
        <v>36</v>
      </c>
      <c r="C155" s="22" t="str" cm="1">
        <f t="array" ref="C155">_xlfn.XLOOKUP(Table57[[#This Row],[No.]],Table2[[#All],[CODE]],Table2[[#All],[NAME]],,0,1)</f>
        <v xml:space="preserve">lydleen </v>
      </c>
      <c r="D155" s="6">
        <f>'Unique Dates'!B152</f>
        <v>45306</v>
      </c>
      <c r="E155" t="str">
        <f>TEXT(Table57[[#This Row],[Date]],"dddd")</f>
        <v>Monday</v>
      </c>
      <c r="F155" s="25" cm="1">
        <f t="array" ref="F155">IFERROR(_xlfn.XLOOKUP(Table57[[#This Row],[Code]],Table1[[#All],[Code]],Table1[[#All],[Time]],,0,1),"")</f>
        <v>0.56487268518518519</v>
      </c>
      <c r="G155" s="25" cm="1">
        <f t="array" ref="G155">IFERROR(_xlfn.XLOOKUP(Table57[[#This Row],[Code]],Table1[[#All],[Code]],Table1[[#All],[Time]],,0,-1),"")</f>
        <v>0.92246527777777787</v>
      </c>
      <c r="H155" s="23">
        <f>IFERROR(IF(Table57[[#This Row],[Out]]&gt;=Table57[[#This Row],[In]],Table57[[#This Row],[Out]]-Table57[[#This Row],[In]],(0.5+Table57[[#This Row],[Out]])-Table57[[#This Row],[In]]),"")</f>
        <v>0.35759259259259268</v>
      </c>
      <c r="I155" s="31">
        <f>IFERROR(IF(Table57[[#This Row],[In]]&gt;$C$2,Table57[[#This Row],[In]]-$C$2,""),"")</f>
        <v>2.3206018518518556E-2</v>
      </c>
      <c r="J155" s="31" t="str">
        <f>IF(Table57[[#This Row],[Work_Hours]]=0,"",(IF(Table57[[#This Row],[Out]]&lt;$C$3,$C$3-Table57[[#This Row],[Out]],"")))</f>
        <v/>
      </c>
      <c r="K155" s="32">
        <f>IFERROR(Table57[[#This Row],[In]]+$C$1,"")</f>
        <v>0.89820601851851856</v>
      </c>
      <c r="L155" s="29"/>
      <c r="M155" s="31" t="str">
        <f>IF($C$2&gt;Table57[[#This Row],[In]],$C$2-Table57[[#This Row],[In]],"")</f>
        <v/>
      </c>
      <c r="N155" s="29">
        <f>IFERROR(IF(Table57[[#This Row],[Out]]&gt;$C$3,(Table57[[#This Row],[Out]])-($C$3),""),"")</f>
        <v>5.7986111111112404E-3</v>
      </c>
    </row>
    <row r="156" spans="1:14" hidden="1" x14ac:dyDescent="0.25">
      <c r="A156" s="23" t="str">
        <f>Table57[[#This Row],[No.]]&amp;Table57[[#This Row],[Date]]</f>
        <v>3645310</v>
      </c>
      <c r="B156" s="22">
        <f>'Unique Dates'!A153</f>
        <v>36</v>
      </c>
      <c r="C156" s="22" t="str" cm="1">
        <f t="array" ref="C156">_xlfn.XLOOKUP(Table57[[#This Row],[No.]],Table2[[#All],[CODE]],Table2[[#All],[NAME]],,0,1)</f>
        <v xml:space="preserve">lydleen </v>
      </c>
      <c r="D156" s="6">
        <f>'Unique Dates'!B153</f>
        <v>45310</v>
      </c>
      <c r="E156" t="str">
        <f>TEXT(Table57[[#This Row],[Date]],"dddd")</f>
        <v>Friday</v>
      </c>
      <c r="F156" s="25" cm="1">
        <f t="array" ref="F156">IFERROR(_xlfn.XLOOKUP(Table57[[#This Row],[Code]],Table1[[#All],[Code]],Table1[[#All],[Time]],,0,1),"")</f>
        <v>0.53643518518518518</v>
      </c>
      <c r="G156" s="25" cm="1">
        <f t="array" ref="G156">IFERROR(_xlfn.XLOOKUP(Table57[[#This Row],[Code]],Table1[[#All],[Code]],Table1[[#All],[Time]],,0,-1),"")</f>
        <v>0.95062500000000005</v>
      </c>
      <c r="H156" s="23">
        <f>IFERROR(IF(Table57[[#This Row],[Out]]&gt;=Table57[[#This Row],[In]],Table57[[#This Row],[Out]]-Table57[[#This Row],[In]],(0.5+Table57[[#This Row],[Out]])-Table57[[#This Row],[In]]),"")</f>
        <v>0.41418981481481487</v>
      </c>
      <c r="I156" s="31" t="str">
        <f>IFERROR(IF(Table57[[#This Row],[In]]&gt;$C$2,Table57[[#This Row],[In]]-$C$2,""),"")</f>
        <v/>
      </c>
      <c r="J156" s="31" t="str">
        <f>IF(Table57[[#This Row],[Work_Hours]]=0,"",(IF(Table57[[#This Row],[Out]]&lt;$C$3,$C$3-Table57[[#This Row],[Out]],"")))</f>
        <v/>
      </c>
      <c r="K156" s="32">
        <f>IFERROR(Table57[[#This Row],[In]]+$C$1,"")</f>
        <v>0.86976851851851844</v>
      </c>
      <c r="L156" s="29"/>
      <c r="M156" s="31">
        <f>IF($C$2&gt;Table57[[#This Row],[In]],$C$2-Table57[[#This Row],[In]],"")</f>
        <v>5.2314814814814481E-3</v>
      </c>
      <c r="N156" s="29">
        <f>IFERROR(IF(Table57[[#This Row],[Out]]&gt;$C$3,(Table57[[#This Row],[Out]])-($C$3),""),"")</f>
        <v>3.3958333333333424E-2</v>
      </c>
    </row>
    <row r="157" spans="1:14" hidden="1" x14ac:dyDescent="0.25">
      <c r="A157" s="23" t="str">
        <f>Table57[[#This Row],[No.]]&amp;Table57[[#This Row],[Date]]</f>
        <v>3645311</v>
      </c>
      <c r="B157" s="22">
        <f>'Unique Dates'!A154</f>
        <v>36</v>
      </c>
      <c r="C157" s="22" t="str" cm="1">
        <f t="array" ref="C157">_xlfn.XLOOKUP(Table57[[#This Row],[No.]],Table2[[#All],[CODE]],Table2[[#All],[NAME]],,0,1)</f>
        <v xml:space="preserve">lydleen </v>
      </c>
      <c r="D157" s="6">
        <f>'Unique Dates'!B154</f>
        <v>45311</v>
      </c>
      <c r="E157" t="str">
        <f>TEXT(Table57[[#This Row],[Date]],"dddd")</f>
        <v>Saturday</v>
      </c>
      <c r="F157" s="25" cm="1">
        <f t="array" ref="F157">IFERROR(_xlfn.XLOOKUP(Table57[[#This Row],[Code]],Table1[[#All],[Code]],Table1[[#All],[Time]],,0,1),"")</f>
        <v>0.54995370370370367</v>
      </c>
      <c r="G157" s="25" cm="1">
        <f t="array" ref="G157">IFERROR(_xlfn.XLOOKUP(Table57[[#This Row],[Code]],Table1[[#All],[Code]],Table1[[#All],[Time]],,0,-1),"")</f>
        <v>0.54995370370370367</v>
      </c>
      <c r="H157" s="23">
        <f>IFERROR(IF(Table57[[#This Row],[Out]]&gt;=Table57[[#This Row],[In]],Table57[[#This Row],[Out]]-Table57[[#This Row],[In]],(0.5+Table57[[#This Row],[Out]])-Table57[[#This Row],[In]]),"")</f>
        <v>0</v>
      </c>
      <c r="I157" s="31">
        <f>IFERROR(IF(Table57[[#This Row],[In]]&gt;$C$2,Table57[[#This Row],[In]]-$C$2,""),"")</f>
        <v>8.2870370370370372E-3</v>
      </c>
      <c r="J157" s="31" t="str">
        <f>IF(Table57[[#This Row],[Work_Hours]]=0,"",(IF(Table57[[#This Row],[Out]]&lt;$C$3,$C$3-Table57[[#This Row],[Out]],"")))</f>
        <v/>
      </c>
      <c r="K157" s="32">
        <f>IFERROR(Table57[[#This Row],[In]]+$C$1,"")</f>
        <v>0.88328703703703693</v>
      </c>
      <c r="L157" s="29"/>
      <c r="M157" s="31" t="str">
        <f>IF($C$2&gt;Table57[[#This Row],[In]],$C$2-Table57[[#This Row],[In]],"")</f>
        <v/>
      </c>
      <c r="N157" s="29" t="str">
        <f>IFERROR(IF(Table57[[#This Row],[Out]]&gt;$C$3,(Table57[[#This Row],[Out]])-($C$3),""),"")</f>
        <v/>
      </c>
    </row>
    <row r="158" spans="1:14" hidden="1" x14ac:dyDescent="0.25">
      <c r="A158" s="23" t="str">
        <f>Table57[[#This Row],[No.]]&amp;Table57[[#This Row],[Date]]</f>
        <v>3645312</v>
      </c>
      <c r="B158" s="22">
        <f>'Unique Dates'!A155</f>
        <v>36</v>
      </c>
      <c r="C158" s="22" t="str" cm="1">
        <f t="array" ref="C158">_xlfn.XLOOKUP(Table57[[#This Row],[No.]],Table2[[#All],[CODE]],Table2[[#All],[NAME]],,0,1)</f>
        <v xml:space="preserve">lydleen </v>
      </c>
      <c r="D158" s="6">
        <f>'Unique Dates'!B155</f>
        <v>45312</v>
      </c>
      <c r="E158" t="str">
        <f>TEXT(Table57[[#This Row],[Date]],"dddd")</f>
        <v>Sunday</v>
      </c>
      <c r="F158" s="25" cm="1">
        <f t="array" ref="F158">IFERROR(_xlfn.XLOOKUP(Table57[[#This Row],[Code]],Table1[[#All],[Code]],Table1[[#All],[Time]],,0,1),"")</f>
        <v>0.50983796296296291</v>
      </c>
      <c r="G158" s="25" cm="1">
        <f t="array" ref="G158">IFERROR(_xlfn.XLOOKUP(Table57[[#This Row],[Code]],Table1[[#All],[Code]],Table1[[#All],[Time]],,0,-1),"")</f>
        <v>0.91935185185185186</v>
      </c>
      <c r="H158" s="23">
        <f>IFERROR(IF(Table57[[#This Row],[Out]]&gt;=Table57[[#This Row],[In]],Table57[[#This Row],[Out]]-Table57[[#This Row],[In]],(0.5+Table57[[#This Row],[Out]])-Table57[[#This Row],[In]]),"")</f>
        <v>0.40951388888888896</v>
      </c>
      <c r="I158" s="31" t="str">
        <f>IFERROR(IF(Table57[[#This Row],[In]]&gt;$C$2,Table57[[#This Row],[In]]-$C$2,""),"")</f>
        <v/>
      </c>
      <c r="J158" s="31" t="str">
        <f>IF(Table57[[#This Row],[Work_Hours]]=0,"",(IF(Table57[[#This Row],[Out]]&lt;$C$3,$C$3-Table57[[#This Row],[Out]],"")))</f>
        <v/>
      </c>
      <c r="K158" s="32">
        <f>IFERROR(Table57[[#This Row],[In]]+$C$1,"")</f>
        <v>0.84317129629629628</v>
      </c>
      <c r="L158" s="29"/>
      <c r="M158" s="31">
        <f>IF($C$2&gt;Table57[[#This Row],[In]],$C$2-Table57[[#This Row],[In]],"")</f>
        <v>3.182870370370372E-2</v>
      </c>
      <c r="N158" s="29">
        <f>IFERROR(IF(Table57[[#This Row],[Out]]&gt;$C$3,(Table57[[#This Row],[Out]])-($C$3),""),"")</f>
        <v>2.6851851851852349E-3</v>
      </c>
    </row>
    <row r="159" spans="1:14" hidden="1" x14ac:dyDescent="0.25">
      <c r="A159" s="23" t="str">
        <f>Table57[[#This Row],[No.]]&amp;Table57[[#This Row],[Date]]</f>
        <v>3645313</v>
      </c>
      <c r="B159" s="22">
        <f>'Unique Dates'!A156</f>
        <v>36</v>
      </c>
      <c r="C159" s="22" t="str" cm="1">
        <f t="array" ref="C159">_xlfn.XLOOKUP(Table57[[#This Row],[No.]],Table2[[#All],[CODE]],Table2[[#All],[NAME]],,0,1)</f>
        <v xml:space="preserve">lydleen </v>
      </c>
      <c r="D159" s="6">
        <f>'Unique Dates'!B156</f>
        <v>45313</v>
      </c>
      <c r="E159" t="str">
        <f>TEXT(Table57[[#This Row],[Date]],"dddd")</f>
        <v>Monday</v>
      </c>
      <c r="F159" s="25" cm="1">
        <f t="array" ref="F159">IFERROR(_xlfn.XLOOKUP(Table57[[#This Row],[Code]],Table1[[#All],[Code]],Table1[[#All],[Time]],,0,1),"")</f>
        <v>0.55543981481481486</v>
      </c>
      <c r="G159" s="25" cm="1">
        <f t="array" ref="G159">IFERROR(_xlfn.XLOOKUP(Table57[[#This Row],[Code]],Table1[[#All],[Code]],Table1[[#All],[Time]],,0,-1),"")</f>
        <v>0.90921296296296295</v>
      </c>
      <c r="H159" s="23">
        <f>IFERROR(IF(Table57[[#This Row],[Out]]&gt;=Table57[[#This Row],[In]],Table57[[#This Row],[Out]]-Table57[[#This Row],[In]],(0.5+Table57[[#This Row],[Out]])-Table57[[#This Row],[In]]),"")</f>
        <v>0.35377314814814809</v>
      </c>
      <c r="I159" s="31">
        <f>IFERROR(IF(Table57[[#This Row],[In]]&gt;$C$2,Table57[[#This Row],[In]]-$C$2,""),"")</f>
        <v>1.3773148148148229E-2</v>
      </c>
      <c r="J159" s="31">
        <f>IF(Table57[[#This Row],[Work_Hours]]=0,"",(IF(Table57[[#This Row],[Out]]&lt;$C$3,$C$3-Table57[[#This Row],[Out]],"")))</f>
        <v>7.4537037037036846E-3</v>
      </c>
      <c r="K159" s="32">
        <f>IFERROR(Table57[[#This Row],[In]]+$C$1,"")</f>
        <v>0.88877314814814823</v>
      </c>
      <c r="L159" s="29"/>
      <c r="M159" s="31" t="str">
        <f>IF($C$2&gt;Table57[[#This Row],[In]],$C$2-Table57[[#This Row],[In]],"")</f>
        <v/>
      </c>
      <c r="N159" s="29" t="str">
        <f>IFERROR(IF(Table57[[#This Row],[Out]]&gt;$C$3,(Table57[[#This Row],[Out]])-($C$3),""),"")</f>
        <v/>
      </c>
    </row>
    <row r="160" spans="1:14" hidden="1" x14ac:dyDescent="0.25">
      <c r="A160" s="23" t="str">
        <f>Table57[[#This Row],[No.]]&amp;Table57[[#This Row],[Date]]</f>
        <v>3645316</v>
      </c>
      <c r="B160" s="22">
        <f>'Unique Dates'!A157</f>
        <v>36</v>
      </c>
      <c r="C160" s="22" t="str" cm="1">
        <f t="array" ref="C160">_xlfn.XLOOKUP(Table57[[#This Row],[No.]],Table2[[#All],[CODE]],Table2[[#All],[NAME]],,0,1)</f>
        <v xml:space="preserve">lydleen </v>
      </c>
      <c r="D160" s="6">
        <f>'Unique Dates'!B157</f>
        <v>45316</v>
      </c>
      <c r="E160" t="str">
        <f>TEXT(Table57[[#This Row],[Date]],"dddd")</f>
        <v>Thursday</v>
      </c>
      <c r="F160" s="25" cm="1">
        <f t="array" ref="F160">IFERROR(_xlfn.XLOOKUP(Table57[[#This Row],[Code]],Table1[[#All],[Code]],Table1[[#All],[Time]],,0,1),"")</f>
        <v>0.54150462962962964</v>
      </c>
      <c r="G160" s="25" cm="1">
        <f t="array" ref="G160">IFERROR(_xlfn.XLOOKUP(Table57[[#This Row],[Code]],Table1[[#All],[Code]],Table1[[#All],[Time]],,0,-1),"")</f>
        <v>0.9072337962962963</v>
      </c>
      <c r="H160" s="23">
        <f>IFERROR(IF(Table57[[#This Row],[Out]]&gt;=Table57[[#This Row],[In]],Table57[[#This Row],[Out]]-Table57[[#This Row],[In]],(0.5+Table57[[#This Row],[Out]])-Table57[[#This Row],[In]]),"")</f>
        <v>0.36572916666666666</v>
      </c>
      <c r="I160" s="31" t="str">
        <f>IFERROR(IF(Table57[[#This Row],[In]]&gt;$C$2,Table57[[#This Row],[In]]-$C$2,""),"")</f>
        <v/>
      </c>
      <c r="J160" s="31">
        <f>IF(Table57[[#This Row],[Work_Hours]]=0,"",(IF(Table57[[#This Row],[Out]]&lt;$C$3,$C$3-Table57[[#This Row],[Out]],"")))</f>
        <v>9.4328703703703276E-3</v>
      </c>
      <c r="K160" s="32">
        <f>IFERROR(Table57[[#This Row],[In]]+$C$1,"")</f>
        <v>0.87483796296296301</v>
      </c>
      <c r="L160" s="29"/>
      <c r="M160" s="31">
        <f>IF($C$2&gt;Table57[[#This Row],[In]],$C$2-Table57[[#This Row],[In]],"")</f>
        <v>1.6203703703698835E-4</v>
      </c>
      <c r="N160" s="29" t="str">
        <f>IFERROR(IF(Table57[[#This Row],[Out]]&gt;$C$3,(Table57[[#This Row],[Out]])-($C$3),""),"")</f>
        <v/>
      </c>
    </row>
    <row r="161" spans="1:14" hidden="1" x14ac:dyDescent="0.25">
      <c r="A161" s="23" t="str">
        <f>Table57[[#This Row],[No.]]&amp;Table57[[#This Row],[Date]]</f>
        <v>3645317</v>
      </c>
      <c r="B161" s="22">
        <f>'Unique Dates'!A158</f>
        <v>36</v>
      </c>
      <c r="C161" s="22" t="str" cm="1">
        <f t="array" ref="C161">_xlfn.XLOOKUP(Table57[[#This Row],[No.]],Table2[[#All],[CODE]],Table2[[#All],[NAME]],,0,1)</f>
        <v xml:space="preserve">lydleen </v>
      </c>
      <c r="D161" s="6">
        <f>'Unique Dates'!B158</f>
        <v>45317</v>
      </c>
      <c r="E161" t="str">
        <f>TEXT(Table57[[#This Row],[Date]],"dddd")</f>
        <v>Friday</v>
      </c>
      <c r="F161" s="25" cm="1">
        <f t="array" ref="F161">IFERROR(_xlfn.XLOOKUP(Table57[[#This Row],[Code]],Table1[[#All],[Code]],Table1[[#All],[Time]],,0,1),"")</f>
        <v>0.54186342592592596</v>
      </c>
      <c r="G161" s="25" cm="1">
        <f t="array" ref="G161">IFERROR(_xlfn.XLOOKUP(Table57[[#This Row],[Code]],Table1[[#All],[Code]],Table1[[#All],[Time]],,0,-1),"")</f>
        <v>0.91555555555555557</v>
      </c>
      <c r="H161" s="23">
        <f>IFERROR(IF(Table57[[#This Row],[Out]]&gt;=Table57[[#This Row],[In]],Table57[[#This Row],[Out]]-Table57[[#This Row],[In]],(0.5+Table57[[#This Row],[Out]])-Table57[[#This Row],[In]]),"")</f>
        <v>0.37369212962962961</v>
      </c>
      <c r="I161" s="31">
        <f>IFERROR(IF(Table57[[#This Row],[In]]&gt;$C$2,Table57[[#This Row],[In]]-$C$2,""),"")</f>
        <v>1.9675925925932702E-4</v>
      </c>
      <c r="J161" s="31">
        <f>IF(Table57[[#This Row],[Work_Hours]]=0,"",(IF(Table57[[#This Row],[Out]]&lt;$C$3,$C$3-Table57[[#This Row],[Out]],"")))</f>
        <v>1.1111111111110628E-3</v>
      </c>
      <c r="K161" s="32">
        <f>IFERROR(Table57[[#This Row],[In]]+$C$1,"")</f>
        <v>0.87519675925925933</v>
      </c>
      <c r="L161" s="29"/>
      <c r="M161" s="31" t="str">
        <f>IF($C$2&gt;Table57[[#This Row],[In]],$C$2-Table57[[#This Row],[In]],"")</f>
        <v/>
      </c>
      <c r="N161" s="29" t="str">
        <f>IFERROR(IF(Table57[[#This Row],[Out]]&gt;$C$3,(Table57[[#This Row],[Out]])-($C$3),""),"")</f>
        <v/>
      </c>
    </row>
    <row r="162" spans="1:14" hidden="1" x14ac:dyDescent="0.25">
      <c r="A162" s="23" t="str">
        <f>Table57[[#This Row],[No.]]&amp;Table57[[#This Row],[Date]]</f>
        <v>3645319</v>
      </c>
      <c r="B162" s="22">
        <f>'Unique Dates'!A159</f>
        <v>36</v>
      </c>
      <c r="C162" s="22" t="str" cm="1">
        <f t="array" ref="C162">_xlfn.XLOOKUP(Table57[[#This Row],[No.]],Table2[[#All],[CODE]],Table2[[#All],[NAME]],,0,1)</f>
        <v xml:space="preserve">lydleen </v>
      </c>
      <c r="D162" s="6">
        <f>'Unique Dates'!B159</f>
        <v>45319</v>
      </c>
      <c r="E162" t="str">
        <f>TEXT(Table57[[#This Row],[Date]],"dddd")</f>
        <v>Sunday</v>
      </c>
      <c r="F162" s="25" cm="1">
        <f t="array" ref="F162">IFERROR(_xlfn.XLOOKUP(Table57[[#This Row],[Code]],Table1[[#All],[Code]],Table1[[#All],[Time]],,0,1),"")</f>
        <v>0.55142361111111116</v>
      </c>
      <c r="G162" s="25" cm="1">
        <f t="array" ref="G162">IFERROR(_xlfn.XLOOKUP(Table57[[#This Row],[Code]],Table1[[#All],[Code]],Table1[[#All],[Time]],,0,-1),"")</f>
        <v>0.55142361111111116</v>
      </c>
      <c r="H162" s="23">
        <f>IFERROR(IF(Table57[[#This Row],[Out]]&gt;=Table57[[#This Row],[In]],Table57[[#This Row],[Out]]-Table57[[#This Row],[In]],(0.5+Table57[[#This Row],[Out]])-Table57[[#This Row],[In]]),"")</f>
        <v>0</v>
      </c>
      <c r="I162" s="31">
        <f>IFERROR(IF(Table57[[#This Row],[In]]&gt;$C$2,Table57[[#This Row],[In]]-$C$2,""),"")</f>
        <v>9.7569444444445264E-3</v>
      </c>
      <c r="J162" s="31" t="str">
        <f>IF(Table57[[#This Row],[Work_Hours]]=0,"",(IF(Table57[[#This Row],[Out]]&lt;$C$3,$C$3-Table57[[#This Row],[Out]],"")))</f>
        <v/>
      </c>
      <c r="K162" s="32">
        <f>IFERROR(Table57[[#This Row],[In]]+$C$1,"")</f>
        <v>0.88475694444444453</v>
      </c>
      <c r="L162" s="29"/>
      <c r="M162" s="31" t="str">
        <f>IF($C$2&gt;Table57[[#This Row],[In]],$C$2-Table57[[#This Row],[In]],"")</f>
        <v/>
      </c>
      <c r="N162" s="29" t="str">
        <f>IFERROR(IF(Table57[[#This Row],[Out]]&gt;$C$3,(Table57[[#This Row],[Out]])-($C$3),""),"")</f>
        <v/>
      </c>
    </row>
    <row r="163" spans="1:14" x14ac:dyDescent="0.25">
      <c r="A163" s="23" t="str">
        <f>Table57[[#This Row],[No.]]&amp;Table57[[#This Row],[Date]]</f>
        <v>4045292</v>
      </c>
      <c r="B163" s="22">
        <f>'Unique Dates'!A160</f>
        <v>40</v>
      </c>
      <c r="C163" s="22" t="str" cm="1">
        <f t="array" ref="C163">_xlfn.XLOOKUP(Table57[[#This Row],[No.]],Table2[[#All],[CODE]],Table2[[#All],[NAME]],,0,1)</f>
        <v>menna</v>
      </c>
      <c r="D163" s="6">
        <f>'Unique Dates'!B160</f>
        <v>45292</v>
      </c>
      <c r="E163" t="str">
        <f>TEXT(Table57[[#This Row],[Date]],"dddd")</f>
        <v>Monday</v>
      </c>
      <c r="F163" s="25" cm="1">
        <f t="array" ref="F163">IFERROR(_xlfn.XLOOKUP(Table57[[#This Row],[Code]],Table1[[#All],[Code]],Table1[[#All],[Time]],,0,1),"")</f>
        <v>0.54216435185185186</v>
      </c>
      <c r="G163" s="25" cm="1">
        <f t="array" ref="G163">IFERROR(_xlfn.XLOOKUP(Table57[[#This Row],[Code]],Table1[[#All],[Code]],Table1[[#All],[Time]],,0,-1),"")</f>
        <v>0.94445601851851846</v>
      </c>
      <c r="H163" s="23">
        <f>IFERROR(IF(Table57[[#This Row],[Out]]&gt;=Table57[[#This Row],[In]],Table57[[#This Row],[Out]]-Table57[[#This Row],[In]],(0.5+Table57[[#This Row],[Out]])-Table57[[#This Row],[In]]),"")</f>
        <v>0.4022916666666666</v>
      </c>
      <c r="I163" s="31">
        <f>IFERROR(IF(Table57[[#This Row],[In]]&gt;$C$2,Table57[[#This Row],[In]]-$C$2,""),"")</f>
        <v>4.9768518518522598E-4</v>
      </c>
      <c r="J163" s="31" t="str">
        <f>IF(Table57[[#This Row],[Work_Hours]]=0,"",(IF(Table57[[#This Row],[Out]]&lt;$C$3,$C$3-Table57[[#This Row],[Out]],"")))</f>
        <v/>
      </c>
      <c r="K163" s="32">
        <f>IFERROR(Table57[[#This Row],[In]]+$C$1,"")</f>
        <v>0.87549768518518523</v>
      </c>
      <c r="L163" s="29"/>
      <c r="M163" s="31" t="str">
        <f>IF($C$2&gt;Table57[[#This Row],[In]],$C$2-Table57[[#This Row],[In]],"")</f>
        <v/>
      </c>
      <c r="N163" s="29">
        <f>IFERROR(IF(Table57[[#This Row],[Out]]&gt;$C$3,(Table57[[#This Row],[Out]])-($C$3),""),"")</f>
        <v>2.7789351851851829E-2</v>
      </c>
    </row>
    <row r="164" spans="1:14" x14ac:dyDescent="0.25">
      <c r="A164" s="23" t="str">
        <f>Table57[[#This Row],[No.]]&amp;Table57[[#This Row],[Date]]</f>
        <v>4045295</v>
      </c>
      <c r="B164" s="22">
        <f>'Unique Dates'!A161</f>
        <v>40</v>
      </c>
      <c r="C164" s="22" t="str" cm="1">
        <f t="array" ref="C164">_xlfn.XLOOKUP(Table57[[#This Row],[No.]],Table2[[#All],[CODE]],Table2[[#All],[NAME]],,0,1)</f>
        <v>menna</v>
      </c>
      <c r="D164" s="6">
        <f>'Unique Dates'!B161</f>
        <v>45295</v>
      </c>
      <c r="E164" t="str">
        <f>TEXT(Table57[[#This Row],[Date]],"dddd")</f>
        <v>Thursday</v>
      </c>
      <c r="F164" s="25" cm="1">
        <f t="array" ref="F164">IFERROR(_xlfn.XLOOKUP(Table57[[#This Row],[Code]],Table1[[#All],[Code]],Table1[[#All],[Time]],,0,1),"")</f>
        <v>0.53712962962962962</v>
      </c>
      <c r="G164" s="25" cm="1">
        <f t="array" ref="G164">IFERROR(_xlfn.XLOOKUP(Table57[[#This Row],[Code]],Table1[[#All],[Code]],Table1[[#All],[Time]],,0,-1),"")</f>
        <v>0.91403935185185192</v>
      </c>
      <c r="H164" s="23">
        <f>IFERROR(IF(Table57[[#This Row],[Out]]&gt;=Table57[[#This Row],[In]],Table57[[#This Row],[Out]]-Table57[[#This Row],[In]],(0.5+Table57[[#This Row],[Out]])-Table57[[#This Row],[In]]),"")</f>
        <v>0.3769097222222223</v>
      </c>
      <c r="I164" s="31" t="str">
        <f>IFERROR(IF(Table57[[#This Row],[In]]&gt;$C$2,Table57[[#This Row],[In]]-$C$2,""),"")</f>
        <v/>
      </c>
      <c r="J164" s="31">
        <f>IF(Table57[[#This Row],[Work_Hours]]=0,"",(IF(Table57[[#This Row],[Out]]&lt;$C$3,$C$3-Table57[[#This Row],[Out]],"")))</f>
        <v>2.6273148148147074E-3</v>
      </c>
      <c r="K164" s="32">
        <f>IFERROR(Table57[[#This Row],[In]]+$C$1,"")</f>
        <v>0.87046296296296299</v>
      </c>
      <c r="L164" s="29"/>
      <c r="M164" s="31">
        <f>IF($C$2&gt;Table57[[#This Row],[In]],$C$2-Table57[[#This Row],[In]],"")</f>
        <v>4.5370370370370061E-3</v>
      </c>
      <c r="N164" s="29" t="str">
        <f>IFERROR(IF(Table57[[#This Row],[Out]]&gt;$C$3,(Table57[[#This Row],[Out]])-($C$3),""),"")</f>
        <v/>
      </c>
    </row>
    <row r="165" spans="1:14" x14ac:dyDescent="0.25">
      <c r="A165" s="23" t="str">
        <f>Table57[[#This Row],[No.]]&amp;Table57[[#This Row],[Date]]</f>
        <v>4045296</v>
      </c>
      <c r="B165" s="22">
        <f>'Unique Dates'!A162</f>
        <v>40</v>
      </c>
      <c r="C165" s="22" t="str" cm="1">
        <f t="array" ref="C165">_xlfn.XLOOKUP(Table57[[#This Row],[No.]],Table2[[#All],[CODE]],Table2[[#All],[NAME]],,0,1)</f>
        <v>menna</v>
      </c>
      <c r="D165" s="6">
        <f>'Unique Dates'!B162</f>
        <v>45296</v>
      </c>
      <c r="E165" t="str">
        <f>TEXT(Table57[[#This Row],[Date]],"dddd")</f>
        <v>Friday</v>
      </c>
      <c r="F165" s="25" cm="1">
        <f t="array" ref="F165">IFERROR(_xlfn.XLOOKUP(Table57[[#This Row],[Code]],Table1[[#All],[Code]],Table1[[#All],[Time]],,0,1),"")</f>
        <v>0.52832175925925928</v>
      </c>
      <c r="G165" s="25" cm="1">
        <f t="array" ref="G165">IFERROR(_xlfn.XLOOKUP(Table57[[#This Row],[Code]],Table1[[#All],[Code]],Table1[[#All],[Time]],,0,-1),"")</f>
        <v>0.98043981481481479</v>
      </c>
      <c r="H165" s="23">
        <f>IFERROR(IF(Table57[[#This Row],[Out]]&gt;=Table57[[#This Row],[In]],Table57[[#This Row],[Out]]-Table57[[#This Row],[In]],(0.5+Table57[[#This Row],[Out]])-Table57[[#This Row],[In]]),"")</f>
        <v>0.45211805555555551</v>
      </c>
      <c r="I165" s="31" t="str">
        <f>IFERROR(IF(Table57[[#This Row],[In]]&gt;$C$2,Table57[[#This Row],[In]]-$C$2,""),"")</f>
        <v/>
      </c>
      <c r="J165" s="31" t="str">
        <f>IF(Table57[[#This Row],[Work_Hours]]=0,"",(IF(Table57[[#This Row],[Out]]&lt;$C$3,$C$3-Table57[[#This Row],[Out]],"")))</f>
        <v/>
      </c>
      <c r="K165" s="32">
        <f>IFERROR(Table57[[#This Row],[In]]+$C$1,"")</f>
        <v>0.86165509259259254</v>
      </c>
      <c r="L165" s="29"/>
      <c r="M165" s="31">
        <f>IF($C$2&gt;Table57[[#This Row],[In]],$C$2-Table57[[#This Row],[In]],"")</f>
        <v>1.3344907407407347E-2</v>
      </c>
      <c r="N165" s="29">
        <f>IFERROR(IF(Table57[[#This Row],[Out]]&gt;$C$3,(Table57[[#This Row],[Out]])-($C$3),""),"")</f>
        <v>6.3773148148148162E-2</v>
      </c>
    </row>
    <row r="166" spans="1:14" x14ac:dyDescent="0.25">
      <c r="A166" s="23" t="str">
        <f>Table57[[#This Row],[No.]]&amp;Table57[[#This Row],[Date]]</f>
        <v>4045297</v>
      </c>
      <c r="B166" s="22">
        <f>'Unique Dates'!A163</f>
        <v>40</v>
      </c>
      <c r="C166" s="22" t="str" cm="1">
        <f t="array" ref="C166">_xlfn.XLOOKUP(Table57[[#This Row],[No.]],Table2[[#All],[CODE]],Table2[[#All],[NAME]],,0,1)</f>
        <v>menna</v>
      </c>
      <c r="D166" s="6">
        <f>'Unique Dates'!B163</f>
        <v>45297</v>
      </c>
      <c r="E166" t="str">
        <f>TEXT(Table57[[#This Row],[Date]],"dddd")</f>
        <v>Saturday</v>
      </c>
      <c r="F166" s="25" cm="1">
        <f t="array" ref="F166">IFERROR(_xlfn.XLOOKUP(Table57[[#This Row],[Code]],Table1[[#All],[Code]],Table1[[#All],[Time]],,0,1),"")</f>
        <v>0.53826388888888888</v>
      </c>
      <c r="G166" s="25" cm="1">
        <f t="array" ref="G166">IFERROR(_xlfn.XLOOKUP(Table57[[#This Row],[Code]],Table1[[#All],[Code]],Table1[[#All],[Time]],,0,-1),"")</f>
        <v>0.92800925925925926</v>
      </c>
      <c r="H166" s="23">
        <f>IFERROR(IF(Table57[[#This Row],[Out]]&gt;=Table57[[#This Row],[In]],Table57[[#This Row],[Out]]-Table57[[#This Row],[In]],(0.5+Table57[[#This Row],[Out]])-Table57[[#This Row],[In]]),"")</f>
        <v>0.38974537037037038</v>
      </c>
      <c r="I166" s="31" t="str">
        <f>IFERROR(IF(Table57[[#This Row],[In]]&gt;$C$2,Table57[[#This Row],[In]]-$C$2,""),"")</f>
        <v/>
      </c>
      <c r="J166" s="31" t="str">
        <f>IF(Table57[[#This Row],[Work_Hours]]=0,"",(IF(Table57[[#This Row],[Out]]&lt;$C$3,$C$3-Table57[[#This Row],[Out]],"")))</f>
        <v/>
      </c>
      <c r="K166" s="32">
        <f>IFERROR(Table57[[#This Row],[In]]+$C$1,"")</f>
        <v>0.87159722222222213</v>
      </c>
      <c r="L166" s="29"/>
      <c r="M166" s="31">
        <f>IF($C$2&gt;Table57[[#This Row],[In]],$C$2-Table57[[#This Row],[In]],"")</f>
        <v>3.4027777777777546E-3</v>
      </c>
      <c r="N166" s="29">
        <f>IFERROR(IF(Table57[[#This Row],[Out]]&gt;$C$3,(Table57[[#This Row],[Out]])-($C$3),""),"")</f>
        <v>1.1342592592592626E-2</v>
      </c>
    </row>
    <row r="167" spans="1:14" x14ac:dyDescent="0.25">
      <c r="A167" s="23" t="str">
        <f>Table57[[#This Row],[No.]]&amp;Table57[[#This Row],[Date]]</f>
        <v>4045298</v>
      </c>
      <c r="B167" s="22">
        <f>'Unique Dates'!A164</f>
        <v>40</v>
      </c>
      <c r="C167" s="22" t="str" cm="1">
        <f t="array" ref="C167">_xlfn.XLOOKUP(Table57[[#This Row],[No.]],Table2[[#All],[CODE]],Table2[[#All],[NAME]],,0,1)</f>
        <v>menna</v>
      </c>
      <c r="D167" s="6">
        <f>'Unique Dates'!B164</f>
        <v>45298</v>
      </c>
      <c r="E167" t="str">
        <f>TEXT(Table57[[#This Row],[Date]],"dddd")</f>
        <v>Sunday</v>
      </c>
      <c r="F167" s="25" cm="1">
        <f t="array" ref="F167">IFERROR(_xlfn.XLOOKUP(Table57[[#This Row],[Code]],Table1[[#All],[Code]],Table1[[#All],[Time]],,0,1),"")</f>
        <v>0.55336805555555557</v>
      </c>
      <c r="G167" s="25" cm="1">
        <f t="array" ref="G167">IFERROR(_xlfn.XLOOKUP(Table57[[#This Row],[Code]],Table1[[#All],[Code]],Table1[[#All],[Time]],,0,-1),"")</f>
        <v>0.85348379629629623</v>
      </c>
      <c r="H167" s="23">
        <f>IFERROR(IF(Table57[[#This Row],[Out]]&gt;=Table57[[#This Row],[In]],Table57[[#This Row],[Out]]-Table57[[#This Row],[In]],(0.5+Table57[[#This Row],[Out]])-Table57[[#This Row],[In]]),"")</f>
        <v>0.30011574074074066</v>
      </c>
      <c r="I167" s="31">
        <f>IFERROR(IF(Table57[[#This Row],[In]]&gt;$C$2,Table57[[#This Row],[In]]-$C$2,""),"")</f>
        <v>1.1701388888888942E-2</v>
      </c>
      <c r="J167" s="31">
        <f>IF(Table57[[#This Row],[Work_Hours]]=0,"",(IF(Table57[[#This Row],[Out]]&lt;$C$3,$C$3-Table57[[#This Row],[Out]],"")))</f>
        <v>6.3182870370370403E-2</v>
      </c>
      <c r="K167" s="32">
        <f>IFERROR(Table57[[#This Row],[In]]+$C$1,"")</f>
        <v>0.88670138888888883</v>
      </c>
      <c r="L167" s="29"/>
      <c r="M167" s="31" t="str">
        <f>IF($C$2&gt;Table57[[#This Row],[In]],$C$2-Table57[[#This Row],[In]],"")</f>
        <v/>
      </c>
      <c r="N167" s="29" t="str">
        <f>IFERROR(IF(Table57[[#This Row],[Out]]&gt;$C$3,(Table57[[#This Row],[Out]])-($C$3),""),"")</f>
        <v/>
      </c>
    </row>
    <row r="168" spans="1:14" x14ac:dyDescent="0.25">
      <c r="A168" s="23" t="str">
        <f>Table57[[#This Row],[No.]]&amp;Table57[[#This Row],[Date]]</f>
        <v>4045300</v>
      </c>
      <c r="B168" s="22">
        <f>'Unique Dates'!A165</f>
        <v>40</v>
      </c>
      <c r="C168" s="22" t="str" cm="1">
        <f t="array" ref="C168">_xlfn.XLOOKUP(Table57[[#This Row],[No.]],Table2[[#All],[CODE]],Table2[[#All],[NAME]],,0,1)</f>
        <v>menna</v>
      </c>
      <c r="D168" s="6">
        <f>'Unique Dates'!B165</f>
        <v>45300</v>
      </c>
      <c r="E168" t="str">
        <f>TEXT(Table57[[#This Row],[Date]],"dddd")</f>
        <v>Tuesday</v>
      </c>
      <c r="F168" s="25" cm="1">
        <f t="array" ref="F168">IFERROR(_xlfn.XLOOKUP(Table57[[#This Row],[Code]],Table1[[#All],[Code]],Table1[[#All],[Time]],,0,1),"")</f>
        <v>0.54335648148148141</v>
      </c>
      <c r="G168" s="25" cm="1">
        <f t="array" ref="G168">IFERROR(_xlfn.XLOOKUP(Table57[[#This Row],[Code]],Table1[[#All],[Code]],Table1[[#All],[Time]],,0,-1),"")</f>
        <v>0.91305555555555562</v>
      </c>
      <c r="H168" s="23">
        <f>IFERROR(IF(Table57[[#This Row],[Out]]&gt;=Table57[[#This Row],[In]],Table57[[#This Row],[Out]]-Table57[[#This Row],[In]],(0.5+Table57[[#This Row],[Out]])-Table57[[#This Row],[In]]),"")</f>
        <v>0.36969907407407421</v>
      </c>
      <c r="I168" s="31">
        <f>IFERROR(IF(Table57[[#This Row],[In]]&gt;$C$2,Table57[[#This Row],[In]]-$C$2,""),"")</f>
        <v>1.6898148148147829E-3</v>
      </c>
      <c r="J168" s="31">
        <f>IF(Table57[[#This Row],[Work_Hours]]=0,"",(IF(Table57[[#This Row],[Out]]&lt;$C$3,$C$3-Table57[[#This Row],[Out]],"")))</f>
        <v>3.6111111111110095E-3</v>
      </c>
      <c r="K168" s="32">
        <f>IFERROR(Table57[[#This Row],[In]]+$C$1,"")</f>
        <v>0.87668981481481478</v>
      </c>
      <c r="L168" s="29"/>
      <c r="M168" s="31" t="str">
        <f>IF($C$2&gt;Table57[[#This Row],[In]],$C$2-Table57[[#This Row],[In]],"")</f>
        <v/>
      </c>
      <c r="N168" s="29" t="str">
        <f>IFERROR(IF(Table57[[#This Row],[Out]]&gt;$C$3,(Table57[[#This Row],[Out]])-($C$3),""),"")</f>
        <v/>
      </c>
    </row>
    <row r="169" spans="1:14" x14ac:dyDescent="0.25">
      <c r="A169" s="23" t="str">
        <f>Table57[[#This Row],[No.]]&amp;Table57[[#This Row],[Date]]</f>
        <v>4045301</v>
      </c>
      <c r="B169" s="22">
        <f>'Unique Dates'!A166</f>
        <v>40</v>
      </c>
      <c r="C169" s="22" t="str" cm="1">
        <f t="array" ref="C169">_xlfn.XLOOKUP(Table57[[#This Row],[No.]],Table2[[#All],[CODE]],Table2[[#All],[NAME]],,0,1)</f>
        <v>menna</v>
      </c>
      <c r="D169" s="6">
        <f>'Unique Dates'!B166</f>
        <v>45301</v>
      </c>
      <c r="E169" t="str">
        <f>TEXT(Table57[[#This Row],[Date]],"dddd")</f>
        <v>Wednesday</v>
      </c>
      <c r="F169" s="25" cm="1">
        <f t="array" ref="F169">IFERROR(_xlfn.XLOOKUP(Table57[[#This Row],[Code]],Table1[[#All],[Code]],Table1[[#All],[Time]],,0,1),"")</f>
        <v>0.55182870370370374</v>
      </c>
      <c r="G169" s="25" cm="1">
        <f t="array" ref="G169">IFERROR(_xlfn.XLOOKUP(Table57[[#This Row],[Code]],Table1[[#All],[Code]],Table1[[#All],[Time]],,0,-1),"")</f>
        <v>0.82998842592592592</v>
      </c>
      <c r="H169" s="23">
        <f>IFERROR(IF(Table57[[#This Row],[Out]]&gt;=Table57[[#This Row],[In]],Table57[[#This Row],[Out]]-Table57[[#This Row],[In]],(0.5+Table57[[#This Row],[Out]])-Table57[[#This Row],[In]]),"")</f>
        <v>0.27815972222222218</v>
      </c>
      <c r="I169" s="31">
        <f>IFERROR(IF(Table57[[#This Row],[In]]&gt;$C$2,Table57[[#This Row],[In]]-$C$2,""),"")</f>
        <v>1.0162037037037108E-2</v>
      </c>
      <c r="J169" s="31">
        <f>IF(Table57[[#This Row],[Work_Hours]]=0,"",(IF(Table57[[#This Row],[Out]]&lt;$C$3,$C$3-Table57[[#This Row],[Out]],"")))</f>
        <v>8.6678240740740709E-2</v>
      </c>
      <c r="K169" s="32">
        <f>IFERROR(Table57[[#This Row],[In]]+$C$1,"")</f>
        <v>0.885162037037037</v>
      </c>
      <c r="L169" s="29"/>
      <c r="M169" s="31" t="str">
        <f>IF($C$2&gt;Table57[[#This Row],[In]],$C$2-Table57[[#This Row],[In]],"")</f>
        <v/>
      </c>
      <c r="N169" s="29" t="str">
        <f>IFERROR(IF(Table57[[#This Row],[Out]]&gt;$C$3,(Table57[[#This Row],[Out]])-($C$3),""),"")</f>
        <v/>
      </c>
    </row>
    <row r="170" spans="1:14" x14ac:dyDescent="0.25">
      <c r="A170" s="23" t="str">
        <f>Table57[[#This Row],[No.]]&amp;Table57[[#This Row],[Date]]</f>
        <v>4045302</v>
      </c>
      <c r="B170" s="22">
        <f>'Unique Dates'!A167</f>
        <v>40</v>
      </c>
      <c r="C170" s="22" t="str" cm="1">
        <f t="array" ref="C170">_xlfn.XLOOKUP(Table57[[#This Row],[No.]],Table2[[#All],[CODE]],Table2[[#All],[NAME]],,0,1)</f>
        <v>menna</v>
      </c>
      <c r="D170" s="6">
        <f>'Unique Dates'!B167</f>
        <v>45302</v>
      </c>
      <c r="E170" t="str">
        <f>TEXT(Table57[[#This Row],[Date]],"dddd")</f>
        <v>Thursday</v>
      </c>
      <c r="F170" s="25" cm="1">
        <f t="array" ref="F170">IFERROR(_xlfn.XLOOKUP(Table57[[#This Row],[Code]],Table1[[#All],[Code]],Table1[[#All],[Time]],,0,1),"")</f>
        <v>0.54105324074074079</v>
      </c>
      <c r="G170" s="25" cm="1">
        <f t="array" ref="G170">IFERROR(_xlfn.XLOOKUP(Table57[[#This Row],[Code]],Table1[[#All],[Code]],Table1[[#All],[Time]],,0,-1),"")</f>
        <v>0.8299305555555555</v>
      </c>
      <c r="H170" s="23">
        <f>IFERROR(IF(Table57[[#This Row],[Out]]&gt;=Table57[[#This Row],[In]],Table57[[#This Row],[Out]]-Table57[[#This Row],[In]],(0.5+Table57[[#This Row],[Out]])-Table57[[#This Row],[In]]),"")</f>
        <v>0.28887731481481471</v>
      </c>
      <c r="I170" s="31" t="str">
        <f>IFERROR(IF(Table57[[#This Row],[In]]&gt;$C$2,Table57[[#This Row],[In]]-$C$2,""),"")</f>
        <v/>
      </c>
      <c r="J170" s="31">
        <f>IF(Table57[[#This Row],[Work_Hours]]=0,"",(IF(Table57[[#This Row],[Out]]&lt;$C$3,$C$3-Table57[[#This Row],[Out]],"")))</f>
        <v>8.6736111111111125E-2</v>
      </c>
      <c r="K170" s="32">
        <f>IFERROR(Table57[[#This Row],[In]]+$C$1,"")</f>
        <v>0.87438657407407416</v>
      </c>
      <c r="L170" s="29"/>
      <c r="M170" s="31">
        <f>IF($C$2&gt;Table57[[#This Row],[In]],$C$2-Table57[[#This Row],[In]],"")</f>
        <v>6.1342592592583678E-4</v>
      </c>
      <c r="N170" s="29" t="str">
        <f>IFERROR(IF(Table57[[#This Row],[Out]]&gt;$C$3,(Table57[[#This Row],[Out]])-($C$3),""),"")</f>
        <v/>
      </c>
    </row>
    <row r="171" spans="1:14" x14ac:dyDescent="0.25">
      <c r="A171" s="23" t="str">
        <f>Table57[[#This Row],[No.]]&amp;Table57[[#This Row],[Date]]</f>
        <v>4045303</v>
      </c>
      <c r="B171" s="22">
        <f>'Unique Dates'!A168</f>
        <v>40</v>
      </c>
      <c r="C171" s="22" t="str" cm="1">
        <f t="array" ref="C171">_xlfn.XLOOKUP(Table57[[#This Row],[No.]],Table2[[#All],[CODE]],Table2[[#All],[NAME]],,0,1)</f>
        <v>menna</v>
      </c>
      <c r="D171" s="6">
        <f>'Unique Dates'!B168</f>
        <v>45303</v>
      </c>
      <c r="E171" t="str">
        <f>TEXT(Table57[[#This Row],[Date]],"dddd")</f>
        <v>Friday</v>
      </c>
      <c r="F171" s="25" cm="1">
        <f t="array" ref="F171">IFERROR(_xlfn.XLOOKUP(Table57[[#This Row],[Code]],Table1[[#All],[Code]],Table1[[#All],[Time]],,0,1),"")</f>
        <v>0.53452546296296299</v>
      </c>
      <c r="G171" s="25" cm="1">
        <f t="array" ref="G171">IFERROR(_xlfn.XLOOKUP(Table57[[#This Row],[Code]],Table1[[#All],[Code]],Table1[[#All],[Time]],,0,-1),"")</f>
        <v>0.91576388888888882</v>
      </c>
      <c r="H171" s="23">
        <f>IFERROR(IF(Table57[[#This Row],[Out]]&gt;=Table57[[#This Row],[In]],Table57[[#This Row],[Out]]-Table57[[#This Row],[In]],(0.5+Table57[[#This Row],[Out]])-Table57[[#This Row],[In]]),"")</f>
        <v>0.38123842592592583</v>
      </c>
      <c r="I171" s="31" t="str">
        <f>IFERROR(IF(Table57[[#This Row],[In]]&gt;$C$2,Table57[[#This Row],[In]]-$C$2,""),"")</f>
        <v/>
      </c>
      <c r="J171" s="31">
        <f>IF(Table57[[#This Row],[Work_Hours]]=0,"",(IF(Table57[[#This Row],[Out]]&lt;$C$3,$C$3-Table57[[#This Row],[Out]],"")))</f>
        <v>9.0277777777780788E-4</v>
      </c>
      <c r="K171" s="32">
        <f>IFERROR(Table57[[#This Row],[In]]+$C$1,"")</f>
        <v>0.86785879629629625</v>
      </c>
      <c r="L171" s="29"/>
      <c r="M171" s="31">
        <f>IF($C$2&gt;Table57[[#This Row],[In]],$C$2-Table57[[#This Row],[In]],"")</f>
        <v>7.1412037037036358E-3</v>
      </c>
      <c r="N171" s="29" t="str">
        <f>IFERROR(IF(Table57[[#This Row],[Out]]&gt;$C$3,(Table57[[#This Row],[Out]])-($C$3),""),"")</f>
        <v/>
      </c>
    </row>
    <row r="172" spans="1:14" x14ac:dyDescent="0.25">
      <c r="A172" s="23" t="str">
        <f>Table57[[#This Row],[No.]]&amp;Table57[[#This Row],[Date]]</f>
        <v>4045304</v>
      </c>
      <c r="B172" s="22">
        <f>'Unique Dates'!A169</f>
        <v>40</v>
      </c>
      <c r="C172" s="22" t="str" cm="1">
        <f t="array" ref="C172">_xlfn.XLOOKUP(Table57[[#This Row],[No.]],Table2[[#All],[CODE]],Table2[[#All],[NAME]],,0,1)</f>
        <v>menna</v>
      </c>
      <c r="D172" s="6">
        <f>'Unique Dates'!B169</f>
        <v>45304</v>
      </c>
      <c r="E172" t="str">
        <f>TEXT(Table57[[#This Row],[Date]],"dddd")</f>
        <v>Saturday</v>
      </c>
      <c r="F172" s="25" cm="1">
        <f t="array" ref="F172">IFERROR(_xlfn.XLOOKUP(Table57[[#This Row],[Code]],Table1[[#All],[Code]],Table1[[#All],[Time]],,0,1),"")</f>
        <v>0.54331018518518526</v>
      </c>
      <c r="G172" s="25" cm="1">
        <f t="array" ref="G172">IFERROR(_xlfn.XLOOKUP(Table57[[#This Row],[Code]],Table1[[#All],[Code]],Table1[[#All],[Time]],,0,-1),"")</f>
        <v>0.54331018518518526</v>
      </c>
      <c r="H172" s="23">
        <f>IFERROR(IF(Table57[[#This Row],[Out]]&gt;=Table57[[#This Row],[In]],Table57[[#This Row],[Out]]-Table57[[#This Row],[In]],(0.5+Table57[[#This Row],[Out]])-Table57[[#This Row],[In]]),"")</f>
        <v>0</v>
      </c>
      <c r="I172" s="31">
        <f>IFERROR(IF(Table57[[#This Row],[In]]&gt;$C$2,Table57[[#This Row],[In]]-$C$2,""),"")</f>
        <v>1.6435185185186274E-3</v>
      </c>
      <c r="J172" s="31" t="str">
        <f>IF(Table57[[#This Row],[Work_Hours]]=0,"",(IF(Table57[[#This Row],[Out]]&lt;$C$3,$C$3-Table57[[#This Row],[Out]],"")))</f>
        <v/>
      </c>
      <c r="K172" s="32">
        <f>IFERROR(Table57[[#This Row],[In]]+$C$1,"")</f>
        <v>0.87664351851851863</v>
      </c>
      <c r="L172" s="29"/>
      <c r="M172" s="31" t="str">
        <f>IF($C$2&gt;Table57[[#This Row],[In]],$C$2-Table57[[#This Row],[In]],"")</f>
        <v/>
      </c>
      <c r="N172" s="29" t="str">
        <f>IFERROR(IF(Table57[[#This Row],[Out]]&gt;$C$3,(Table57[[#This Row],[Out]])-($C$3),""),"")</f>
        <v/>
      </c>
    </row>
    <row r="173" spans="1:14" x14ac:dyDescent="0.25">
      <c r="A173" s="23" t="str">
        <f>Table57[[#This Row],[No.]]&amp;Table57[[#This Row],[Date]]</f>
        <v>4045305</v>
      </c>
      <c r="B173" s="22">
        <f>'Unique Dates'!A170</f>
        <v>40</v>
      </c>
      <c r="C173" s="22" t="str" cm="1">
        <f t="array" ref="C173">_xlfn.XLOOKUP(Table57[[#This Row],[No.]],Table2[[#All],[CODE]],Table2[[#All],[NAME]],,0,1)</f>
        <v>menna</v>
      </c>
      <c r="D173" s="6">
        <f>'Unique Dates'!B170</f>
        <v>45305</v>
      </c>
      <c r="E173" t="str">
        <f>TEXT(Table57[[#This Row],[Date]],"dddd")</f>
        <v>Sunday</v>
      </c>
      <c r="F173" s="25" cm="1">
        <f t="array" ref="F173">IFERROR(_xlfn.XLOOKUP(Table57[[#This Row],[Code]],Table1[[#All],[Code]],Table1[[#All],[Time]],,0,1),"")</f>
        <v>0.55365740740740743</v>
      </c>
      <c r="G173" s="25" cm="1">
        <f t="array" ref="G173">IFERROR(_xlfn.XLOOKUP(Table57[[#This Row],[Code]],Table1[[#All],[Code]],Table1[[#All],[Time]],,0,-1),"")</f>
        <v>0.9518402777777778</v>
      </c>
      <c r="H173" s="23">
        <f>IFERROR(IF(Table57[[#This Row],[Out]]&gt;=Table57[[#This Row],[In]],Table57[[#This Row],[Out]]-Table57[[#This Row],[In]],(0.5+Table57[[#This Row],[Out]])-Table57[[#This Row],[In]]),"")</f>
        <v>0.39818287037037037</v>
      </c>
      <c r="I173" s="31">
        <f>IFERROR(IF(Table57[[#This Row],[In]]&gt;$C$2,Table57[[#This Row],[In]]-$C$2,""),"")</f>
        <v>1.1990740740740802E-2</v>
      </c>
      <c r="J173" s="31" t="str">
        <f>IF(Table57[[#This Row],[Work_Hours]]=0,"",(IF(Table57[[#This Row],[Out]]&lt;$C$3,$C$3-Table57[[#This Row],[Out]],"")))</f>
        <v/>
      </c>
      <c r="K173" s="32">
        <f>IFERROR(Table57[[#This Row],[In]]+$C$1,"")</f>
        <v>0.88699074074074069</v>
      </c>
      <c r="L173" s="29"/>
      <c r="M173" s="31" t="str">
        <f>IF($C$2&gt;Table57[[#This Row],[In]],$C$2-Table57[[#This Row],[In]],"")</f>
        <v/>
      </c>
      <c r="N173" s="29">
        <f>IFERROR(IF(Table57[[#This Row],[Out]]&gt;$C$3,(Table57[[#This Row],[Out]])-($C$3),""),"")</f>
        <v>3.5173611111111169E-2</v>
      </c>
    </row>
    <row r="174" spans="1:14" x14ac:dyDescent="0.25">
      <c r="A174" s="23" t="str">
        <f>Table57[[#This Row],[No.]]&amp;Table57[[#This Row],[Date]]</f>
        <v>4045306</v>
      </c>
      <c r="B174" s="22">
        <f>'Unique Dates'!A171</f>
        <v>40</v>
      </c>
      <c r="C174" s="22" t="str" cm="1">
        <f t="array" ref="C174">_xlfn.XLOOKUP(Table57[[#This Row],[No.]],Table2[[#All],[CODE]],Table2[[#All],[NAME]],,0,1)</f>
        <v>menna</v>
      </c>
      <c r="D174" s="6">
        <f>'Unique Dates'!B171</f>
        <v>45306</v>
      </c>
      <c r="E174" t="str">
        <f>TEXT(Table57[[#This Row],[Date]],"dddd")</f>
        <v>Monday</v>
      </c>
      <c r="F174" s="25" cm="1">
        <f t="array" ref="F174">IFERROR(_xlfn.XLOOKUP(Table57[[#This Row],[Code]],Table1[[#All],[Code]],Table1[[#All],[Time]],,0,1),"")</f>
        <v>0.64353009259259253</v>
      </c>
      <c r="G174" s="25" cm="1">
        <f t="array" ref="G174">IFERROR(_xlfn.XLOOKUP(Table57[[#This Row],[Code]],Table1[[#All],[Code]],Table1[[#All],[Time]],,0,-1),"")</f>
        <v>0.94440972222222219</v>
      </c>
      <c r="H174" s="23">
        <f>IFERROR(IF(Table57[[#This Row],[Out]]&gt;=Table57[[#This Row],[In]],Table57[[#This Row],[Out]]-Table57[[#This Row],[In]],(0.5+Table57[[#This Row],[Out]])-Table57[[#This Row],[In]]),"")</f>
        <v>0.30087962962962966</v>
      </c>
      <c r="I174" s="31">
        <f>IFERROR(IF(Table57[[#This Row],[In]]&gt;$C$2,Table57[[#This Row],[In]]-$C$2,""),"")</f>
        <v>0.1018634259259259</v>
      </c>
      <c r="J174" s="31" t="str">
        <f>IF(Table57[[#This Row],[Work_Hours]]=0,"",(IF(Table57[[#This Row],[Out]]&lt;$C$3,$C$3-Table57[[#This Row],[Out]],"")))</f>
        <v/>
      </c>
      <c r="K174" s="32">
        <f>IFERROR(Table57[[#This Row],[In]]+$C$1,"")</f>
        <v>0.9768634259259259</v>
      </c>
      <c r="L174" s="29"/>
      <c r="M174" s="31" t="str">
        <f>IF($C$2&gt;Table57[[#This Row],[In]],$C$2-Table57[[#This Row],[In]],"")</f>
        <v/>
      </c>
      <c r="N174" s="29">
        <f>IFERROR(IF(Table57[[#This Row],[Out]]&gt;$C$3,(Table57[[#This Row],[Out]])-($C$3),""),"")</f>
        <v>2.7743055555555562E-2</v>
      </c>
    </row>
    <row r="175" spans="1:14" x14ac:dyDescent="0.25">
      <c r="A175" s="23" t="str">
        <f>Table57[[#This Row],[No.]]&amp;Table57[[#This Row],[Date]]</f>
        <v>4045307</v>
      </c>
      <c r="B175" s="22">
        <f>'Unique Dates'!A172</f>
        <v>40</v>
      </c>
      <c r="C175" s="22" t="str" cm="1">
        <f t="array" ref="C175">_xlfn.XLOOKUP(Table57[[#This Row],[No.]],Table2[[#All],[CODE]],Table2[[#All],[NAME]],,0,1)</f>
        <v>menna</v>
      </c>
      <c r="D175" s="6">
        <f>'Unique Dates'!B172</f>
        <v>45307</v>
      </c>
      <c r="E175" t="str">
        <f>TEXT(Table57[[#This Row],[Date]],"dddd")</f>
        <v>Tuesday</v>
      </c>
      <c r="F175" s="25" cm="1">
        <f t="array" ref="F175">IFERROR(_xlfn.XLOOKUP(Table57[[#This Row],[Code]],Table1[[#All],[Code]],Table1[[#All],[Time]],,0,1),"")</f>
        <v>0.60431712962962958</v>
      </c>
      <c r="G175" s="25" cm="1">
        <f t="array" ref="G175">IFERROR(_xlfn.XLOOKUP(Table57[[#This Row],[Code]],Table1[[#All],[Code]],Table1[[#All],[Time]],,0,-1),"")</f>
        <v>0.95672453703703697</v>
      </c>
      <c r="H175" s="23">
        <f>IFERROR(IF(Table57[[#This Row],[Out]]&gt;=Table57[[#This Row],[In]],Table57[[#This Row],[Out]]-Table57[[#This Row],[In]],(0.5+Table57[[#This Row],[Out]])-Table57[[#This Row],[In]]),"")</f>
        <v>0.35240740740740739</v>
      </c>
      <c r="I175" s="31">
        <f>IFERROR(IF(Table57[[#This Row],[In]]&gt;$C$2,Table57[[#This Row],[In]]-$C$2,""),"")</f>
        <v>6.2650462962962949E-2</v>
      </c>
      <c r="J175" s="31" t="str">
        <f>IF(Table57[[#This Row],[Work_Hours]]=0,"",(IF(Table57[[#This Row],[Out]]&lt;$C$3,$C$3-Table57[[#This Row],[Out]],"")))</f>
        <v/>
      </c>
      <c r="K175" s="32">
        <f>IFERROR(Table57[[#This Row],[In]]+$C$1,"")</f>
        <v>0.93765046296296295</v>
      </c>
      <c r="L175" s="29"/>
      <c r="M175" s="31" t="str">
        <f>IF($C$2&gt;Table57[[#This Row],[In]],$C$2-Table57[[#This Row],[In]],"")</f>
        <v/>
      </c>
      <c r="N175" s="29">
        <f>IFERROR(IF(Table57[[#This Row],[Out]]&gt;$C$3,(Table57[[#This Row],[Out]])-($C$3),""),"")</f>
        <v>4.0057870370370341E-2</v>
      </c>
    </row>
    <row r="176" spans="1:14" x14ac:dyDescent="0.25">
      <c r="A176" s="23" t="str">
        <f>Table57[[#This Row],[No.]]&amp;Table57[[#This Row],[Date]]</f>
        <v>4045310</v>
      </c>
      <c r="B176" s="22">
        <f>'Unique Dates'!A173</f>
        <v>40</v>
      </c>
      <c r="C176" s="22" t="str" cm="1">
        <f t="array" ref="C176">_xlfn.XLOOKUP(Table57[[#This Row],[No.]],Table2[[#All],[CODE]],Table2[[#All],[NAME]],,0,1)</f>
        <v>menna</v>
      </c>
      <c r="D176" s="6">
        <f>'Unique Dates'!B173</f>
        <v>45310</v>
      </c>
      <c r="E176" t="str">
        <f>TEXT(Table57[[#This Row],[Date]],"dddd")</f>
        <v>Friday</v>
      </c>
      <c r="F176" s="25" cm="1">
        <f t="array" ref="F176">IFERROR(_xlfn.XLOOKUP(Table57[[#This Row],[Code]],Table1[[#All],[Code]],Table1[[#All],[Time]],,0,1),"")</f>
        <v>0.53528935185185189</v>
      </c>
      <c r="G176" s="25" cm="1">
        <f t="array" ref="G176">IFERROR(_xlfn.XLOOKUP(Table57[[#This Row],[Code]],Table1[[#All],[Code]],Table1[[#All],[Time]],,0,-1),"")</f>
        <v>0.95567129629629621</v>
      </c>
      <c r="H176" s="23">
        <f>IFERROR(IF(Table57[[#This Row],[Out]]&gt;=Table57[[#This Row],[In]],Table57[[#This Row],[Out]]-Table57[[#This Row],[In]],(0.5+Table57[[#This Row],[Out]])-Table57[[#This Row],[In]]),"")</f>
        <v>0.42038194444444432</v>
      </c>
      <c r="I176" s="31" t="str">
        <f>IFERROR(IF(Table57[[#This Row],[In]]&gt;$C$2,Table57[[#This Row],[In]]-$C$2,""),"")</f>
        <v/>
      </c>
      <c r="J176" s="31" t="str">
        <f>IF(Table57[[#This Row],[Work_Hours]]=0,"",(IF(Table57[[#This Row],[Out]]&lt;$C$3,$C$3-Table57[[#This Row],[Out]],"")))</f>
        <v/>
      </c>
      <c r="K176" s="32">
        <f>IFERROR(Table57[[#This Row],[In]]+$C$1,"")</f>
        <v>0.86862268518518526</v>
      </c>
      <c r="L176" s="29"/>
      <c r="M176" s="31">
        <f>IF($C$2&gt;Table57[[#This Row],[In]],$C$2-Table57[[#This Row],[In]],"")</f>
        <v>6.3773148148147385E-3</v>
      </c>
      <c r="N176" s="29">
        <f>IFERROR(IF(Table57[[#This Row],[Out]]&gt;$C$3,(Table57[[#This Row],[Out]])-($C$3),""),"")</f>
        <v>3.9004629629629584E-2</v>
      </c>
    </row>
    <row r="177" spans="1:14" x14ac:dyDescent="0.25">
      <c r="A177" s="23" t="str">
        <f>Table57[[#This Row],[No.]]&amp;Table57[[#This Row],[Date]]</f>
        <v>4045311</v>
      </c>
      <c r="B177" s="22">
        <f>'Unique Dates'!A174</f>
        <v>40</v>
      </c>
      <c r="C177" s="22" t="str" cm="1">
        <f t="array" ref="C177">_xlfn.XLOOKUP(Table57[[#This Row],[No.]],Table2[[#All],[CODE]],Table2[[#All],[NAME]],,0,1)</f>
        <v>menna</v>
      </c>
      <c r="D177" s="6">
        <f>'Unique Dates'!B174</f>
        <v>45311</v>
      </c>
      <c r="E177" t="str">
        <f>TEXT(Table57[[#This Row],[Date]],"dddd")</f>
        <v>Saturday</v>
      </c>
      <c r="F177" s="25" cm="1">
        <f t="array" ref="F177">IFERROR(_xlfn.XLOOKUP(Table57[[#This Row],[Code]],Table1[[#All],[Code]],Table1[[#All],[Time]],,0,1),"")</f>
        <v>0.54473379629629626</v>
      </c>
      <c r="G177" s="25" cm="1">
        <f t="array" ref="G177">IFERROR(_xlfn.XLOOKUP(Table57[[#This Row],[Code]],Table1[[#All],[Code]],Table1[[#All],[Time]],,0,-1),"")</f>
        <v>0.94134259259259256</v>
      </c>
      <c r="H177" s="23">
        <f>IFERROR(IF(Table57[[#This Row],[Out]]&gt;=Table57[[#This Row],[In]],Table57[[#This Row],[Out]]-Table57[[#This Row],[In]],(0.5+Table57[[#This Row],[Out]])-Table57[[#This Row],[In]]),"")</f>
        <v>0.39660879629629631</v>
      </c>
      <c r="I177" s="31">
        <f>IFERROR(IF(Table57[[#This Row],[In]]&gt;$C$2,Table57[[#This Row],[In]]-$C$2,""),"")</f>
        <v>3.067129629629628E-3</v>
      </c>
      <c r="J177" s="31" t="str">
        <f>IF(Table57[[#This Row],[Work_Hours]]=0,"",(IF(Table57[[#This Row],[Out]]&lt;$C$3,$C$3-Table57[[#This Row],[Out]],"")))</f>
        <v/>
      </c>
      <c r="K177" s="32">
        <f>IFERROR(Table57[[#This Row],[In]]+$C$1,"")</f>
        <v>0.87806712962962963</v>
      </c>
      <c r="L177" s="29"/>
      <c r="M177" s="31" t="str">
        <f>IF($C$2&gt;Table57[[#This Row],[In]],$C$2-Table57[[#This Row],[In]],"")</f>
        <v/>
      </c>
      <c r="N177" s="29">
        <f>IFERROR(IF(Table57[[#This Row],[Out]]&gt;$C$3,(Table57[[#This Row],[Out]])-($C$3),""),"")</f>
        <v>2.4675925925925934E-2</v>
      </c>
    </row>
    <row r="178" spans="1:14" x14ac:dyDescent="0.25">
      <c r="A178" s="23" t="str">
        <f>Table57[[#This Row],[No.]]&amp;Table57[[#This Row],[Date]]</f>
        <v>4045312</v>
      </c>
      <c r="B178" s="22">
        <f>'Unique Dates'!A175</f>
        <v>40</v>
      </c>
      <c r="C178" s="22" t="str" cm="1">
        <f t="array" ref="C178">_xlfn.XLOOKUP(Table57[[#This Row],[No.]],Table2[[#All],[CODE]],Table2[[#All],[NAME]],,0,1)</f>
        <v>menna</v>
      </c>
      <c r="D178" s="6">
        <f>'Unique Dates'!B175</f>
        <v>45312</v>
      </c>
      <c r="E178" t="str">
        <f>TEXT(Table57[[#This Row],[Date]],"dddd")</f>
        <v>Sunday</v>
      </c>
      <c r="F178" s="25" cm="1">
        <f t="array" ref="F178">IFERROR(_xlfn.XLOOKUP(Table57[[#This Row],[Code]],Table1[[#All],[Code]],Table1[[#All],[Time]],,0,1),"")</f>
        <v>0.54221064814814812</v>
      </c>
      <c r="G178" s="25" cm="1">
        <f t="array" ref="G178">IFERROR(_xlfn.XLOOKUP(Table57[[#This Row],[Code]],Table1[[#All],[Code]],Table1[[#All],[Time]],,0,-1),"")</f>
        <v>0.92173611111111109</v>
      </c>
      <c r="H178" s="23">
        <f>IFERROR(IF(Table57[[#This Row],[Out]]&gt;=Table57[[#This Row],[In]],Table57[[#This Row],[Out]]-Table57[[#This Row],[In]],(0.5+Table57[[#This Row],[Out]])-Table57[[#This Row],[In]]),"")</f>
        <v>0.37952546296296297</v>
      </c>
      <c r="I178" s="31">
        <f>IFERROR(IF(Table57[[#This Row],[In]]&gt;$C$2,Table57[[#This Row],[In]]-$C$2,""),"")</f>
        <v>5.439814814814925E-4</v>
      </c>
      <c r="J178" s="31" t="str">
        <f>IF(Table57[[#This Row],[Work_Hours]]=0,"",(IF(Table57[[#This Row],[Out]]&lt;$C$3,$C$3-Table57[[#This Row],[Out]],"")))</f>
        <v/>
      </c>
      <c r="K178" s="32">
        <f>IFERROR(Table57[[#This Row],[In]]+$C$1,"")</f>
        <v>0.87554398148148138</v>
      </c>
      <c r="L178" s="29"/>
      <c r="M178" s="31" t="str">
        <f>IF($C$2&gt;Table57[[#This Row],[In]],$C$2-Table57[[#This Row],[In]],"")</f>
        <v/>
      </c>
      <c r="N178" s="29">
        <f>IFERROR(IF(Table57[[#This Row],[Out]]&gt;$C$3,(Table57[[#This Row],[Out]])-($C$3),""),"")</f>
        <v>5.0694444444444597E-3</v>
      </c>
    </row>
    <row r="179" spans="1:14" x14ac:dyDescent="0.25">
      <c r="A179" s="23" t="str">
        <f>Table57[[#This Row],[No.]]&amp;Table57[[#This Row],[Date]]</f>
        <v>4045313</v>
      </c>
      <c r="B179" s="22">
        <f>'Unique Dates'!A176</f>
        <v>40</v>
      </c>
      <c r="C179" s="22" t="str" cm="1">
        <f t="array" ref="C179">_xlfn.XLOOKUP(Table57[[#This Row],[No.]],Table2[[#All],[CODE]],Table2[[#All],[NAME]],,0,1)</f>
        <v>menna</v>
      </c>
      <c r="D179" s="6">
        <f>'Unique Dates'!B176</f>
        <v>45313</v>
      </c>
      <c r="E179" t="str">
        <f>TEXT(Table57[[#This Row],[Date]],"dddd")</f>
        <v>Monday</v>
      </c>
      <c r="F179" s="25" cm="1">
        <f t="array" ref="F179">IFERROR(_xlfn.XLOOKUP(Table57[[#This Row],[Code]],Table1[[#All],[Code]],Table1[[#All],[Time]],,0,1),"")</f>
        <v>0.55574074074074076</v>
      </c>
      <c r="G179" s="25" cm="1">
        <f t="array" ref="G179">IFERROR(_xlfn.XLOOKUP(Table57[[#This Row],[Code]],Table1[[#All],[Code]],Table1[[#All],[Time]],,0,-1),"")</f>
        <v>0.74766203703703704</v>
      </c>
      <c r="H179" s="23">
        <f>IFERROR(IF(Table57[[#This Row],[Out]]&gt;=Table57[[#This Row],[In]],Table57[[#This Row],[Out]]-Table57[[#This Row],[In]],(0.5+Table57[[#This Row],[Out]])-Table57[[#This Row],[In]]),"")</f>
        <v>0.19192129629629628</v>
      </c>
      <c r="I179" s="31">
        <f>IFERROR(IF(Table57[[#This Row],[In]]&gt;$C$2,Table57[[#This Row],[In]]-$C$2,""),"")</f>
        <v>1.4074074074074128E-2</v>
      </c>
      <c r="J179" s="31">
        <f>IF(Table57[[#This Row],[Work_Hours]]=0,"",(IF(Table57[[#This Row],[Out]]&lt;$C$3,$C$3-Table57[[#This Row],[Out]],"")))</f>
        <v>0.16900462962962959</v>
      </c>
      <c r="K179" s="32">
        <f>IFERROR(Table57[[#This Row],[In]]+$C$1,"")</f>
        <v>0.88907407407407413</v>
      </c>
      <c r="L179" s="29"/>
      <c r="M179" s="31" t="str">
        <f>IF($C$2&gt;Table57[[#This Row],[In]],$C$2-Table57[[#This Row],[In]],"")</f>
        <v/>
      </c>
      <c r="N179" s="29" t="str">
        <f>IFERROR(IF(Table57[[#This Row],[Out]]&gt;$C$3,(Table57[[#This Row],[Out]])-($C$3),""),"")</f>
        <v/>
      </c>
    </row>
    <row r="180" spans="1:14" x14ac:dyDescent="0.25">
      <c r="A180" s="23" t="str">
        <f>Table57[[#This Row],[No.]]&amp;Table57[[#This Row],[Date]]</f>
        <v>4045314</v>
      </c>
      <c r="B180" s="22">
        <f>'Unique Dates'!A177</f>
        <v>40</v>
      </c>
      <c r="C180" s="22" t="str" cm="1">
        <f t="array" ref="C180">_xlfn.XLOOKUP(Table57[[#This Row],[No.]],Table2[[#All],[CODE]],Table2[[#All],[NAME]],,0,1)</f>
        <v>menna</v>
      </c>
      <c r="D180" s="6">
        <f>'Unique Dates'!B177</f>
        <v>45314</v>
      </c>
      <c r="E180" t="str">
        <f>TEXT(Table57[[#This Row],[Date]],"dddd")</f>
        <v>Tuesday</v>
      </c>
      <c r="F180" s="25" cm="1">
        <f t="array" ref="F180">IFERROR(_xlfn.XLOOKUP(Table57[[#This Row],[Code]],Table1[[#All],[Code]],Table1[[#All],[Time]],,0,1),"")</f>
        <v>0.5571180555555556</v>
      </c>
      <c r="G180" s="25" cm="1">
        <f t="array" ref="G180">IFERROR(_xlfn.XLOOKUP(Table57[[#This Row],[Code]],Table1[[#All],[Code]],Table1[[#All],[Time]],,0,-1),"")</f>
        <v>0.91252314814814817</v>
      </c>
      <c r="H180" s="23">
        <f>IFERROR(IF(Table57[[#This Row],[Out]]&gt;=Table57[[#This Row],[In]],Table57[[#This Row],[Out]]-Table57[[#This Row],[In]],(0.5+Table57[[#This Row],[Out]])-Table57[[#This Row],[In]]),"")</f>
        <v>0.35540509259259256</v>
      </c>
      <c r="I180" s="31">
        <f>IFERROR(IF(Table57[[#This Row],[In]]&gt;$C$2,Table57[[#This Row],[In]]-$C$2,""),"")</f>
        <v>1.5451388888888973E-2</v>
      </c>
      <c r="J180" s="31">
        <f>IF(Table57[[#This Row],[Work_Hours]]=0,"",(IF(Table57[[#This Row],[Out]]&lt;$C$3,$C$3-Table57[[#This Row],[Out]],"")))</f>
        <v>4.1435185185184631E-3</v>
      </c>
      <c r="K180" s="32">
        <f>IFERROR(Table57[[#This Row],[In]]+$C$1,"")</f>
        <v>0.89045138888888897</v>
      </c>
      <c r="L180" s="29"/>
      <c r="M180" s="31" t="str">
        <f>IF($C$2&gt;Table57[[#This Row],[In]],$C$2-Table57[[#This Row],[In]],"")</f>
        <v/>
      </c>
      <c r="N180" s="29" t="str">
        <f>IFERROR(IF(Table57[[#This Row],[Out]]&gt;$C$3,(Table57[[#This Row],[Out]])-($C$3),""),"")</f>
        <v/>
      </c>
    </row>
    <row r="181" spans="1:14" x14ac:dyDescent="0.25">
      <c r="A181" s="23" t="str">
        <f>Table57[[#This Row],[No.]]&amp;Table57[[#This Row],[Date]]</f>
        <v>4045317</v>
      </c>
      <c r="B181" s="22">
        <f>'Unique Dates'!A178</f>
        <v>40</v>
      </c>
      <c r="C181" s="22" t="str" cm="1">
        <f t="array" ref="C181">_xlfn.XLOOKUP(Table57[[#This Row],[No.]],Table2[[#All],[CODE]],Table2[[#All],[NAME]],,0,1)</f>
        <v>menna</v>
      </c>
      <c r="D181" s="6">
        <f>'Unique Dates'!B178</f>
        <v>45317</v>
      </c>
      <c r="E181" t="str">
        <f>TEXT(Table57[[#This Row],[Date]],"dddd")</f>
        <v>Friday</v>
      </c>
      <c r="F181" s="25" cm="1">
        <f t="array" ref="F181">IFERROR(_xlfn.XLOOKUP(Table57[[#This Row],[Code]],Table1[[#All],[Code]],Table1[[#All],[Time]],,0,1),"")</f>
        <v>0.53925925925925922</v>
      </c>
      <c r="G181" s="25" cm="1">
        <f t="array" ref="G181">IFERROR(_xlfn.XLOOKUP(Table57[[#This Row],[Code]],Table1[[#All],[Code]],Table1[[#All],[Time]],,0,-1),"")</f>
        <v>0.9158680555555555</v>
      </c>
      <c r="H181" s="23">
        <f>IFERROR(IF(Table57[[#This Row],[Out]]&gt;=Table57[[#This Row],[In]],Table57[[#This Row],[Out]]-Table57[[#This Row],[In]],(0.5+Table57[[#This Row],[Out]])-Table57[[#This Row],[In]]),"")</f>
        <v>0.37660879629629629</v>
      </c>
      <c r="I181" s="31" t="str">
        <f>IFERROR(IF(Table57[[#This Row],[In]]&gt;$C$2,Table57[[#This Row],[In]]-$C$2,""),"")</f>
        <v/>
      </c>
      <c r="J181" s="31">
        <f>IF(Table57[[#This Row],[Work_Hours]]=0,"",(IF(Table57[[#This Row],[Out]]&lt;$C$3,$C$3-Table57[[#This Row],[Out]],"")))</f>
        <v>7.9861111111112493E-4</v>
      </c>
      <c r="K181" s="32">
        <f>IFERROR(Table57[[#This Row],[In]]+$C$1,"")</f>
        <v>0.87259259259259259</v>
      </c>
      <c r="L181" s="29"/>
      <c r="M181" s="31">
        <f>IF($C$2&gt;Table57[[#This Row],[In]],$C$2-Table57[[#This Row],[In]],"")</f>
        <v>2.4074074074074137E-3</v>
      </c>
      <c r="N181" s="29" t="str">
        <f>IFERROR(IF(Table57[[#This Row],[Out]]&gt;$C$3,(Table57[[#This Row],[Out]])-($C$3),""),"")</f>
        <v/>
      </c>
    </row>
    <row r="182" spans="1:14" x14ac:dyDescent="0.25">
      <c r="A182" s="23" t="str">
        <f>Table57[[#This Row],[No.]]&amp;Table57[[#This Row],[Date]]</f>
        <v>4045318</v>
      </c>
      <c r="B182" s="22">
        <f>'Unique Dates'!A179</f>
        <v>40</v>
      </c>
      <c r="C182" s="22" t="str" cm="1">
        <f t="array" ref="C182">_xlfn.XLOOKUP(Table57[[#This Row],[No.]],Table2[[#All],[CODE]],Table2[[#All],[NAME]],,0,1)</f>
        <v>menna</v>
      </c>
      <c r="D182" s="6">
        <f>'Unique Dates'!B179</f>
        <v>45318</v>
      </c>
      <c r="E182" t="str">
        <f>TEXT(Table57[[#This Row],[Date]],"dddd")</f>
        <v>Saturday</v>
      </c>
      <c r="F182" s="25" cm="1">
        <f t="array" ref="F182">IFERROR(_xlfn.XLOOKUP(Table57[[#This Row],[Code]],Table1[[#All],[Code]],Table1[[#All],[Time]],,0,1),"")</f>
        <v>0.55031249999999998</v>
      </c>
      <c r="G182" s="25" cm="1">
        <f t="array" ref="G182">IFERROR(_xlfn.XLOOKUP(Table57[[#This Row],[Code]],Table1[[#All],[Code]],Table1[[#All],[Time]],,0,-1),"")</f>
        <v>0.55031249999999998</v>
      </c>
      <c r="H182" s="23">
        <f>IFERROR(IF(Table57[[#This Row],[Out]]&gt;=Table57[[#This Row],[In]],Table57[[#This Row],[Out]]-Table57[[#This Row],[In]],(0.5+Table57[[#This Row],[Out]])-Table57[[#This Row],[In]]),"")</f>
        <v>0</v>
      </c>
      <c r="I182" s="31">
        <f>IFERROR(IF(Table57[[#This Row],[In]]&gt;$C$2,Table57[[#This Row],[In]]-$C$2,""),"")</f>
        <v>8.6458333333333526E-3</v>
      </c>
      <c r="J182" s="31" t="str">
        <f>IF(Table57[[#This Row],[Work_Hours]]=0,"",(IF(Table57[[#This Row],[Out]]&lt;$C$3,$C$3-Table57[[#This Row],[Out]],"")))</f>
        <v/>
      </c>
      <c r="K182" s="32">
        <f>IFERROR(Table57[[#This Row],[In]]+$C$1,"")</f>
        <v>0.88364583333333324</v>
      </c>
      <c r="L182" s="29"/>
      <c r="M182" s="31" t="str">
        <f>IF($C$2&gt;Table57[[#This Row],[In]],$C$2-Table57[[#This Row],[In]],"")</f>
        <v/>
      </c>
      <c r="N182" s="29" t="str">
        <f>IFERROR(IF(Table57[[#This Row],[Out]]&gt;$C$3,(Table57[[#This Row],[Out]])-($C$3),""),"")</f>
        <v/>
      </c>
    </row>
    <row r="183" spans="1:14" x14ac:dyDescent="0.25">
      <c r="A183" s="23" t="str">
        <f>Table57[[#This Row],[No.]]&amp;Table57[[#This Row],[Date]]</f>
        <v>4045319</v>
      </c>
      <c r="B183" s="22">
        <f>'Unique Dates'!A180</f>
        <v>40</v>
      </c>
      <c r="C183" s="22" t="str" cm="1">
        <f t="array" ref="C183">_xlfn.XLOOKUP(Table57[[#This Row],[No.]],Table2[[#All],[CODE]],Table2[[#All],[NAME]],,0,1)</f>
        <v>menna</v>
      </c>
      <c r="D183" s="6">
        <f>'Unique Dates'!B180</f>
        <v>45319</v>
      </c>
      <c r="E183" t="str">
        <f>TEXT(Table57[[#This Row],[Date]],"dddd")</f>
        <v>Sunday</v>
      </c>
      <c r="F183" s="25" cm="1">
        <f t="array" ref="F183">IFERROR(_xlfn.XLOOKUP(Table57[[#This Row],[Code]],Table1[[#All],[Code]],Table1[[#All],[Time]],,0,1),"")</f>
        <v>0.96777777777777774</v>
      </c>
      <c r="G183" s="25" cm="1">
        <f t="array" ref="G183">IFERROR(_xlfn.XLOOKUP(Table57[[#This Row],[Code]],Table1[[#All],[Code]],Table1[[#All],[Time]],,0,-1),"")</f>
        <v>0.96777777777777774</v>
      </c>
      <c r="H183" s="23">
        <f>IFERROR(IF(Table57[[#This Row],[Out]]&gt;=Table57[[#This Row],[In]],Table57[[#This Row],[Out]]-Table57[[#This Row],[In]],(0.5+Table57[[#This Row],[Out]])-Table57[[#This Row],[In]]),"")</f>
        <v>0</v>
      </c>
      <c r="I183" s="31">
        <f>IFERROR(IF(Table57[[#This Row],[In]]&gt;$C$2,Table57[[#This Row],[In]]-$C$2,""),"")</f>
        <v>0.42611111111111111</v>
      </c>
      <c r="J183" s="31" t="str">
        <f>IF(Table57[[#This Row],[Work_Hours]]=0,"",(IF(Table57[[#This Row],[Out]]&lt;$C$3,$C$3-Table57[[#This Row],[Out]],"")))</f>
        <v/>
      </c>
      <c r="K183" s="32">
        <f>IFERROR(Table57[[#This Row],[In]]+$C$1,"")</f>
        <v>1.3011111111111111</v>
      </c>
      <c r="L183" s="29"/>
      <c r="M183" s="31" t="str">
        <f>IF($C$2&gt;Table57[[#This Row],[In]],$C$2-Table57[[#This Row],[In]],"")</f>
        <v/>
      </c>
      <c r="N183" s="29">
        <f>IFERROR(IF(Table57[[#This Row],[Out]]&gt;$C$3,(Table57[[#This Row],[Out]])-($C$3),""),"")</f>
        <v>5.1111111111111107E-2</v>
      </c>
    </row>
    <row r="184" spans="1:14" hidden="1" x14ac:dyDescent="0.25">
      <c r="A184" s="23" t="str">
        <f>Table57[[#This Row],[No.]]&amp;Table57[[#This Row],[Date]]</f>
        <v>00</v>
      </c>
      <c r="B184" s="22">
        <f>'Unique Dates'!A181</f>
        <v>0</v>
      </c>
      <c r="C184" s="22" t="e" cm="1">
        <f t="array" ref="C184">_xlfn.XLOOKUP(Table57[[#This Row],[No.]],Table2[[#All],[CODE]],Table2[[#All],[NAME]],,0,1)</f>
        <v>#N/A</v>
      </c>
      <c r="D184" s="6">
        <f>'Unique Dates'!B181</f>
        <v>0</v>
      </c>
      <c r="E184" t="str">
        <f>TEXT(Table57[[#This Row],[Date]],"dddd")</f>
        <v>Saturday</v>
      </c>
      <c r="F184" s="25" t="str" cm="1">
        <f t="array" ref="F184">IFERROR(_xlfn.XLOOKUP(Table57[[#This Row],[Code]],Table1[[#All],[Code]],Table1[[#All],[Time]],,0,1),"")</f>
        <v/>
      </c>
      <c r="G184" s="25" t="str" cm="1">
        <f t="array" ref="G184">IFERROR(_xlfn.XLOOKUP(Table57[[#This Row],[Code]],Table1[[#All],[Code]],Table1[[#All],[Time]],,0,-1),"")</f>
        <v/>
      </c>
      <c r="H184" s="23" t="str">
        <f>IFERROR(IF(Table57[[#This Row],[Out]]&gt;=Table57[[#This Row],[In]],Table57[[#This Row],[Out]]-Table57[[#This Row],[In]],(0.5+Table57[[#This Row],[Out]])-Table57[[#This Row],[In]]),"")</f>
        <v/>
      </c>
      <c r="I184" s="31" t="str">
        <f>IFERROR(IF(Table57[[#This Row],[In]]&gt;$C$2,Table57[[#This Row],[In]]-$C$2,""),"")</f>
        <v/>
      </c>
      <c r="J184" s="31" t="str">
        <f>IF(Table57[[#This Row],[Work_Hours]]=0,"",(IF(Table57[[#This Row],[Out]]&lt;$C$3,$C$3-Table57[[#This Row],[Out]],"")))</f>
        <v/>
      </c>
      <c r="K184" s="32" t="str">
        <f>IFERROR(Table57[[#This Row],[In]]+$C$1,"")</f>
        <v/>
      </c>
      <c r="L184" s="29"/>
      <c r="M184" s="31" t="str">
        <f>IF($C$2&gt;Table57[[#This Row],[In]],$C$2-Table57[[#This Row],[In]],"")</f>
        <v/>
      </c>
      <c r="N184" s="29" t="str">
        <f>IFERROR(IF(Table57[[#This Row],[Out]]&gt;$C$3,(Table57[[#This Row],[Out]])-($C$3),""),"")</f>
        <v/>
      </c>
    </row>
    <row r="185" spans="1:14" hidden="1" x14ac:dyDescent="0.25">
      <c r="A185" s="23" t="str">
        <f>Table57[[#This Row],[No.]]&amp;Table57[[#This Row],[Date]]</f>
        <v>00</v>
      </c>
      <c r="B185" s="22">
        <f>'Unique Dates'!A182</f>
        <v>0</v>
      </c>
      <c r="C185" s="22" t="e" cm="1">
        <f t="array" ref="C185">_xlfn.XLOOKUP(Table57[[#This Row],[No.]],Table2[[#All],[CODE]],Table2[[#All],[NAME]],,0,1)</f>
        <v>#N/A</v>
      </c>
      <c r="D185" s="6">
        <f>'Unique Dates'!B182</f>
        <v>0</v>
      </c>
      <c r="E185" t="str">
        <f>TEXT(Table57[[#This Row],[Date]],"dddd")</f>
        <v>Saturday</v>
      </c>
      <c r="F185" s="25" t="str" cm="1">
        <f t="array" ref="F185">IFERROR(_xlfn.XLOOKUP(Table57[[#This Row],[Code]],Table1[[#All],[Code]],Table1[[#All],[Time]],,0,1),"")</f>
        <v/>
      </c>
      <c r="G185" s="25" t="str" cm="1">
        <f t="array" ref="G185">IFERROR(_xlfn.XLOOKUP(Table57[[#This Row],[Code]],Table1[[#All],[Code]],Table1[[#All],[Time]],,0,-1),"")</f>
        <v/>
      </c>
      <c r="H185" s="23" t="str">
        <f>IFERROR(IF(Table57[[#This Row],[Out]]&gt;=Table57[[#This Row],[In]],Table57[[#This Row],[Out]]-Table57[[#This Row],[In]],(0.5+Table57[[#This Row],[Out]])-Table57[[#This Row],[In]]),"")</f>
        <v/>
      </c>
      <c r="I185" s="31" t="str">
        <f>IFERROR(IF(Table57[[#This Row],[In]]&gt;$C$2,Table57[[#This Row],[In]]-$C$2,""),"")</f>
        <v/>
      </c>
      <c r="J185" s="31" t="str">
        <f>IF(Table57[[#This Row],[Work_Hours]]=0,"",(IF(Table57[[#This Row],[Out]]&lt;$C$3,$C$3-Table57[[#This Row],[Out]],"")))</f>
        <v/>
      </c>
      <c r="K185" s="32" t="str">
        <f>IFERROR(Table57[[#This Row],[In]]+$C$1,"")</f>
        <v/>
      </c>
      <c r="L185" s="29"/>
      <c r="M185" s="31" t="str">
        <f>IF($C$2&gt;Table57[[#This Row],[In]],$C$2-Table57[[#This Row],[In]],"")</f>
        <v/>
      </c>
      <c r="N185" s="29" t="str">
        <f>IFERROR(IF(Table57[[#This Row],[Out]]&gt;$C$3,(Table57[[#This Row],[Out]])-($C$3),""),"")</f>
        <v/>
      </c>
    </row>
    <row r="186" spans="1:14" hidden="1" x14ac:dyDescent="0.25">
      <c r="A186" s="23" t="str">
        <f>Table57[[#This Row],[No.]]&amp;Table57[[#This Row],[Date]]</f>
        <v>00</v>
      </c>
      <c r="B186" s="22">
        <f>'Unique Dates'!A183</f>
        <v>0</v>
      </c>
      <c r="C186" s="22" t="e" cm="1">
        <f t="array" ref="C186">_xlfn.XLOOKUP(Table57[[#This Row],[No.]],Table2[[#All],[CODE]],Table2[[#All],[NAME]],,0,1)</f>
        <v>#N/A</v>
      </c>
      <c r="D186" s="6">
        <f>'Unique Dates'!B183</f>
        <v>0</v>
      </c>
      <c r="E186" t="str">
        <f>TEXT(Table57[[#This Row],[Date]],"dddd")</f>
        <v>Saturday</v>
      </c>
      <c r="F186" s="25" t="str" cm="1">
        <f t="array" ref="F186">IFERROR(_xlfn.XLOOKUP(Table57[[#This Row],[Code]],Table1[[#All],[Code]],Table1[[#All],[Time]],,0,1),"")</f>
        <v/>
      </c>
      <c r="G186" s="25" t="str" cm="1">
        <f t="array" ref="G186">IFERROR(_xlfn.XLOOKUP(Table57[[#This Row],[Code]],Table1[[#All],[Code]],Table1[[#All],[Time]],,0,-1),"")</f>
        <v/>
      </c>
      <c r="H186" s="23" t="str">
        <f>IFERROR(IF(Table57[[#This Row],[Out]]&gt;=Table57[[#This Row],[In]],Table57[[#This Row],[Out]]-Table57[[#This Row],[In]],(0.5+Table57[[#This Row],[Out]])-Table57[[#This Row],[In]]),"")</f>
        <v/>
      </c>
      <c r="I186" s="31" t="str">
        <f>IFERROR(IF(Table57[[#This Row],[In]]&gt;$C$2,Table57[[#This Row],[In]]-$C$2,""),"")</f>
        <v/>
      </c>
      <c r="J186" s="31" t="str">
        <f>IF(Table57[[#This Row],[Work_Hours]]=0,"",(IF(Table57[[#This Row],[Out]]&lt;$C$3,$C$3-Table57[[#This Row],[Out]],"")))</f>
        <v/>
      </c>
      <c r="K186" s="32" t="str">
        <f>IFERROR(Table57[[#This Row],[In]]+$C$1,"")</f>
        <v/>
      </c>
      <c r="L186" s="29"/>
      <c r="M186" s="31" t="str">
        <f>IF($C$2&gt;Table57[[#This Row],[In]],$C$2-Table57[[#This Row],[In]],"")</f>
        <v/>
      </c>
      <c r="N186" s="29" t="str">
        <f>IFERROR(IF(Table57[[#This Row],[Out]]&gt;$C$3,(Table57[[#This Row],[Out]])-($C$3),""),"")</f>
        <v/>
      </c>
    </row>
    <row r="187" spans="1:14" hidden="1" x14ac:dyDescent="0.25">
      <c r="A187" s="23" t="str">
        <f>Table57[[#This Row],[No.]]&amp;Table57[[#This Row],[Date]]</f>
        <v>00</v>
      </c>
      <c r="B187" s="22">
        <f>'Unique Dates'!A184</f>
        <v>0</v>
      </c>
      <c r="C187" s="22" t="e" cm="1">
        <f t="array" ref="C187">_xlfn.XLOOKUP(Table57[[#This Row],[No.]],Table2[[#All],[CODE]],Table2[[#All],[NAME]],,0,1)</f>
        <v>#N/A</v>
      </c>
      <c r="D187" s="6">
        <f>'Unique Dates'!B184</f>
        <v>0</v>
      </c>
      <c r="E187" t="str">
        <f>TEXT(Table57[[#This Row],[Date]],"dddd")</f>
        <v>Saturday</v>
      </c>
      <c r="F187" s="25" t="str" cm="1">
        <f t="array" ref="F187">IFERROR(_xlfn.XLOOKUP(Table57[[#This Row],[Code]],Table1[[#All],[Code]],Table1[[#All],[Time]],,0,1),"")</f>
        <v/>
      </c>
      <c r="G187" s="25" t="str" cm="1">
        <f t="array" ref="G187">IFERROR(_xlfn.XLOOKUP(Table57[[#This Row],[Code]],Table1[[#All],[Code]],Table1[[#All],[Time]],,0,-1),"")</f>
        <v/>
      </c>
      <c r="H187" s="23" t="str">
        <f>IFERROR(IF(Table57[[#This Row],[Out]]&gt;=Table57[[#This Row],[In]],Table57[[#This Row],[Out]]-Table57[[#This Row],[In]],(0.5+Table57[[#This Row],[Out]])-Table57[[#This Row],[In]]),"")</f>
        <v/>
      </c>
      <c r="I187" s="31" t="str">
        <f>IFERROR(IF(Table57[[#This Row],[In]]&gt;$C$2,Table57[[#This Row],[In]]-$C$2,""),"")</f>
        <v/>
      </c>
      <c r="J187" s="31" t="str">
        <f>IF(Table57[[#This Row],[Work_Hours]]=0,"",(IF(Table57[[#This Row],[Out]]&lt;$C$3,$C$3-Table57[[#This Row],[Out]],"")))</f>
        <v/>
      </c>
      <c r="K187" s="32" t="str">
        <f>IFERROR(Table57[[#This Row],[In]]+$C$1,"")</f>
        <v/>
      </c>
      <c r="L187" s="29"/>
      <c r="M187" s="31" t="str">
        <f>IF($C$2&gt;Table57[[#This Row],[In]],$C$2-Table57[[#This Row],[In]],"")</f>
        <v/>
      </c>
      <c r="N187" s="29" t="str">
        <f>IFERROR(IF(Table57[[#This Row],[Out]]&gt;$C$3,(Table57[[#This Row],[Out]])-($C$3),""),"")</f>
        <v/>
      </c>
    </row>
    <row r="188" spans="1:14" hidden="1" x14ac:dyDescent="0.25">
      <c r="A188" s="23" t="str">
        <f>Table57[[#This Row],[No.]]&amp;Table57[[#This Row],[Date]]</f>
        <v>00</v>
      </c>
      <c r="B188" s="22">
        <f>'Unique Dates'!A185</f>
        <v>0</v>
      </c>
      <c r="C188" s="22" t="e" cm="1">
        <f t="array" ref="C188">_xlfn.XLOOKUP(Table57[[#This Row],[No.]],Table2[[#All],[CODE]],Table2[[#All],[NAME]],,0,1)</f>
        <v>#N/A</v>
      </c>
      <c r="D188" s="6">
        <f>'Unique Dates'!B185</f>
        <v>0</v>
      </c>
      <c r="E188" t="str">
        <f>TEXT(Table57[[#This Row],[Date]],"dddd")</f>
        <v>Saturday</v>
      </c>
      <c r="F188" s="25" t="str" cm="1">
        <f t="array" ref="F188">IFERROR(_xlfn.XLOOKUP(Table57[[#This Row],[Code]],Table1[[#All],[Code]],Table1[[#All],[Time]],,0,1),"")</f>
        <v/>
      </c>
      <c r="G188" s="25" t="str" cm="1">
        <f t="array" ref="G188">IFERROR(_xlfn.XLOOKUP(Table57[[#This Row],[Code]],Table1[[#All],[Code]],Table1[[#All],[Time]],,0,-1),"")</f>
        <v/>
      </c>
      <c r="H188" s="23" t="str">
        <f>IFERROR(IF(Table57[[#This Row],[Out]]&gt;=Table57[[#This Row],[In]],Table57[[#This Row],[Out]]-Table57[[#This Row],[In]],(0.5+Table57[[#This Row],[Out]])-Table57[[#This Row],[In]]),"")</f>
        <v/>
      </c>
      <c r="I188" s="31" t="str">
        <f>IFERROR(IF(Table57[[#This Row],[In]]&gt;$C$2,Table57[[#This Row],[In]]-$C$2,""),"")</f>
        <v/>
      </c>
      <c r="J188" s="31" t="str">
        <f>IF(Table57[[#This Row],[Work_Hours]]=0,"",(IF(Table57[[#This Row],[Out]]&lt;$C$3,$C$3-Table57[[#This Row],[Out]],"")))</f>
        <v/>
      </c>
      <c r="K188" s="32" t="str">
        <f>IFERROR(Table57[[#This Row],[In]]+$C$1,"")</f>
        <v/>
      </c>
      <c r="L188" s="29"/>
      <c r="M188" s="31" t="str">
        <f>IF($C$2&gt;Table57[[#This Row],[In]],$C$2-Table57[[#This Row],[In]],"")</f>
        <v/>
      </c>
      <c r="N188" s="29" t="str">
        <f>IFERROR(IF(Table57[[#This Row],[Out]]&gt;$C$3,(Table57[[#This Row],[Out]])-($C$3),""),"")</f>
        <v/>
      </c>
    </row>
    <row r="189" spans="1:14" hidden="1" x14ac:dyDescent="0.25">
      <c r="A189" s="23" t="str">
        <f>Table57[[#This Row],[No.]]&amp;Table57[[#This Row],[Date]]</f>
        <v>00</v>
      </c>
      <c r="B189" s="22">
        <f>'Unique Dates'!A186</f>
        <v>0</v>
      </c>
      <c r="C189" s="22" t="e" cm="1">
        <f t="array" ref="C189">_xlfn.XLOOKUP(Table57[[#This Row],[No.]],Table2[[#All],[CODE]],Table2[[#All],[NAME]],,0,1)</f>
        <v>#N/A</v>
      </c>
      <c r="D189" s="6">
        <f>'Unique Dates'!B186</f>
        <v>0</v>
      </c>
      <c r="E189" t="str">
        <f>TEXT(Table57[[#This Row],[Date]],"dddd")</f>
        <v>Saturday</v>
      </c>
      <c r="F189" s="25" t="str" cm="1">
        <f t="array" ref="F189">IFERROR(_xlfn.XLOOKUP(Table57[[#This Row],[Code]],Table1[[#All],[Code]],Table1[[#All],[Time]],,0,1),"")</f>
        <v/>
      </c>
      <c r="G189" s="25" t="str" cm="1">
        <f t="array" ref="G189">IFERROR(_xlfn.XLOOKUP(Table57[[#This Row],[Code]],Table1[[#All],[Code]],Table1[[#All],[Time]],,0,-1),"")</f>
        <v/>
      </c>
      <c r="H189" s="23" t="str">
        <f>IFERROR(IF(Table57[[#This Row],[Out]]&gt;=Table57[[#This Row],[In]],Table57[[#This Row],[Out]]-Table57[[#This Row],[In]],(0.5+Table57[[#This Row],[Out]])-Table57[[#This Row],[In]]),"")</f>
        <v/>
      </c>
      <c r="I189" s="31" t="str">
        <f>IFERROR(IF(Table57[[#This Row],[In]]&gt;$C$2,Table57[[#This Row],[In]]-$C$2,""),"")</f>
        <v/>
      </c>
      <c r="J189" s="31" t="str">
        <f>IF(Table57[[#This Row],[Work_Hours]]=0,"",(IF(Table57[[#This Row],[Out]]&lt;$C$3,$C$3-Table57[[#This Row],[Out]],"")))</f>
        <v/>
      </c>
      <c r="K189" s="32" t="str">
        <f>IFERROR(Table57[[#This Row],[In]]+$C$1,"")</f>
        <v/>
      </c>
      <c r="L189" s="29"/>
      <c r="M189" s="31" t="str">
        <f>IF($C$2&gt;Table57[[#This Row],[In]],$C$2-Table57[[#This Row],[In]],"")</f>
        <v/>
      </c>
      <c r="N189" s="29" t="str">
        <f>IFERROR(IF(Table57[[#This Row],[Out]]&gt;$C$3,(Table57[[#This Row],[Out]])-($C$3),""),"")</f>
        <v/>
      </c>
    </row>
    <row r="190" spans="1:14" hidden="1" x14ac:dyDescent="0.25">
      <c r="A190" s="23" t="str">
        <f>Table57[[#This Row],[No.]]&amp;Table57[[#This Row],[Date]]</f>
        <v>00</v>
      </c>
      <c r="B190" s="22">
        <f>'Unique Dates'!A187</f>
        <v>0</v>
      </c>
      <c r="C190" s="22" t="e" cm="1">
        <f t="array" ref="C190">_xlfn.XLOOKUP(Table57[[#This Row],[No.]],Table2[[#All],[CODE]],Table2[[#All],[NAME]],,0,1)</f>
        <v>#N/A</v>
      </c>
      <c r="D190" s="6">
        <f>'Unique Dates'!B187</f>
        <v>0</v>
      </c>
      <c r="E190" t="str">
        <f>TEXT(Table57[[#This Row],[Date]],"dddd")</f>
        <v>Saturday</v>
      </c>
      <c r="F190" s="25" t="str" cm="1">
        <f t="array" ref="F190">IFERROR(_xlfn.XLOOKUP(Table57[[#This Row],[Code]],Table1[[#All],[Code]],Table1[[#All],[Time]],,0,1),"")</f>
        <v/>
      </c>
      <c r="G190" s="25" t="str" cm="1">
        <f t="array" ref="G190">IFERROR(_xlfn.XLOOKUP(Table57[[#This Row],[Code]],Table1[[#All],[Code]],Table1[[#All],[Time]],,0,-1),"")</f>
        <v/>
      </c>
      <c r="H190" s="23" t="str">
        <f>IFERROR(IF(Table57[[#This Row],[Out]]&gt;=Table57[[#This Row],[In]],Table57[[#This Row],[Out]]-Table57[[#This Row],[In]],(0.5+Table57[[#This Row],[Out]])-Table57[[#This Row],[In]]),"")</f>
        <v/>
      </c>
      <c r="I190" s="31" t="str">
        <f>IFERROR(IF(Table57[[#This Row],[In]]&gt;$C$2,Table57[[#This Row],[In]]-$C$2,""),"")</f>
        <v/>
      </c>
      <c r="J190" s="31" t="str">
        <f>IF(Table57[[#This Row],[Work_Hours]]=0,"",(IF(Table57[[#This Row],[Out]]&lt;$C$3,$C$3-Table57[[#This Row],[Out]],"")))</f>
        <v/>
      </c>
      <c r="K190" s="32" t="str">
        <f>IFERROR(Table57[[#This Row],[In]]+$C$1,"")</f>
        <v/>
      </c>
      <c r="L190" s="29"/>
      <c r="M190" s="31" t="str">
        <f>IF($C$2&gt;Table57[[#This Row],[In]],$C$2-Table57[[#This Row],[In]],"")</f>
        <v/>
      </c>
      <c r="N190" s="29" t="str">
        <f>IFERROR(IF(Table57[[#This Row],[Out]]&gt;$C$3,(Table57[[#This Row],[Out]])-($C$3),""),"")</f>
        <v/>
      </c>
    </row>
    <row r="191" spans="1:14" hidden="1" x14ac:dyDescent="0.25">
      <c r="A191" s="23" t="str">
        <f>Table57[[#This Row],[No.]]&amp;Table57[[#This Row],[Date]]</f>
        <v>00</v>
      </c>
      <c r="B191" s="22">
        <f>'Unique Dates'!A188</f>
        <v>0</v>
      </c>
      <c r="C191" s="22" t="e" cm="1">
        <f t="array" ref="C191">_xlfn.XLOOKUP(Table57[[#This Row],[No.]],Table2[[#All],[CODE]],Table2[[#All],[NAME]],,0,1)</f>
        <v>#N/A</v>
      </c>
      <c r="D191" s="6">
        <f>'Unique Dates'!B188</f>
        <v>0</v>
      </c>
      <c r="E191" t="str">
        <f>TEXT(Table57[[#This Row],[Date]],"dddd")</f>
        <v>Saturday</v>
      </c>
      <c r="F191" s="25" t="str" cm="1">
        <f t="array" ref="F191">IFERROR(_xlfn.XLOOKUP(Table57[[#This Row],[Code]],Table1[[#All],[Code]],Table1[[#All],[Time]],,0,1),"")</f>
        <v/>
      </c>
      <c r="G191" s="25" t="str" cm="1">
        <f t="array" ref="G191">IFERROR(_xlfn.XLOOKUP(Table57[[#This Row],[Code]],Table1[[#All],[Code]],Table1[[#All],[Time]],,0,-1),"")</f>
        <v/>
      </c>
      <c r="H191" s="23" t="str">
        <f>IFERROR(IF(Table57[[#This Row],[Out]]&gt;=Table57[[#This Row],[In]],Table57[[#This Row],[Out]]-Table57[[#This Row],[In]],(0.5+Table57[[#This Row],[Out]])-Table57[[#This Row],[In]]),"")</f>
        <v/>
      </c>
      <c r="I191" s="31" t="str">
        <f>IFERROR(IF(Table57[[#This Row],[In]]&gt;$C$2,Table57[[#This Row],[In]]-$C$2,""),"")</f>
        <v/>
      </c>
      <c r="J191" s="31" t="str">
        <f>IF(Table57[[#This Row],[Work_Hours]]=0,"",(IF(Table57[[#This Row],[Out]]&lt;$C$3,$C$3-Table57[[#This Row],[Out]],"")))</f>
        <v/>
      </c>
      <c r="K191" s="32" t="str">
        <f>IFERROR(Table57[[#This Row],[In]]+$C$1,"")</f>
        <v/>
      </c>
      <c r="L191" s="29"/>
      <c r="M191" s="31" t="str">
        <f>IF($C$2&gt;Table57[[#This Row],[In]],$C$2-Table57[[#This Row],[In]],"")</f>
        <v/>
      </c>
      <c r="N191" s="29" t="str">
        <f>IFERROR(IF(Table57[[#This Row],[Out]]&gt;$C$3,(Table57[[#This Row],[Out]])-($C$3),""),"")</f>
        <v/>
      </c>
    </row>
    <row r="192" spans="1:14" hidden="1" x14ac:dyDescent="0.25">
      <c r="A192" s="23" t="str">
        <f>Table57[[#This Row],[No.]]&amp;Table57[[#This Row],[Date]]</f>
        <v>00</v>
      </c>
      <c r="B192" s="22">
        <f>'Unique Dates'!A189</f>
        <v>0</v>
      </c>
      <c r="C192" s="22" t="e" cm="1">
        <f t="array" ref="C192">_xlfn.XLOOKUP(Table57[[#This Row],[No.]],Table2[[#All],[CODE]],Table2[[#All],[NAME]],,0,1)</f>
        <v>#N/A</v>
      </c>
      <c r="D192" s="6">
        <f>'Unique Dates'!B189</f>
        <v>0</v>
      </c>
      <c r="E192" t="str">
        <f>TEXT(Table57[[#This Row],[Date]],"dddd")</f>
        <v>Saturday</v>
      </c>
      <c r="F192" s="25" t="str" cm="1">
        <f t="array" ref="F192">IFERROR(_xlfn.XLOOKUP(Table57[[#This Row],[Code]],Table1[[#All],[Code]],Table1[[#All],[Time]],,0,1),"")</f>
        <v/>
      </c>
      <c r="G192" s="25" t="str" cm="1">
        <f t="array" ref="G192">IFERROR(_xlfn.XLOOKUP(Table57[[#This Row],[Code]],Table1[[#All],[Code]],Table1[[#All],[Time]],,0,-1),"")</f>
        <v/>
      </c>
      <c r="H192" s="23" t="str">
        <f>IFERROR(IF(Table57[[#This Row],[Out]]&gt;=Table57[[#This Row],[In]],Table57[[#This Row],[Out]]-Table57[[#This Row],[In]],(0.5+Table57[[#This Row],[Out]])-Table57[[#This Row],[In]]),"")</f>
        <v/>
      </c>
      <c r="I192" s="31" t="str">
        <f>IFERROR(IF(Table57[[#This Row],[In]]&gt;$C$2,Table57[[#This Row],[In]]-$C$2,""),"")</f>
        <v/>
      </c>
      <c r="J192" s="31" t="str">
        <f>IF(Table57[[#This Row],[Work_Hours]]=0,"",(IF(Table57[[#This Row],[Out]]&lt;$C$3,$C$3-Table57[[#This Row],[Out]],"")))</f>
        <v/>
      </c>
      <c r="K192" s="32" t="str">
        <f>IFERROR(Table57[[#This Row],[In]]+$C$1,"")</f>
        <v/>
      </c>
      <c r="L192" s="29"/>
      <c r="M192" s="31" t="str">
        <f>IF($C$2&gt;Table57[[#This Row],[In]],$C$2-Table57[[#This Row],[In]],"")</f>
        <v/>
      </c>
      <c r="N192" s="29" t="str">
        <f>IFERROR(IF(Table57[[#This Row],[Out]]&gt;$C$3,(Table57[[#This Row],[Out]])-($C$3),""),"")</f>
        <v/>
      </c>
    </row>
    <row r="193" spans="1:14" hidden="1" x14ac:dyDescent="0.25">
      <c r="A193" s="23" t="str">
        <f>Table57[[#This Row],[No.]]&amp;Table57[[#This Row],[Date]]</f>
        <v>00</v>
      </c>
      <c r="B193" s="22">
        <f>'Unique Dates'!A190</f>
        <v>0</v>
      </c>
      <c r="C193" s="22" t="e" cm="1">
        <f t="array" ref="C193">_xlfn.XLOOKUP(Table57[[#This Row],[No.]],Table2[[#All],[CODE]],Table2[[#All],[NAME]],,0,1)</f>
        <v>#N/A</v>
      </c>
      <c r="D193" s="6">
        <f>'Unique Dates'!B190</f>
        <v>0</v>
      </c>
      <c r="E193" t="str">
        <f>TEXT(Table57[[#This Row],[Date]],"dddd")</f>
        <v>Saturday</v>
      </c>
      <c r="F193" s="25" t="str" cm="1">
        <f t="array" ref="F193">IFERROR(_xlfn.XLOOKUP(Table57[[#This Row],[Code]],Table1[[#All],[Code]],Table1[[#All],[Time]],,0,1),"")</f>
        <v/>
      </c>
      <c r="G193" s="25" t="str" cm="1">
        <f t="array" ref="G193">IFERROR(_xlfn.XLOOKUP(Table57[[#This Row],[Code]],Table1[[#All],[Code]],Table1[[#All],[Time]],,0,-1),"")</f>
        <v/>
      </c>
      <c r="H193" s="23" t="str">
        <f>IFERROR(IF(Table57[[#This Row],[Out]]&gt;=Table57[[#This Row],[In]],Table57[[#This Row],[Out]]-Table57[[#This Row],[In]],(0.5+Table57[[#This Row],[Out]])-Table57[[#This Row],[In]]),"")</f>
        <v/>
      </c>
      <c r="I193" s="31" t="str">
        <f>IFERROR(IF(Table57[[#This Row],[In]]&gt;$C$2,Table57[[#This Row],[In]]-$C$2,""),"")</f>
        <v/>
      </c>
      <c r="J193" s="31" t="str">
        <f>IF(Table57[[#This Row],[Work_Hours]]=0,"",(IF(Table57[[#This Row],[Out]]&lt;$C$3,$C$3-Table57[[#This Row],[Out]],"")))</f>
        <v/>
      </c>
      <c r="K193" s="32" t="str">
        <f>IFERROR(Table57[[#This Row],[In]]+$C$1,"")</f>
        <v/>
      </c>
      <c r="L193" s="29"/>
      <c r="M193" s="31" t="str">
        <f>IF($C$2&gt;Table57[[#This Row],[In]],$C$2-Table57[[#This Row],[In]],"")</f>
        <v/>
      </c>
      <c r="N193" s="29" t="str">
        <f>IFERROR(IF(Table57[[#This Row],[Out]]&gt;$C$3,(Table57[[#This Row],[Out]])-($C$3),""),"")</f>
        <v/>
      </c>
    </row>
    <row r="194" spans="1:14" hidden="1" x14ac:dyDescent="0.25">
      <c r="A194" s="23" t="str">
        <f>Table57[[#This Row],[No.]]&amp;Table57[[#This Row],[Date]]</f>
        <v>00</v>
      </c>
      <c r="B194" s="22">
        <f>'Unique Dates'!A191</f>
        <v>0</v>
      </c>
      <c r="C194" s="22" t="e" cm="1">
        <f t="array" ref="C194">_xlfn.XLOOKUP(Table57[[#This Row],[No.]],Table2[[#All],[CODE]],Table2[[#All],[NAME]],,0,1)</f>
        <v>#N/A</v>
      </c>
      <c r="D194" s="6">
        <f>'Unique Dates'!B191</f>
        <v>0</v>
      </c>
      <c r="E194" t="str">
        <f>TEXT(Table57[[#This Row],[Date]],"dddd")</f>
        <v>Saturday</v>
      </c>
      <c r="F194" s="25" t="str" cm="1">
        <f t="array" ref="F194">IFERROR(_xlfn.XLOOKUP(Table57[[#This Row],[Code]],Table1[[#All],[Code]],Table1[[#All],[Time]],,0,1),"")</f>
        <v/>
      </c>
      <c r="G194" s="25" t="str" cm="1">
        <f t="array" ref="G194">IFERROR(_xlfn.XLOOKUP(Table57[[#This Row],[Code]],Table1[[#All],[Code]],Table1[[#All],[Time]],,0,-1),"")</f>
        <v/>
      </c>
      <c r="H194" s="23" t="str">
        <f>IFERROR(IF(Table57[[#This Row],[Out]]&gt;=Table57[[#This Row],[In]],Table57[[#This Row],[Out]]-Table57[[#This Row],[In]],(0.5+Table57[[#This Row],[Out]])-Table57[[#This Row],[In]]),"")</f>
        <v/>
      </c>
      <c r="I194" s="31" t="str">
        <f>IFERROR(IF(Table57[[#This Row],[In]]&gt;$C$2,Table57[[#This Row],[In]]-$C$2,""),"")</f>
        <v/>
      </c>
      <c r="J194" s="31" t="str">
        <f>IF(Table57[[#This Row],[Work_Hours]]=0,"",(IF(Table57[[#This Row],[Out]]&lt;$C$3,$C$3-Table57[[#This Row],[Out]],"")))</f>
        <v/>
      </c>
      <c r="K194" s="32" t="str">
        <f>IFERROR(Table57[[#This Row],[In]]+$C$1,"")</f>
        <v/>
      </c>
      <c r="L194" s="29"/>
      <c r="M194" s="31" t="str">
        <f>IF($C$2&gt;Table57[[#This Row],[In]],$C$2-Table57[[#This Row],[In]],"")</f>
        <v/>
      </c>
      <c r="N194" s="29" t="str">
        <f>IFERROR(IF(Table57[[#This Row],[Out]]&gt;$C$3,(Table57[[#This Row],[Out]])-($C$3),""),"")</f>
        <v/>
      </c>
    </row>
    <row r="195" spans="1:14" hidden="1" x14ac:dyDescent="0.25">
      <c r="A195" s="23" t="str">
        <f>Table57[[#This Row],[No.]]&amp;Table57[[#This Row],[Date]]</f>
        <v>00</v>
      </c>
      <c r="B195" s="22">
        <f>'Unique Dates'!A192</f>
        <v>0</v>
      </c>
      <c r="C195" s="22" t="e" cm="1">
        <f t="array" ref="C195">_xlfn.XLOOKUP(Table57[[#This Row],[No.]],Table2[[#All],[CODE]],Table2[[#All],[NAME]],,0,1)</f>
        <v>#N/A</v>
      </c>
      <c r="D195" s="6">
        <f>'Unique Dates'!B192</f>
        <v>0</v>
      </c>
      <c r="E195" t="str">
        <f>TEXT(Table57[[#This Row],[Date]],"dddd")</f>
        <v>Saturday</v>
      </c>
      <c r="F195" s="25" t="str" cm="1">
        <f t="array" ref="F195">IFERROR(_xlfn.XLOOKUP(Table57[[#This Row],[Code]],Table1[[#All],[Code]],Table1[[#All],[Time]],,0,1),"")</f>
        <v/>
      </c>
      <c r="G195" s="25" t="str" cm="1">
        <f t="array" ref="G195">IFERROR(_xlfn.XLOOKUP(Table57[[#This Row],[Code]],Table1[[#All],[Code]],Table1[[#All],[Time]],,0,-1),"")</f>
        <v/>
      </c>
      <c r="H195" s="23" t="str">
        <f>IFERROR(IF(Table57[[#This Row],[Out]]&gt;=Table57[[#This Row],[In]],Table57[[#This Row],[Out]]-Table57[[#This Row],[In]],(0.5+Table57[[#This Row],[Out]])-Table57[[#This Row],[In]]),"")</f>
        <v/>
      </c>
      <c r="I195" s="31" t="str">
        <f>IFERROR(IF(Table57[[#This Row],[In]]&gt;$C$2,Table57[[#This Row],[In]]-$C$2,""),"")</f>
        <v/>
      </c>
      <c r="J195" s="31" t="str">
        <f>IF(Table57[[#This Row],[Work_Hours]]=0,"",(IF(Table57[[#This Row],[Out]]&lt;$C$3,$C$3-Table57[[#This Row],[Out]],"")))</f>
        <v/>
      </c>
      <c r="K195" s="32" t="str">
        <f>IFERROR(Table57[[#This Row],[In]]+$C$1,"")</f>
        <v/>
      </c>
      <c r="L195" s="29"/>
      <c r="M195" s="31" t="str">
        <f>IF($C$2&gt;Table57[[#This Row],[In]],$C$2-Table57[[#This Row],[In]],"")</f>
        <v/>
      </c>
      <c r="N195" s="29" t="str">
        <f>IFERROR(IF(Table57[[#This Row],[Out]]&gt;$C$3,(Table57[[#This Row],[Out]])-($C$3),""),"")</f>
        <v/>
      </c>
    </row>
    <row r="196" spans="1:14" hidden="1" x14ac:dyDescent="0.25">
      <c r="A196" s="23" t="str">
        <f>Table57[[#This Row],[No.]]&amp;Table57[[#This Row],[Date]]</f>
        <v>00</v>
      </c>
      <c r="B196" s="22">
        <f>'Unique Dates'!A193</f>
        <v>0</v>
      </c>
      <c r="C196" s="22" t="e" cm="1">
        <f t="array" ref="C196">_xlfn.XLOOKUP(Table57[[#This Row],[No.]],Table2[[#All],[CODE]],Table2[[#All],[NAME]],,0,1)</f>
        <v>#N/A</v>
      </c>
      <c r="D196" s="6">
        <f>'Unique Dates'!B193</f>
        <v>0</v>
      </c>
      <c r="E196" t="str">
        <f>TEXT(Table57[[#This Row],[Date]],"dddd")</f>
        <v>Saturday</v>
      </c>
      <c r="F196" s="25" t="str" cm="1">
        <f t="array" ref="F196">IFERROR(_xlfn.XLOOKUP(Table57[[#This Row],[Code]],Table1[[#All],[Code]],Table1[[#All],[Time]],,0,1),"")</f>
        <v/>
      </c>
      <c r="G196" s="25" t="str" cm="1">
        <f t="array" ref="G196">IFERROR(_xlfn.XLOOKUP(Table57[[#This Row],[Code]],Table1[[#All],[Code]],Table1[[#All],[Time]],,0,-1),"")</f>
        <v/>
      </c>
      <c r="H196" s="23" t="str">
        <f>IFERROR(IF(Table57[[#This Row],[Out]]&gt;=Table57[[#This Row],[In]],Table57[[#This Row],[Out]]-Table57[[#This Row],[In]],(0.5+Table57[[#This Row],[Out]])-Table57[[#This Row],[In]]),"")</f>
        <v/>
      </c>
      <c r="I196" s="31" t="str">
        <f>IFERROR(IF(Table57[[#This Row],[In]]&gt;$C$2,Table57[[#This Row],[In]]-$C$2,""),"")</f>
        <v/>
      </c>
      <c r="J196" s="31" t="str">
        <f>IF(Table57[[#This Row],[Work_Hours]]=0,"",(IF(Table57[[#This Row],[Out]]&lt;$C$3,$C$3-Table57[[#This Row],[Out]],"")))</f>
        <v/>
      </c>
      <c r="K196" s="32" t="str">
        <f>IFERROR(Table57[[#This Row],[In]]+$C$1,"")</f>
        <v/>
      </c>
      <c r="L196" s="29"/>
      <c r="M196" s="31" t="str">
        <f>IF($C$2&gt;Table57[[#This Row],[In]],$C$2-Table57[[#This Row],[In]],"")</f>
        <v/>
      </c>
      <c r="N196" s="29" t="str">
        <f>IFERROR(IF(Table57[[#This Row],[Out]]&gt;$C$3,(Table57[[#This Row],[Out]])-($C$3),""),"")</f>
        <v/>
      </c>
    </row>
    <row r="197" spans="1:14" hidden="1" x14ac:dyDescent="0.25">
      <c r="A197" s="23" t="str">
        <f>Table57[[#This Row],[No.]]&amp;Table57[[#This Row],[Date]]</f>
        <v>00</v>
      </c>
      <c r="B197" s="22">
        <f>'Unique Dates'!A194</f>
        <v>0</v>
      </c>
      <c r="C197" s="22" t="e" cm="1">
        <f t="array" ref="C197">_xlfn.XLOOKUP(Table57[[#This Row],[No.]],Table2[[#All],[CODE]],Table2[[#All],[NAME]],,0,1)</f>
        <v>#N/A</v>
      </c>
      <c r="D197" s="6">
        <f>'Unique Dates'!B194</f>
        <v>0</v>
      </c>
      <c r="E197" t="str">
        <f>TEXT(Table57[[#This Row],[Date]],"dddd")</f>
        <v>Saturday</v>
      </c>
      <c r="F197" s="25" t="str" cm="1">
        <f t="array" ref="F197">IFERROR(_xlfn.XLOOKUP(Table57[[#This Row],[Code]],Table1[[#All],[Code]],Table1[[#All],[Time]],,0,1),"")</f>
        <v/>
      </c>
      <c r="G197" s="25" t="str" cm="1">
        <f t="array" ref="G197">IFERROR(_xlfn.XLOOKUP(Table57[[#This Row],[Code]],Table1[[#All],[Code]],Table1[[#All],[Time]],,0,-1),"")</f>
        <v/>
      </c>
      <c r="H197" s="23" t="str">
        <f>IFERROR(IF(Table57[[#This Row],[Out]]&gt;=Table57[[#This Row],[In]],Table57[[#This Row],[Out]]-Table57[[#This Row],[In]],(0.5+Table57[[#This Row],[Out]])-Table57[[#This Row],[In]]),"")</f>
        <v/>
      </c>
      <c r="I197" s="31" t="str">
        <f>IFERROR(IF(Table57[[#This Row],[In]]&gt;$C$2,Table57[[#This Row],[In]]-$C$2,""),"")</f>
        <v/>
      </c>
      <c r="J197" s="31" t="str">
        <f>IF(Table57[[#This Row],[Work_Hours]]=0,"",(IF(Table57[[#This Row],[Out]]&lt;$C$3,$C$3-Table57[[#This Row],[Out]],"")))</f>
        <v/>
      </c>
      <c r="K197" s="32" t="str">
        <f>IFERROR(Table57[[#This Row],[In]]+$C$1,"")</f>
        <v/>
      </c>
      <c r="L197" s="29"/>
      <c r="M197" s="31" t="str">
        <f>IF($C$2&gt;Table57[[#This Row],[In]],$C$2-Table57[[#This Row],[In]],"")</f>
        <v/>
      </c>
      <c r="N197" s="29" t="str">
        <f>IFERROR(IF(Table57[[#This Row],[Out]]&gt;$C$3,(Table57[[#This Row],[Out]])-($C$3),""),"")</f>
        <v/>
      </c>
    </row>
    <row r="198" spans="1:14" hidden="1" x14ac:dyDescent="0.25">
      <c r="A198" s="23" t="str">
        <f>Table57[[#This Row],[No.]]&amp;Table57[[#This Row],[Date]]</f>
        <v>00</v>
      </c>
      <c r="B198" s="22">
        <f>'Unique Dates'!A195</f>
        <v>0</v>
      </c>
      <c r="C198" s="22" t="e" cm="1">
        <f t="array" ref="C198">_xlfn.XLOOKUP(Table57[[#This Row],[No.]],Table2[[#All],[CODE]],Table2[[#All],[NAME]],,0,1)</f>
        <v>#N/A</v>
      </c>
      <c r="D198" s="6">
        <f>'Unique Dates'!B195</f>
        <v>0</v>
      </c>
      <c r="E198" t="str">
        <f>TEXT(Table57[[#This Row],[Date]],"dddd")</f>
        <v>Saturday</v>
      </c>
      <c r="F198" s="25" t="str" cm="1">
        <f t="array" ref="F198">IFERROR(_xlfn.XLOOKUP(Table57[[#This Row],[Code]],Table1[[#All],[Code]],Table1[[#All],[Time]],,0,1),"")</f>
        <v/>
      </c>
      <c r="G198" s="25" t="str" cm="1">
        <f t="array" ref="G198">IFERROR(_xlfn.XLOOKUP(Table57[[#This Row],[Code]],Table1[[#All],[Code]],Table1[[#All],[Time]],,0,-1),"")</f>
        <v/>
      </c>
      <c r="H198" s="23" t="str">
        <f>IFERROR(IF(Table57[[#This Row],[Out]]&gt;=Table57[[#This Row],[In]],Table57[[#This Row],[Out]]-Table57[[#This Row],[In]],(0.5+Table57[[#This Row],[Out]])-Table57[[#This Row],[In]]),"")</f>
        <v/>
      </c>
      <c r="I198" s="31" t="str">
        <f>IFERROR(IF(Table57[[#This Row],[In]]&gt;$C$2,Table57[[#This Row],[In]]-$C$2,""),"")</f>
        <v/>
      </c>
      <c r="J198" s="31" t="str">
        <f>IF(Table57[[#This Row],[Work_Hours]]=0,"",(IF(Table57[[#This Row],[Out]]&lt;$C$3,$C$3-Table57[[#This Row],[Out]],"")))</f>
        <v/>
      </c>
      <c r="K198" s="32" t="str">
        <f>IFERROR(Table57[[#This Row],[In]]+$C$1,"")</f>
        <v/>
      </c>
      <c r="L198" s="29"/>
      <c r="M198" s="31" t="str">
        <f>IF($C$2&gt;Table57[[#This Row],[In]],$C$2-Table57[[#This Row],[In]],"")</f>
        <v/>
      </c>
      <c r="N198" s="29" t="str">
        <f>IFERROR(IF(Table57[[#This Row],[Out]]&gt;$C$3,(Table57[[#This Row],[Out]])-($C$3),""),"")</f>
        <v/>
      </c>
    </row>
    <row r="199" spans="1:14" hidden="1" x14ac:dyDescent="0.25">
      <c r="A199" s="23" t="str">
        <f>Table57[[#This Row],[No.]]&amp;Table57[[#This Row],[Date]]</f>
        <v>00</v>
      </c>
      <c r="B199" s="22">
        <f>'Unique Dates'!A196</f>
        <v>0</v>
      </c>
      <c r="C199" s="22" t="e" cm="1">
        <f t="array" ref="C199">_xlfn.XLOOKUP(Table57[[#This Row],[No.]],Table2[[#All],[CODE]],Table2[[#All],[NAME]],,0,1)</f>
        <v>#N/A</v>
      </c>
      <c r="D199" s="6">
        <f>'Unique Dates'!B196</f>
        <v>0</v>
      </c>
      <c r="E199" t="str">
        <f>TEXT(Table57[[#This Row],[Date]],"dddd")</f>
        <v>Saturday</v>
      </c>
      <c r="F199" s="25" t="str" cm="1">
        <f t="array" ref="F199">IFERROR(_xlfn.XLOOKUP(Table57[[#This Row],[Code]],Table1[[#All],[Code]],Table1[[#All],[Time]],,0,1),"")</f>
        <v/>
      </c>
      <c r="G199" s="25" t="str" cm="1">
        <f t="array" ref="G199">IFERROR(_xlfn.XLOOKUP(Table57[[#This Row],[Code]],Table1[[#All],[Code]],Table1[[#All],[Time]],,0,-1),"")</f>
        <v/>
      </c>
      <c r="H199" s="23" t="str">
        <f>IFERROR(IF(Table57[[#This Row],[Out]]&gt;=Table57[[#This Row],[In]],Table57[[#This Row],[Out]]-Table57[[#This Row],[In]],(0.5+Table57[[#This Row],[Out]])-Table57[[#This Row],[In]]),"")</f>
        <v/>
      </c>
      <c r="I199" s="31" t="str">
        <f>IFERROR(IF(Table57[[#This Row],[In]]&gt;$C$2,Table57[[#This Row],[In]]-$C$2,""),"")</f>
        <v/>
      </c>
      <c r="J199" s="31" t="str">
        <f>IF(Table57[[#This Row],[Work_Hours]]=0,"",(IF(Table57[[#This Row],[Out]]&lt;$C$3,$C$3-Table57[[#This Row],[Out]],"")))</f>
        <v/>
      </c>
      <c r="K199" s="32" t="str">
        <f>IFERROR(Table57[[#This Row],[In]]+$C$1,"")</f>
        <v/>
      </c>
      <c r="L199" s="29"/>
      <c r="M199" s="31" t="str">
        <f>IF($C$2&gt;Table57[[#This Row],[In]],$C$2-Table57[[#This Row],[In]],"")</f>
        <v/>
      </c>
      <c r="N199" s="29" t="str">
        <f>IFERROR(IF(Table57[[#This Row],[Out]]&gt;$C$3,(Table57[[#This Row],[Out]])-($C$3),""),"")</f>
        <v/>
      </c>
    </row>
    <row r="200" spans="1:14" hidden="1" x14ac:dyDescent="0.25">
      <c r="A200" s="23" t="str">
        <f>Table57[[#This Row],[No.]]&amp;Table57[[#This Row],[Date]]</f>
        <v>00</v>
      </c>
      <c r="B200" s="22">
        <f>'Unique Dates'!A197</f>
        <v>0</v>
      </c>
      <c r="C200" s="22" t="e" cm="1">
        <f t="array" ref="C200">_xlfn.XLOOKUP(Table57[[#This Row],[No.]],Table2[[#All],[CODE]],Table2[[#All],[NAME]],,0,1)</f>
        <v>#N/A</v>
      </c>
      <c r="D200" s="6">
        <f>'Unique Dates'!B197</f>
        <v>0</v>
      </c>
      <c r="E200" t="str">
        <f>TEXT(Table57[[#This Row],[Date]],"dddd")</f>
        <v>Saturday</v>
      </c>
      <c r="F200" s="25" t="str" cm="1">
        <f t="array" ref="F200">IFERROR(_xlfn.XLOOKUP(Table57[[#This Row],[Code]],Table1[[#All],[Code]],Table1[[#All],[Time]],,0,1),"")</f>
        <v/>
      </c>
      <c r="G200" s="25" t="str" cm="1">
        <f t="array" ref="G200">IFERROR(_xlfn.XLOOKUP(Table57[[#This Row],[Code]],Table1[[#All],[Code]],Table1[[#All],[Time]],,0,-1),"")</f>
        <v/>
      </c>
      <c r="H200" s="23" t="str">
        <f>IFERROR(IF(Table57[[#This Row],[Out]]&gt;=Table57[[#This Row],[In]],Table57[[#This Row],[Out]]-Table57[[#This Row],[In]],(0.5+Table57[[#This Row],[Out]])-Table57[[#This Row],[In]]),"")</f>
        <v/>
      </c>
      <c r="I200" s="31" t="str">
        <f>IFERROR(IF(Table57[[#This Row],[In]]&gt;$C$2,Table57[[#This Row],[In]]-$C$2,""),"")</f>
        <v/>
      </c>
      <c r="J200" s="31" t="str">
        <f>IF(Table57[[#This Row],[Work_Hours]]=0,"",(IF(Table57[[#This Row],[Out]]&lt;$C$3,$C$3-Table57[[#This Row],[Out]],"")))</f>
        <v/>
      </c>
      <c r="K200" s="32" t="str">
        <f>IFERROR(Table57[[#This Row],[In]]+$C$1,"")</f>
        <v/>
      </c>
      <c r="L200" s="29"/>
      <c r="M200" s="31" t="str">
        <f>IF($C$2&gt;Table57[[#This Row],[In]],$C$2-Table57[[#This Row],[In]],"")</f>
        <v/>
      </c>
      <c r="N200" s="29" t="str">
        <f>IFERROR(IF(Table57[[#This Row],[Out]]&gt;$C$3,(Table57[[#This Row],[Out]])-($C$3),""),"")</f>
        <v/>
      </c>
    </row>
    <row r="201" spans="1:14" hidden="1" x14ac:dyDescent="0.25">
      <c r="A201" s="23" t="str">
        <f>Table57[[#This Row],[No.]]&amp;Table57[[#This Row],[Date]]</f>
        <v>00</v>
      </c>
      <c r="B201" s="22">
        <f>'Unique Dates'!A198</f>
        <v>0</v>
      </c>
      <c r="C201" s="22" t="e" cm="1">
        <f t="array" ref="C201">_xlfn.XLOOKUP(Table57[[#This Row],[No.]],Table2[[#All],[CODE]],Table2[[#All],[NAME]],,0,1)</f>
        <v>#N/A</v>
      </c>
      <c r="D201" s="6">
        <f>'Unique Dates'!B198</f>
        <v>0</v>
      </c>
      <c r="E201" t="str">
        <f>TEXT(Table57[[#This Row],[Date]],"dddd")</f>
        <v>Saturday</v>
      </c>
      <c r="F201" s="25" t="str" cm="1">
        <f t="array" ref="F201">IFERROR(_xlfn.XLOOKUP(Table57[[#This Row],[Code]],Table1[[#All],[Code]],Table1[[#All],[Time]],,0,1),"")</f>
        <v/>
      </c>
      <c r="G201" s="25" t="str" cm="1">
        <f t="array" ref="G201">IFERROR(_xlfn.XLOOKUP(Table57[[#This Row],[Code]],Table1[[#All],[Code]],Table1[[#All],[Time]],,0,-1),"")</f>
        <v/>
      </c>
      <c r="H201" s="23" t="str">
        <f>IFERROR(IF(Table57[[#This Row],[Out]]&gt;=Table57[[#This Row],[In]],Table57[[#This Row],[Out]]-Table57[[#This Row],[In]],(0.5+Table57[[#This Row],[Out]])-Table57[[#This Row],[In]]),"")</f>
        <v/>
      </c>
      <c r="I201" s="31" t="str">
        <f>IFERROR(IF(Table57[[#This Row],[In]]&gt;$C$2,Table57[[#This Row],[In]]-$C$2,""),"")</f>
        <v/>
      </c>
      <c r="J201" s="31" t="str">
        <f>IF(Table57[[#This Row],[Work_Hours]]=0,"",(IF(Table57[[#This Row],[Out]]&lt;$C$3,$C$3-Table57[[#This Row],[Out]],"")))</f>
        <v/>
      </c>
      <c r="K201" s="32" t="str">
        <f>IFERROR(Table57[[#This Row],[In]]+$C$1,"")</f>
        <v/>
      </c>
      <c r="L201" s="29"/>
      <c r="M201" s="31" t="str">
        <f>IF($C$2&gt;Table57[[#This Row],[In]],$C$2-Table57[[#This Row],[In]],"")</f>
        <v/>
      </c>
      <c r="N201" s="29" t="str">
        <f>IFERROR(IF(Table57[[#This Row],[Out]]&gt;$C$3,(Table57[[#This Row],[Out]])-($C$3),""),"")</f>
        <v/>
      </c>
    </row>
    <row r="202" spans="1:14" hidden="1" x14ac:dyDescent="0.25">
      <c r="A202" s="23" t="str">
        <f>Table57[[#This Row],[No.]]&amp;Table57[[#This Row],[Date]]</f>
        <v>00</v>
      </c>
      <c r="B202" s="22">
        <f>'Unique Dates'!A199</f>
        <v>0</v>
      </c>
      <c r="C202" s="22" t="e" cm="1">
        <f t="array" ref="C202">_xlfn.XLOOKUP(Table57[[#This Row],[No.]],Table2[[#All],[CODE]],Table2[[#All],[NAME]],,0,1)</f>
        <v>#N/A</v>
      </c>
      <c r="D202" s="6">
        <f>'Unique Dates'!B199</f>
        <v>0</v>
      </c>
      <c r="E202" t="str">
        <f>TEXT(Table57[[#This Row],[Date]],"dddd")</f>
        <v>Saturday</v>
      </c>
      <c r="F202" s="25" t="str" cm="1">
        <f t="array" ref="F202">IFERROR(_xlfn.XLOOKUP(Table57[[#This Row],[Code]],Table1[[#All],[Code]],Table1[[#All],[Time]],,0,1),"")</f>
        <v/>
      </c>
      <c r="G202" s="25" t="str" cm="1">
        <f t="array" ref="G202">IFERROR(_xlfn.XLOOKUP(Table57[[#This Row],[Code]],Table1[[#All],[Code]],Table1[[#All],[Time]],,0,-1),"")</f>
        <v/>
      </c>
      <c r="H202" s="23" t="str">
        <f>IFERROR(IF(Table57[[#This Row],[Out]]&gt;=Table57[[#This Row],[In]],Table57[[#This Row],[Out]]-Table57[[#This Row],[In]],(0.5+Table57[[#This Row],[Out]])-Table57[[#This Row],[In]]),"")</f>
        <v/>
      </c>
      <c r="I202" s="31" t="str">
        <f>IFERROR(IF(Table57[[#This Row],[In]]&gt;$C$2,Table57[[#This Row],[In]]-$C$2,""),"")</f>
        <v/>
      </c>
      <c r="J202" s="31" t="str">
        <f>IF(Table57[[#This Row],[Work_Hours]]=0,"",(IF(Table57[[#This Row],[Out]]&lt;$C$3,$C$3-Table57[[#This Row],[Out]],"")))</f>
        <v/>
      </c>
      <c r="K202" s="32" t="str">
        <f>IFERROR(Table57[[#This Row],[In]]+$C$1,"")</f>
        <v/>
      </c>
      <c r="L202" s="29"/>
      <c r="M202" s="31" t="str">
        <f>IF($C$2&gt;Table57[[#This Row],[In]],$C$2-Table57[[#This Row],[In]],"")</f>
        <v/>
      </c>
      <c r="N202" s="29" t="str">
        <f>IFERROR(IF(Table57[[#This Row],[Out]]&gt;$C$3,(Table57[[#This Row],[Out]])-($C$3),""),"")</f>
        <v/>
      </c>
    </row>
    <row r="203" spans="1:14" hidden="1" x14ac:dyDescent="0.25">
      <c r="A203" s="23" t="str">
        <f>Table57[[#This Row],[No.]]&amp;Table57[[#This Row],[Date]]</f>
        <v>00</v>
      </c>
      <c r="B203" s="22">
        <f>'Unique Dates'!A200</f>
        <v>0</v>
      </c>
      <c r="C203" s="22" t="e" cm="1">
        <f t="array" ref="C203">_xlfn.XLOOKUP(Table57[[#This Row],[No.]],Table2[[#All],[CODE]],Table2[[#All],[NAME]],,0,1)</f>
        <v>#N/A</v>
      </c>
      <c r="D203" s="6">
        <f>'Unique Dates'!B200</f>
        <v>0</v>
      </c>
      <c r="E203" t="str">
        <f>TEXT(Table57[[#This Row],[Date]],"dddd")</f>
        <v>Saturday</v>
      </c>
      <c r="F203" s="25" t="str" cm="1">
        <f t="array" ref="F203">IFERROR(_xlfn.XLOOKUP(Table57[[#This Row],[Code]],Table1[[#All],[Code]],Table1[[#All],[Time]],,0,1),"")</f>
        <v/>
      </c>
      <c r="G203" s="25" t="str" cm="1">
        <f t="array" ref="G203">IFERROR(_xlfn.XLOOKUP(Table57[[#This Row],[Code]],Table1[[#All],[Code]],Table1[[#All],[Time]],,0,-1),"")</f>
        <v/>
      </c>
      <c r="H203" s="23" t="str">
        <f>IFERROR(IF(Table57[[#This Row],[Out]]&gt;=Table57[[#This Row],[In]],Table57[[#This Row],[Out]]-Table57[[#This Row],[In]],(0.5+Table57[[#This Row],[Out]])-Table57[[#This Row],[In]]),"")</f>
        <v/>
      </c>
      <c r="I203" s="31" t="str">
        <f>IFERROR(IF(Table57[[#This Row],[In]]&gt;$C$2,Table57[[#This Row],[In]]-$C$2,""),"")</f>
        <v/>
      </c>
      <c r="J203" s="31" t="str">
        <f>IF(Table57[[#This Row],[Work_Hours]]=0,"",(IF(Table57[[#This Row],[Out]]&lt;$C$3,$C$3-Table57[[#This Row],[Out]],"")))</f>
        <v/>
      </c>
      <c r="K203" s="32" t="str">
        <f>IFERROR(Table57[[#This Row],[In]]+$C$1,"")</f>
        <v/>
      </c>
      <c r="L203" s="29"/>
      <c r="M203" s="31" t="str">
        <f>IF($C$2&gt;Table57[[#This Row],[In]],$C$2-Table57[[#This Row],[In]],"")</f>
        <v/>
      </c>
      <c r="N203" s="29" t="str">
        <f>IFERROR(IF(Table57[[#This Row],[Out]]&gt;$C$3,(Table57[[#This Row],[Out]])-($C$3),""),"")</f>
        <v/>
      </c>
    </row>
    <row r="204" spans="1:14" hidden="1" x14ac:dyDescent="0.25">
      <c r="A204" s="23" t="str">
        <f>Table57[[#This Row],[No.]]&amp;Table57[[#This Row],[Date]]</f>
        <v>00</v>
      </c>
      <c r="B204" s="22">
        <f>'Unique Dates'!A201</f>
        <v>0</v>
      </c>
      <c r="C204" s="22" t="e" cm="1">
        <f t="array" ref="C204">_xlfn.XLOOKUP(Table57[[#This Row],[No.]],Table2[[#All],[CODE]],Table2[[#All],[NAME]],,0,1)</f>
        <v>#N/A</v>
      </c>
      <c r="D204" s="6">
        <f>'Unique Dates'!B201</f>
        <v>0</v>
      </c>
      <c r="E204" t="str">
        <f>TEXT(Table57[[#This Row],[Date]],"dddd")</f>
        <v>Saturday</v>
      </c>
      <c r="F204" s="25" t="str" cm="1">
        <f t="array" ref="F204">IFERROR(_xlfn.XLOOKUP(Table57[[#This Row],[Code]],Table1[[#All],[Code]],Table1[[#All],[Time]],,0,1),"")</f>
        <v/>
      </c>
      <c r="G204" s="25" t="str" cm="1">
        <f t="array" ref="G204">IFERROR(_xlfn.XLOOKUP(Table57[[#This Row],[Code]],Table1[[#All],[Code]],Table1[[#All],[Time]],,0,-1),"")</f>
        <v/>
      </c>
      <c r="H204" s="23" t="str">
        <f>IFERROR(IF(Table57[[#This Row],[Out]]&gt;=Table57[[#This Row],[In]],Table57[[#This Row],[Out]]-Table57[[#This Row],[In]],(0.5+Table57[[#This Row],[Out]])-Table57[[#This Row],[In]]),"")</f>
        <v/>
      </c>
      <c r="I204" s="31" t="str">
        <f>IFERROR(IF(Table57[[#This Row],[In]]&gt;$C$2,Table57[[#This Row],[In]]-$C$2,""),"")</f>
        <v/>
      </c>
      <c r="J204" s="31" t="str">
        <f>IF(Table57[[#This Row],[Work_Hours]]=0,"",(IF(Table57[[#This Row],[Out]]&lt;$C$3,$C$3-Table57[[#This Row],[Out]],"")))</f>
        <v/>
      </c>
      <c r="K204" s="32" t="str">
        <f>IFERROR(Table57[[#This Row],[In]]+$C$1,"")</f>
        <v/>
      </c>
      <c r="L204" s="29"/>
      <c r="M204" s="31" t="str">
        <f>IF($C$2&gt;Table57[[#This Row],[In]],$C$2-Table57[[#This Row],[In]],"")</f>
        <v/>
      </c>
      <c r="N204" s="29" t="str">
        <f>IFERROR(IF(Table57[[#This Row],[Out]]&gt;$C$3,(Table57[[#This Row],[Out]])-($C$3),""),"")</f>
        <v/>
      </c>
    </row>
    <row r="205" spans="1:14" hidden="1" x14ac:dyDescent="0.25">
      <c r="A205" s="23" t="str">
        <f>Table57[[#This Row],[No.]]&amp;Table57[[#This Row],[Date]]</f>
        <v>00</v>
      </c>
      <c r="B205" s="22">
        <f>'Unique Dates'!A202</f>
        <v>0</v>
      </c>
      <c r="C205" s="22" t="e" cm="1">
        <f t="array" ref="C205">_xlfn.XLOOKUP(Table57[[#This Row],[No.]],Table2[[#All],[CODE]],Table2[[#All],[NAME]],,0,1)</f>
        <v>#N/A</v>
      </c>
      <c r="D205" s="6">
        <f>'Unique Dates'!B202</f>
        <v>0</v>
      </c>
      <c r="E205" t="str">
        <f>TEXT(Table57[[#This Row],[Date]],"dddd")</f>
        <v>Saturday</v>
      </c>
      <c r="F205" s="25" t="str" cm="1">
        <f t="array" ref="F205">IFERROR(_xlfn.XLOOKUP(Table57[[#This Row],[Code]],Table1[[#All],[Code]],Table1[[#All],[Time]],,0,1),"")</f>
        <v/>
      </c>
      <c r="G205" s="25" t="str" cm="1">
        <f t="array" ref="G205">IFERROR(_xlfn.XLOOKUP(Table57[[#This Row],[Code]],Table1[[#All],[Code]],Table1[[#All],[Time]],,0,-1),"")</f>
        <v/>
      </c>
      <c r="H205" s="23" t="str">
        <f>IFERROR(IF(Table57[[#This Row],[Out]]&gt;=Table57[[#This Row],[In]],Table57[[#This Row],[Out]]-Table57[[#This Row],[In]],(0.5+Table57[[#This Row],[Out]])-Table57[[#This Row],[In]]),"")</f>
        <v/>
      </c>
      <c r="I205" s="31" t="str">
        <f>IFERROR(IF(Table57[[#This Row],[In]]&gt;$C$2,Table57[[#This Row],[In]]-$C$2,""),"")</f>
        <v/>
      </c>
      <c r="J205" s="31" t="str">
        <f>IF(Table57[[#This Row],[Work_Hours]]=0,"",(IF(Table57[[#This Row],[Out]]&lt;$C$3,$C$3-Table57[[#This Row],[Out]],"")))</f>
        <v/>
      </c>
      <c r="K205" s="32" t="str">
        <f>IFERROR(Table57[[#This Row],[In]]+$C$1,"")</f>
        <v/>
      </c>
      <c r="L205" s="29"/>
      <c r="M205" s="31" t="str">
        <f>IF($C$2&gt;Table57[[#This Row],[In]],$C$2-Table57[[#This Row],[In]],"")</f>
        <v/>
      </c>
      <c r="N205" s="29" t="str">
        <f>IFERROR(IF(Table57[[#This Row],[Out]]&gt;$C$3,(Table57[[#This Row],[Out]])-($C$3),""),"")</f>
        <v/>
      </c>
    </row>
    <row r="206" spans="1:14" hidden="1" x14ac:dyDescent="0.25">
      <c r="A206" s="23" t="str">
        <f>Table57[[#This Row],[No.]]&amp;Table57[[#This Row],[Date]]</f>
        <v>00</v>
      </c>
      <c r="B206" s="22">
        <f>'Unique Dates'!A203</f>
        <v>0</v>
      </c>
      <c r="C206" s="22" t="e" cm="1">
        <f t="array" ref="C206">_xlfn.XLOOKUP(Table57[[#This Row],[No.]],Table2[[#All],[CODE]],Table2[[#All],[NAME]],,0,1)</f>
        <v>#N/A</v>
      </c>
      <c r="D206" s="6">
        <f>'Unique Dates'!B203</f>
        <v>0</v>
      </c>
      <c r="E206" t="str">
        <f>TEXT(Table57[[#This Row],[Date]],"dddd")</f>
        <v>Saturday</v>
      </c>
      <c r="F206" s="25" t="str" cm="1">
        <f t="array" ref="F206">IFERROR(_xlfn.XLOOKUP(Table57[[#This Row],[Code]],Table1[[#All],[Code]],Table1[[#All],[Time]],,0,1),"")</f>
        <v/>
      </c>
      <c r="G206" s="25" t="str" cm="1">
        <f t="array" ref="G206">IFERROR(_xlfn.XLOOKUP(Table57[[#This Row],[Code]],Table1[[#All],[Code]],Table1[[#All],[Time]],,0,-1),"")</f>
        <v/>
      </c>
      <c r="H206" s="23" t="str">
        <f>IFERROR(IF(Table57[[#This Row],[Out]]&gt;=Table57[[#This Row],[In]],Table57[[#This Row],[Out]]-Table57[[#This Row],[In]],(0.5+Table57[[#This Row],[Out]])-Table57[[#This Row],[In]]),"")</f>
        <v/>
      </c>
      <c r="I206" s="31" t="str">
        <f>IFERROR(IF(Table57[[#This Row],[In]]&gt;$C$2,Table57[[#This Row],[In]]-$C$2,""),"")</f>
        <v/>
      </c>
      <c r="J206" s="31" t="str">
        <f>IF(Table57[[#This Row],[Work_Hours]]=0,"",(IF(Table57[[#This Row],[Out]]&lt;$C$3,$C$3-Table57[[#This Row],[Out]],"")))</f>
        <v/>
      </c>
      <c r="K206" s="32" t="str">
        <f>IFERROR(Table57[[#This Row],[In]]+$C$1,"")</f>
        <v/>
      </c>
      <c r="L206" s="29"/>
      <c r="M206" s="31" t="str">
        <f>IF($C$2&gt;Table57[[#This Row],[In]],$C$2-Table57[[#This Row],[In]],"")</f>
        <v/>
      </c>
      <c r="N206" s="29" t="str">
        <f>IFERROR(IF(Table57[[#This Row],[Out]]&gt;$C$3,(Table57[[#This Row],[Out]])-($C$3),""),"")</f>
        <v/>
      </c>
    </row>
    <row r="207" spans="1:14" hidden="1" x14ac:dyDescent="0.25">
      <c r="A207" s="23" t="str">
        <f>Table57[[#This Row],[No.]]&amp;Table57[[#This Row],[Date]]</f>
        <v>00</v>
      </c>
      <c r="B207" s="22">
        <f>'Unique Dates'!A204</f>
        <v>0</v>
      </c>
      <c r="C207" s="22" t="e" cm="1">
        <f t="array" ref="C207">_xlfn.XLOOKUP(Table57[[#This Row],[No.]],Table2[[#All],[CODE]],Table2[[#All],[NAME]],,0,1)</f>
        <v>#N/A</v>
      </c>
      <c r="D207" s="6">
        <f>'Unique Dates'!B204</f>
        <v>0</v>
      </c>
      <c r="E207" t="str">
        <f>TEXT(Table57[[#This Row],[Date]],"dddd")</f>
        <v>Saturday</v>
      </c>
      <c r="F207" s="25" t="str" cm="1">
        <f t="array" ref="F207">IFERROR(_xlfn.XLOOKUP(Table57[[#This Row],[Code]],Table1[[#All],[Code]],Table1[[#All],[Time]],,0,1),"")</f>
        <v/>
      </c>
      <c r="G207" s="25" t="str" cm="1">
        <f t="array" ref="G207">IFERROR(_xlfn.XLOOKUP(Table57[[#This Row],[Code]],Table1[[#All],[Code]],Table1[[#All],[Time]],,0,-1),"")</f>
        <v/>
      </c>
      <c r="H207" s="23" t="str">
        <f>IFERROR(IF(Table57[[#This Row],[Out]]&gt;=Table57[[#This Row],[In]],Table57[[#This Row],[Out]]-Table57[[#This Row],[In]],(0.5+Table57[[#This Row],[Out]])-Table57[[#This Row],[In]]),"")</f>
        <v/>
      </c>
      <c r="I207" s="31" t="str">
        <f>IFERROR(IF(Table57[[#This Row],[In]]&gt;$C$2,Table57[[#This Row],[In]]-$C$2,""),"")</f>
        <v/>
      </c>
      <c r="J207" s="31" t="str">
        <f>IF(Table57[[#This Row],[Work_Hours]]=0,"",(IF(Table57[[#This Row],[Out]]&lt;$C$3,$C$3-Table57[[#This Row],[Out]],"")))</f>
        <v/>
      </c>
      <c r="K207" s="32" t="str">
        <f>IFERROR(Table57[[#This Row],[In]]+$C$1,"")</f>
        <v/>
      </c>
      <c r="L207" s="29"/>
      <c r="M207" s="31" t="str">
        <f>IF($C$2&gt;Table57[[#This Row],[In]],$C$2-Table57[[#This Row],[In]],"")</f>
        <v/>
      </c>
      <c r="N207" s="29" t="str">
        <f>IFERROR(IF(Table57[[#This Row],[Out]]&gt;$C$3,(Table57[[#This Row],[Out]])-($C$3),""),"")</f>
        <v/>
      </c>
    </row>
    <row r="208" spans="1:14" hidden="1" x14ac:dyDescent="0.25">
      <c r="A208" s="23" t="str">
        <f>Table57[[#This Row],[No.]]&amp;Table57[[#This Row],[Date]]</f>
        <v>00</v>
      </c>
      <c r="B208" s="22">
        <f>'Unique Dates'!A205</f>
        <v>0</v>
      </c>
      <c r="C208" s="22" t="e" cm="1">
        <f t="array" ref="C208">_xlfn.XLOOKUP(Table57[[#This Row],[No.]],Table2[[#All],[CODE]],Table2[[#All],[NAME]],,0,1)</f>
        <v>#N/A</v>
      </c>
      <c r="D208" s="6">
        <f>'Unique Dates'!B205</f>
        <v>0</v>
      </c>
      <c r="E208" t="str">
        <f>TEXT(Table57[[#This Row],[Date]],"dddd")</f>
        <v>Saturday</v>
      </c>
      <c r="F208" s="25" t="str" cm="1">
        <f t="array" ref="F208">IFERROR(_xlfn.XLOOKUP(Table57[[#This Row],[Code]],Table1[[#All],[Code]],Table1[[#All],[Time]],,0,1),"")</f>
        <v/>
      </c>
      <c r="G208" s="25" t="str" cm="1">
        <f t="array" ref="G208">IFERROR(_xlfn.XLOOKUP(Table57[[#This Row],[Code]],Table1[[#All],[Code]],Table1[[#All],[Time]],,0,-1),"")</f>
        <v/>
      </c>
      <c r="H208" s="23" t="str">
        <f>IFERROR(IF(Table57[[#This Row],[Out]]&gt;=Table57[[#This Row],[In]],Table57[[#This Row],[Out]]-Table57[[#This Row],[In]],(0.5+Table57[[#This Row],[Out]])-Table57[[#This Row],[In]]),"")</f>
        <v/>
      </c>
      <c r="I208" s="31" t="str">
        <f>IFERROR(IF(Table57[[#This Row],[In]]&gt;$C$2,Table57[[#This Row],[In]]-$C$2,""),"")</f>
        <v/>
      </c>
      <c r="J208" s="31" t="str">
        <f>IF(Table57[[#This Row],[Work_Hours]]=0,"",(IF(Table57[[#This Row],[Out]]&lt;$C$3,$C$3-Table57[[#This Row],[Out]],"")))</f>
        <v/>
      </c>
      <c r="K208" s="32" t="str">
        <f>IFERROR(Table57[[#This Row],[In]]+$C$1,"")</f>
        <v/>
      </c>
      <c r="L208" s="29"/>
      <c r="M208" s="31" t="str">
        <f>IF($C$2&gt;Table57[[#This Row],[In]],$C$2-Table57[[#This Row],[In]],"")</f>
        <v/>
      </c>
      <c r="N208" s="29" t="str">
        <f>IFERROR(IF(Table57[[#This Row],[Out]]&gt;$C$3,(Table57[[#This Row],[Out]])-($C$3),""),"")</f>
        <v/>
      </c>
    </row>
    <row r="209" spans="1:14" hidden="1" x14ac:dyDescent="0.25">
      <c r="A209" s="23" t="str">
        <f>Table57[[#This Row],[No.]]&amp;Table57[[#This Row],[Date]]</f>
        <v>00</v>
      </c>
      <c r="B209" s="22">
        <f>'Unique Dates'!A206</f>
        <v>0</v>
      </c>
      <c r="C209" s="22" t="e" cm="1">
        <f t="array" ref="C209">_xlfn.XLOOKUP(Table57[[#This Row],[No.]],Table2[[#All],[CODE]],Table2[[#All],[NAME]],,0,1)</f>
        <v>#N/A</v>
      </c>
      <c r="D209" s="6">
        <f>'Unique Dates'!B206</f>
        <v>0</v>
      </c>
      <c r="E209" t="str">
        <f>TEXT(Table57[[#This Row],[Date]],"dddd")</f>
        <v>Saturday</v>
      </c>
      <c r="F209" s="25" t="str" cm="1">
        <f t="array" ref="F209">IFERROR(_xlfn.XLOOKUP(Table57[[#This Row],[Code]],Table1[[#All],[Code]],Table1[[#All],[Time]],,0,1),"")</f>
        <v/>
      </c>
      <c r="G209" s="25" t="str" cm="1">
        <f t="array" ref="G209">IFERROR(_xlfn.XLOOKUP(Table57[[#This Row],[Code]],Table1[[#All],[Code]],Table1[[#All],[Time]],,0,-1),"")</f>
        <v/>
      </c>
      <c r="H209" s="23" t="str">
        <f>IFERROR(IF(Table57[[#This Row],[Out]]&gt;=Table57[[#This Row],[In]],Table57[[#This Row],[Out]]-Table57[[#This Row],[In]],(0.5+Table57[[#This Row],[Out]])-Table57[[#This Row],[In]]),"")</f>
        <v/>
      </c>
      <c r="I209" s="31" t="str">
        <f>IFERROR(IF(Table57[[#This Row],[In]]&gt;$C$2,Table57[[#This Row],[In]]-$C$2,""),"")</f>
        <v/>
      </c>
      <c r="J209" s="31" t="str">
        <f>IF(Table57[[#This Row],[Work_Hours]]=0,"",(IF(Table57[[#This Row],[Out]]&lt;$C$3,$C$3-Table57[[#This Row],[Out]],"")))</f>
        <v/>
      </c>
      <c r="K209" s="32" t="str">
        <f>IFERROR(Table57[[#This Row],[In]]+$C$1,"")</f>
        <v/>
      </c>
      <c r="L209" s="29"/>
      <c r="M209" s="31" t="str">
        <f>IF($C$2&gt;Table57[[#This Row],[In]],$C$2-Table57[[#This Row],[In]],"")</f>
        <v/>
      </c>
      <c r="N209" s="29" t="str">
        <f>IFERROR(IF(Table57[[#This Row],[Out]]&gt;$C$3,(Table57[[#This Row],[Out]])-($C$3),""),"")</f>
        <v/>
      </c>
    </row>
    <row r="210" spans="1:14" hidden="1" x14ac:dyDescent="0.25">
      <c r="A210" s="23" t="str">
        <f>Table57[[#This Row],[No.]]&amp;Table57[[#This Row],[Date]]</f>
        <v>00</v>
      </c>
      <c r="B210" s="22">
        <f>'Unique Dates'!A207</f>
        <v>0</v>
      </c>
      <c r="C210" s="22" t="e" cm="1">
        <f t="array" ref="C210">_xlfn.XLOOKUP(Table57[[#This Row],[No.]],Table2[[#All],[CODE]],Table2[[#All],[NAME]],,0,1)</f>
        <v>#N/A</v>
      </c>
      <c r="D210" s="6">
        <f>'Unique Dates'!B207</f>
        <v>0</v>
      </c>
      <c r="E210" t="str">
        <f>TEXT(Table57[[#This Row],[Date]],"dddd")</f>
        <v>Saturday</v>
      </c>
      <c r="F210" s="25" t="str" cm="1">
        <f t="array" ref="F210">IFERROR(_xlfn.XLOOKUP(Table57[[#This Row],[Code]],Table1[[#All],[Code]],Table1[[#All],[Time]],,0,1),"")</f>
        <v/>
      </c>
      <c r="G210" s="25" t="str" cm="1">
        <f t="array" ref="G210">IFERROR(_xlfn.XLOOKUP(Table57[[#This Row],[Code]],Table1[[#All],[Code]],Table1[[#All],[Time]],,0,-1),"")</f>
        <v/>
      </c>
      <c r="H210" s="23" t="str">
        <f>IFERROR(IF(Table57[[#This Row],[Out]]&gt;=Table57[[#This Row],[In]],Table57[[#This Row],[Out]]-Table57[[#This Row],[In]],(0.5+Table57[[#This Row],[Out]])-Table57[[#This Row],[In]]),"")</f>
        <v/>
      </c>
      <c r="I210" s="31" t="str">
        <f>IFERROR(IF(Table57[[#This Row],[In]]&gt;$C$2,Table57[[#This Row],[In]]-$C$2,""),"")</f>
        <v/>
      </c>
      <c r="J210" s="31" t="str">
        <f>IF(Table57[[#This Row],[Work_Hours]]=0,"",(IF(Table57[[#This Row],[Out]]&lt;$C$3,$C$3-Table57[[#This Row],[Out]],"")))</f>
        <v/>
      </c>
      <c r="K210" s="32" t="str">
        <f>IFERROR(Table57[[#This Row],[In]]+$C$1,"")</f>
        <v/>
      </c>
      <c r="L210" s="29"/>
      <c r="M210" s="31" t="str">
        <f>IF($C$2&gt;Table57[[#This Row],[In]],$C$2-Table57[[#This Row],[In]],"")</f>
        <v/>
      </c>
      <c r="N210" s="29" t="str">
        <f>IFERROR(IF(Table57[[#This Row],[Out]]&gt;$C$3,(Table57[[#This Row],[Out]])-($C$3),""),"")</f>
        <v/>
      </c>
    </row>
    <row r="211" spans="1:14" hidden="1" x14ac:dyDescent="0.25">
      <c r="A211" s="23" t="str">
        <f>Table57[[#This Row],[No.]]&amp;Table57[[#This Row],[Date]]</f>
        <v>00</v>
      </c>
      <c r="B211" s="22">
        <f>'Unique Dates'!A208</f>
        <v>0</v>
      </c>
      <c r="C211" s="22" t="e" cm="1">
        <f t="array" ref="C211">_xlfn.XLOOKUP(Table57[[#This Row],[No.]],Table2[[#All],[CODE]],Table2[[#All],[NAME]],,0,1)</f>
        <v>#N/A</v>
      </c>
      <c r="D211" s="6">
        <f>'Unique Dates'!B208</f>
        <v>0</v>
      </c>
      <c r="E211" t="str">
        <f>TEXT(Table57[[#This Row],[Date]],"dddd")</f>
        <v>Saturday</v>
      </c>
      <c r="F211" s="25" t="str" cm="1">
        <f t="array" ref="F211">IFERROR(_xlfn.XLOOKUP(Table57[[#This Row],[Code]],Table1[[#All],[Code]],Table1[[#All],[Time]],,0,1),"")</f>
        <v/>
      </c>
      <c r="G211" s="25" t="str" cm="1">
        <f t="array" ref="G211">IFERROR(_xlfn.XLOOKUP(Table57[[#This Row],[Code]],Table1[[#All],[Code]],Table1[[#All],[Time]],,0,-1),"")</f>
        <v/>
      </c>
      <c r="H211" s="23" t="str">
        <f>IFERROR(IF(Table57[[#This Row],[Out]]&gt;=Table57[[#This Row],[In]],Table57[[#This Row],[Out]]-Table57[[#This Row],[In]],(0.5+Table57[[#This Row],[Out]])-Table57[[#This Row],[In]]),"")</f>
        <v/>
      </c>
      <c r="I211" s="31" t="str">
        <f>IFERROR(IF(Table57[[#This Row],[In]]&gt;$C$2,Table57[[#This Row],[In]]-$C$2,""),"")</f>
        <v/>
      </c>
      <c r="J211" s="31" t="str">
        <f>IF(Table57[[#This Row],[Work_Hours]]=0,"",(IF(Table57[[#This Row],[Out]]&lt;$C$3,$C$3-Table57[[#This Row],[Out]],"")))</f>
        <v/>
      </c>
      <c r="K211" s="32" t="str">
        <f>IFERROR(Table57[[#This Row],[In]]+$C$1,"")</f>
        <v/>
      </c>
      <c r="L211" s="29"/>
      <c r="M211" s="31" t="str">
        <f>IF($C$2&gt;Table57[[#This Row],[In]],$C$2-Table57[[#This Row],[In]],"")</f>
        <v/>
      </c>
      <c r="N211" s="29" t="str">
        <f>IFERROR(IF(Table57[[#This Row],[Out]]&gt;$C$3,(Table57[[#This Row],[Out]])-($C$3),""),"")</f>
        <v/>
      </c>
    </row>
    <row r="212" spans="1:14" hidden="1" x14ac:dyDescent="0.25">
      <c r="A212" s="23" t="str">
        <f>Table57[[#This Row],[No.]]&amp;Table57[[#This Row],[Date]]</f>
        <v>00</v>
      </c>
      <c r="B212" s="22">
        <f>'Unique Dates'!A209</f>
        <v>0</v>
      </c>
      <c r="C212" s="22" t="e" cm="1">
        <f t="array" ref="C212">_xlfn.XLOOKUP(Table57[[#This Row],[No.]],Table2[[#All],[CODE]],Table2[[#All],[NAME]],,0,1)</f>
        <v>#N/A</v>
      </c>
      <c r="D212" s="6">
        <f>'Unique Dates'!B209</f>
        <v>0</v>
      </c>
      <c r="E212" t="str">
        <f>TEXT(Table57[[#This Row],[Date]],"dddd")</f>
        <v>Saturday</v>
      </c>
      <c r="F212" s="25" t="str" cm="1">
        <f t="array" ref="F212">IFERROR(_xlfn.XLOOKUP(Table57[[#This Row],[Code]],Table1[[#All],[Code]],Table1[[#All],[Time]],,0,1),"")</f>
        <v/>
      </c>
      <c r="G212" s="25" t="str" cm="1">
        <f t="array" ref="G212">IFERROR(_xlfn.XLOOKUP(Table57[[#This Row],[Code]],Table1[[#All],[Code]],Table1[[#All],[Time]],,0,-1),"")</f>
        <v/>
      </c>
      <c r="H212" s="23" t="str">
        <f>IFERROR(IF(Table57[[#This Row],[Out]]&gt;=Table57[[#This Row],[In]],Table57[[#This Row],[Out]]-Table57[[#This Row],[In]],(0.5+Table57[[#This Row],[Out]])-Table57[[#This Row],[In]]),"")</f>
        <v/>
      </c>
      <c r="I212" s="31" t="str">
        <f>IFERROR(IF(Table57[[#This Row],[In]]&gt;$C$2,Table57[[#This Row],[In]]-$C$2,""),"")</f>
        <v/>
      </c>
      <c r="J212" s="31" t="str">
        <f>IF(Table57[[#This Row],[Work_Hours]]=0,"",(IF(Table57[[#This Row],[Out]]&lt;$C$3,$C$3-Table57[[#This Row],[Out]],"")))</f>
        <v/>
      </c>
      <c r="K212" s="32" t="str">
        <f>IFERROR(Table57[[#This Row],[In]]+$C$1,"")</f>
        <v/>
      </c>
      <c r="L212" s="29"/>
      <c r="M212" s="31" t="str">
        <f>IF($C$2&gt;Table57[[#This Row],[In]],$C$2-Table57[[#This Row],[In]],"")</f>
        <v/>
      </c>
      <c r="N212" s="29" t="str">
        <f>IFERROR(IF(Table57[[#This Row],[Out]]&gt;$C$3,(Table57[[#This Row],[Out]])-($C$3),""),"")</f>
        <v/>
      </c>
    </row>
    <row r="213" spans="1:14" hidden="1" x14ac:dyDescent="0.25">
      <c r="A213" s="23" t="str">
        <f>Table57[[#This Row],[No.]]&amp;Table57[[#This Row],[Date]]</f>
        <v>00</v>
      </c>
      <c r="B213" s="22">
        <f>'Unique Dates'!A210</f>
        <v>0</v>
      </c>
      <c r="C213" s="22" t="e" cm="1">
        <f t="array" ref="C213">_xlfn.XLOOKUP(Table57[[#This Row],[No.]],Table2[[#All],[CODE]],Table2[[#All],[NAME]],,0,1)</f>
        <v>#N/A</v>
      </c>
      <c r="D213" s="6">
        <f>'Unique Dates'!B210</f>
        <v>0</v>
      </c>
      <c r="E213" t="str">
        <f>TEXT(Table57[[#This Row],[Date]],"dddd")</f>
        <v>Saturday</v>
      </c>
      <c r="F213" s="25" t="str" cm="1">
        <f t="array" ref="F213">IFERROR(_xlfn.XLOOKUP(Table57[[#This Row],[Code]],Table1[[#All],[Code]],Table1[[#All],[Time]],,0,1),"")</f>
        <v/>
      </c>
      <c r="G213" s="25" t="str" cm="1">
        <f t="array" ref="G213">IFERROR(_xlfn.XLOOKUP(Table57[[#This Row],[Code]],Table1[[#All],[Code]],Table1[[#All],[Time]],,0,-1),"")</f>
        <v/>
      </c>
      <c r="H213" s="23" t="str">
        <f>IFERROR(IF(Table57[[#This Row],[Out]]&gt;=Table57[[#This Row],[In]],Table57[[#This Row],[Out]]-Table57[[#This Row],[In]],(0.5+Table57[[#This Row],[Out]])-Table57[[#This Row],[In]]),"")</f>
        <v/>
      </c>
      <c r="I213" s="31" t="str">
        <f>IFERROR(IF(Table57[[#This Row],[In]]&gt;$C$2,Table57[[#This Row],[In]]-$C$2,""),"")</f>
        <v/>
      </c>
      <c r="J213" s="31" t="str">
        <f>IF(Table57[[#This Row],[Work_Hours]]=0,"",(IF(Table57[[#This Row],[Out]]&lt;$C$3,$C$3-Table57[[#This Row],[Out]],"")))</f>
        <v/>
      </c>
      <c r="K213" s="32" t="str">
        <f>IFERROR(Table57[[#This Row],[In]]+$C$1,"")</f>
        <v/>
      </c>
      <c r="L213" s="29"/>
      <c r="M213" s="31" t="str">
        <f>IF($C$2&gt;Table57[[#This Row],[In]],$C$2-Table57[[#This Row],[In]],"")</f>
        <v/>
      </c>
      <c r="N213" s="29" t="str">
        <f>IFERROR(IF(Table57[[#This Row],[Out]]&gt;$C$3,(Table57[[#This Row],[Out]])-($C$3),""),"")</f>
        <v/>
      </c>
    </row>
    <row r="214" spans="1:14" hidden="1" x14ac:dyDescent="0.25">
      <c r="A214" s="23" t="str">
        <f>Table57[[#This Row],[No.]]&amp;Table57[[#This Row],[Date]]</f>
        <v>00</v>
      </c>
      <c r="B214" s="22">
        <f>'Unique Dates'!A211</f>
        <v>0</v>
      </c>
      <c r="C214" s="22" t="e" cm="1">
        <f t="array" ref="C214">_xlfn.XLOOKUP(Table57[[#This Row],[No.]],Table2[[#All],[CODE]],Table2[[#All],[NAME]],,0,1)</f>
        <v>#N/A</v>
      </c>
      <c r="D214" s="6">
        <f>'Unique Dates'!B211</f>
        <v>0</v>
      </c>
      <c r="E214" t="str">
        <f>TEXT(Table57[[#This Row],[Date]],"dddd")</f>
        <v>Saturday</v>
      </c>
      <c r="F214" s="25" t="str" cm="1">
        <f t="array" ref="F214">IFERROR(_xlfn.XLOOKUP(Table57[[#This Row],[Code]],Table1[[#All],[Code]],Table1[[#All],[Time]],,0,1),"")</f>
        <v/>
      </c>
      <c r="G214" s="25" t="str" cm="1">
        <f t="array" ref="G214">IFERROR(_xlfn.XLOOKUP(Table57[[#This Row],[Code]],Table1[[#All],[Code]],Table1[[#All],[Time]],,0,-1),"")</f>
        <v/>
      </c>
      <c r="H214" s="23" t="str">
        <f>IFERROR(IF(Table57[[#This Row],[Out]]&gt;=Table57[[#This Row],[In]],Table57[[#This Row],[Out]]-Table57[[#This Row],[In]],(0.5+Table57[[#This Row],[Out]])-Table57[[#This Row],[In]]),"")</f>
        <v/>
      </c>
      <c r="I214" s="31" t="str">
        <f>IFERROR(IF(Table57[[#This Row],[In]]&gt;$C$2,Table57[[#This Row],[In]]-$C$2,""),"")</f>
        <v/>
      </c>
      <c r="J214" s="31" t="str">
        <f>IF(Table57[[#This Row],[Work_Hours]]=0,"",(IF(Table57[[#This Row],[Out]]&lt;$C$3,$C$3-Table57[[#This Row],[Out]],"")))</f>
        <v/>
      </c>
      <c r="K214" s="32" t="str">
        <f>IFERROR(Table57[[#This Row],[In]]+$C$1,"")</f>
        <v/>
      </c>
      <c r="L214" s="29"/>
      <c r="M214" s="31" t="str">
        <f>IF($C$2&gt;Table57[[#This Row],[In]],$C$2-Table57[[#This Row],[In]],"")</f>
        <v/>
      </c>
      <c r="N214" s="29" t="str">
        <f>IFERROR(IF(Table57[[#This Row],[Out]]&gt;$C$3,(Table57[[#This Row],[Out]])-($C$3),""),"")</f>
        <v/>
      </c>
    </row>
    <row r="215" spans="1:14" hidden="1" x14ac:dyDescent="0.25">
      <c r="A215" s="23" t="str">
        <f>Table57[[#This Row],[No.]]&amp;Table57[[#This Row],[Date]]</f>
        <v>00</v>
      </c>
      <c r="B215" s="22">
        <f>'Unique Dates'!A212</f>
        <v>0</v>
      </c>
      <c r="C215" s="22" t="e" cm="1">
        <f t="array" ref="C215">_xlfn.XLOOKUP(Table57[[#This Row],[No.]],Table2[[#All],[CODE]],Table2[[#All],[NAME]],,0,1)</f>
        <v>#N/A</v>
      </c>
      <c r="D215" s="6">
        <f>'Unique Dates'!B212</f>
        <v>0</v>
      </c>
      <c r="E215" t="str">
        <f>TEXT(Table57[[#This Row],[Date]],"dddd")</f>
        <v>Saturday</v>
      </c>
      <c r="F215" s="25" t="str" cm="1">
        <f t="array" ref="F215">IFERROR(_xlfn.XLOOKUP(Table57[[#This Row],[Code]],Table1[[#All],[Code]],Table1[[#All],[Time]],,0,1),"")</f>
        <v/>
      </c>
      <c r="G215" s="25" t="str" cm="1">
        <f t="array" ref="G215">IFERROR(_xlfn.XLOOKUP(Table57[[#This Row],[Code]],Table1[[#All],[Code]],Table1[[#All],[Time]],,0,-1),"")</f>
        <v/>
      </c>
      <c r="H215" s="23" t="str">
        <f>IFERROR(IF(Table57[[#This Row],[Out]]&gt;=Table57[[#This Row],[In]],Table57[[#This Row],[Out]]-Table57[[#This Row],[In]],(0.5+Table57[[#This Row],[Out]])-Table57[[#This Row],[In]]),"")</f>
        <v/>
      </c>
      <c r="I215" s="31" t="str">
        <f>IFERROR(IF(Table57[[#This Row],[In]]&gt;$C$2,Table57[[#This Row],[In]]-$C$2,""),"")</f>
        <v/>
      </c>
      <c r="J215" s="31" t="str">
        <f>IF(Table57[[#This Row],[Work_Hours]]=0,"",(IF(Table57[[#This Row],[Out]]&lt;$C$3,$C$3-Table57[[#This Row],[Out]],"")))</f>
        <v/>
      </c>
      <c r="K215" s="32" t="str">
        <f>IFERROR(Table57[[#This Row],[In]]+$C$1,"")</f>
        <v/>
      </c>
      <c r="L215" s="29"/>
      <c r="M215" s="31" t="str">
        <f>IF($C$2&gt;Table57[[#This Row],[In]],$C$2-Table57[[#This Row],[In]],"")</f>
        <v/>
      </c>
      <c r="N215" s="29" t="str">
        <f>IFERROR(IF(Table57[[#This Row],[Out]]&gt;$C$3,(Table57[[#This Row],[Out]])-($C$3),""),"")</f>
        <v/>
      </c>
    </row>
    <row r="216" spans="1:14" hidden="1" x14ac:dyDescent="0.25">
      <c r="A216" s="23" t="str">
        <f>Table57[[#This Row],[No.]]&amp;Table57[[#This Row],[Date]]</f>
        <v>00</v>
      </c>
      <c r="B216" s="22">
        <f>'Unique Dates'!A213</f>
        <v>0</v>
      </c>
      <c r="C216" s="22" t="e" cm="1">
        <f t="array" ref="C216">_xlfn.XLOOKUP(Table57[[#This Row],[No.]],Table2[[#All],[CODE]],Table2[[#All],[NAME]],,0,1)</f>
        <v>#N/A</v>
      </c>
      <c r="D216" s="6">
        <f>'Unique Dates'!B213</f>
        <v>0</v>
      </c>
      <c r="E216" t="str">
        <f>TEXT(Table57[[#This Row],[Date]],"dddd")</f>
        <v>Saturday</v>
      </c>
      <c r="F216" s="25" t="str" cm="1">
        <f t="array" ref="F216">IFERROR(_xlfn.XLOOKUP(Table57[[#This Row],[Code]],Table1[[#All],[Code]],Table1[[#All],[Time]],,0,1),"")</f>
        <v/>
      </c>
      <c r="G216" s="25" t="str" cm="1">
        <f t="array" ref="G216">IFERROR(_xlfn.XLOOKUP(Table57[[#This Row],[Code]],Table1[[#All],[Code]],Table1[[#All],[Time]],,0,-1),"")</f>
        <v/>
      </c>
      <c r="H216" s="23" t="str">
        <f>IFERROR(IF(Table57[[#This Row],[Out]]&gt;=Table57[[#This Row],[In]],Table57[[#This Row],[Out]]-Table57[[#This Row],[In]],(0.5+Table57[[#This Row],[Out]])-Table57[[#This Row],[In]]),"")</f>
        <v/>
      </c>
      <c r="I216" s="31" t="str">
        <f>IFERROR(IF(Table57[[#This Row],[In]]&gt;$C$2,Table57[[#This Row],[In]]-$C$2,""),"")</f>
        <v/>
      </c>
      <c r="J216" s="31" t="str">
        <f>IF(Table57[[#This Row],[Work_Hours]]=0,"",(IF(Table57[[#This Row],[Out]]&lt;$C$3,$C$3-Table57[[#This Row],[Out]],"")))</f>
        <v/>
      </c>
      <c r="K216" s="32" t="str">
        <f>IFERROR(Table57[[#This Row],[In]]+$C$1,"")</f>
        <v/>
      </c>
      <c r="L216" s="29"/>
      <c r="M216" s="31" t="str">
        <f>IF($C$2&gt;Table57[[#This Row],[In]],$C$2-Table57[[#This Row],[In]],"")</f>
        <v/>
      </c>
      <c r="N216" s="29" t="str">
        <f>IFERROR(IF(Table57[[#This Row],[Out]]&gt;$C$3,(Table57[[#This Row],[Out]])-($C$3),""),"")</f>
        <v/>
      </c>
    </row>
    <row r="217" spans="1:14" hidden="1" x14ac:dyDescent="0.25">
      <c r="A217" s="23" t="str">
        <f>Table57[[#This Row],[No.]]&amp;Table57[[#This Row],[Date]]</f>
        <v>00</v>
      </c>
      <c r="B217" s="22">
        <f>'Unique Dates'!A214</f>
        <v>0</v>
      </c>
      <c r="C217" s="22" t="e" cm="1">
        <f t="array" ref="C217">_xlfn.XLOOKUP(Table57[[#This Row],[No.]],Table2[[#All],[CODE]],Table2[[#All],[NAME]],,0,1)</f>
        <v>#N/A</v>
      </c>
      <c r="D217" s="6">
        <f>'Unique Dates'!B214</f>
        <v>0</v>
      </c>
      <c r="E217" t="str">
        <f>TEXT(Table57[[#This Row],[Date]],"dddd")</f>
        <v>Saturday</v>
      </c>
      <c r="F217" s="25" t="str" cm="1">
        <f t="array" ref="F217">IFERROR(_xlfn.XLOOKUP(Table57[[#This Row],[Code]],Table1[[#All],[Code]],Table1[[#All],[Time]],,0,1),"")</f>
        <v/>
      </c>
      <c r="G217" s="25" t="str" cm="1">
        <f t="array" ref="G217">IFERROR(_xlfn.XLOOKUP(Table57[[#This Row],[Code]],Table1[[#All],[Code]],Table1[[#All],[Time]],,0,-1),"")</f>
        <v/>
      </c>
      <c r="H217" s="23" t="str">
        <f>IFERROR(IF(Table57[[#This Row],[Out]]&gt;=Table57[[#This Row],[In]],Table57[[#This Row],[Out]]-Table57[[#This Row],[In]],(0.5+Table57[[#This Row],[Out]])-Table57[[#This Row],[In]]),"")</f>
        <v/>
      </c>
      <c r="I217" s="31" t="str">
        <f>IFERROR(IF(Table57[[#This Row],[In]]&gt;$C$2,Table57[[#This Row],[In]]-$C$2,""),"")</f>
        <v/>
      </c>
      <c r="J217" s="31" t="str">
        <f>IF(Table57[[#This Row],[Work_Hours]]=0,"",(IF(Table57[[#This Row],[Out]]&lt;$C$3,$C$3-Table57[[#This Row],[Out]],"")))</f>
        <v/>
      </c>
      <c r="K217" s="32" t="str">
        <f>IFERROR(Table57[[#This Row],[In]]+$C$1,"")</f>
        <v/>
      </c>
      <c r="L217" s="29"/>
      <c r="M217" s="31" t="str">
        <f>IF($C$2&gt;Table57[[#This Row],[In]],$C$2-Table57[[#This Row],[In]],"")</f>
        <v/>
      </c>
      <c r="N217" s="29" t="str">
        <f>IFERROR(IF(Table57[[#This Row],[Out]]&gt;$C$3,(Table57[[#This Row],[Out]])-($C$3),""),"")</f>
        <v/>
      </c>
    </row>
    <row r="218" spans="1:14" hidden="1" x14ac:dyDescent="0.25">
      <c r="A218" s="23" t="str">
        <f>Table57[[#This Row],[No.]]&amp;Table57[[#This Row],[Date]]</f>
        <v>00</v>
      </c>
      <c r="B218" s="22">
        <f>'Unique Dates'!A215</f>
        <v>0</v>
      </c>
      <c r="C218" s="22" t="e" cm="1">
        <f t="array" ref="C218">_xlfn.XLOOKUP(Table57[[#This Row],[No.]],Table2[[#All],[CODE]],Table2[[#All],[NAME]],,0,1)</f>
        <v>#N/A</v>
      </c>
      <c r="D218" s="6">
        <f>'Unique Dates'!B215</f>
        <v>0</v>
      </c>
      <c r="E218" t="str">
        <f>TEXT(Table57[[#This Row],[Date]],"dddd")</f>
        <v>Saturday</v>
      </c>
      <c r="F218" s="25" t="str" cm="1">
        <f t="array" ref="F218">IFERROR(_xlfn.XLOOKUP(Table57[[#This Row],[Code]],Table1[[#All],[Code]],Table1[[#All],[Time]],,0,1),"")</f>
        <v/>
      </c>
      <c r="G218" s="25" t="str" cm="1">
        <f t="array" ref="G218">IFERROR(_xlfn.XLOOKUP(Table57[[#This Row],[Code]],Table1[[#All],[Code]],Table1[[#All],[Time]],,0,-1),"")</f>
        <v/>
      </c>
      <c r="H218" s="23" t="str">
        <f>IFERROR(IF(Table57[[#This Row],[Out]]&gt;=Table57[[#This Row],[In]],Table57[[#This Row],[Out]]-Table57[[#This Row],[In]],(0.5+Table57[[#This Row],[Out]])-Table57[[#This Row],[In]]),"")</f>
        <v/>
      </c>
      <c r="I218" s="31" t="str">
        <f>IFERROR(IF(Table57[[#This Row],[In]]&gt;$C$2,Table57[[#This Row],[In]]-$C$2,""),"")</f>
        <v/>
      </c>
      <c r="J218" s="31" t="str">
        <f>IF(Table57[[#This Row],[Work_Hours]]=0,"",(IF(Table57[[#This Row],[Out]]&lt;$C$3,$C$3-Table57[[#This Row],[Out]],"")))</f>
        <v/>
      </c>
      <c r="K218" s="32" t="str">
        <f>IFERROR(Table57[[#This Row],[In]]+$C$1,"")</f>
        <v/>
      </c>
      <c r="L218" s="29"/>
      <c r="M218" s="31" t="str">
        <f>IF($C$2&gt;Table57[[#This Row],[In]],$C$2-Table57[[#This Row],[In]],"")</f>
        <v/>
      </c>
      <c r="N218" s="29" t="str">
        <f>IFERROR(IF(Table57[[#This Row],[Out]]&gt;$C$3,(Table57[[#This Row],[Out]])-($C$3),""),"")</f>
        <v/>
      </c>
    </row>
    <row r="219" spans="1:14" hidden="1" x14ac:dyDescent="0.25">
      <c r="A219" s="23" t="str">
        <f>Table57[[#This Row],[No.]]&amp;Table57[[#This Row],[Date]]</f>
        <v>00</v>
      </c>
      <c r="B219" s="22">
        <f>'Unique Dates'!A216</f>
        <v>0</v>
      </c>
      <c r="C219" s="22" t="e" cm="1">
        <f t="array" ref="C219">_xlfn.XLOOKUP(Table57[[#This Row],[No.]],Table2[[#All],[CODE]],Table2[[#All],[NAME]],,0,1)</f>
        <v>#N/A</v>
      </c>
      <c r="D219" s="6">
        <f>'Unique Dates'!B216</f>
        <v>0</v>
      </c>
      <c r="E219" t="str">
        <f>TEXT(Table57[[#This Row],[Date]],"dddd")</f>
        <v>Saturday</v>
      </c>
      <c r="F219" s="25" t="str" cm="1">
        <f t="array" ref="F219">IFERROR(_xlfn.XLOOKUP(Table57[[#This Row],[Code]],Table1[[#All],[Code]],Table1[[#All],[Time]],,0,1),"")</f>
        <v/>
      </c>
      <c r="G219" s="25" t="str" cm="1">
        <f t="array" ref="G219">IFERROR(_xlfn.XLOOKUP(Table57[[#This Row],[Code]],Table1[[#All],[Code]],Table1[[#All],[Time]],,0,-1),"")</f>
        <v/>
      </c>
      <c r="H219" s="23" t="str">
        <f>IFERROR(IF(Table57[[#This Row],[Out]]&gt;=Table57[[#This Row],[In]],Table57[[#This Row],[Out]]-Table57[[#This Row],[In]],(0.5+Table57[[#This Row],[Out]])-Table57[[#This Row],[In]]),"")</f>
        <v/>
      </c>
      <c r="I219" s="31" t="str">
        <f>IFERROR(IF(Table57[[#This Row],[In]]&gt;$C$2,Table57[[#This Row],[In]]-$C$2,""),"")</f>
        <v/>
      </c>
      <c r="J219" s="31" t="str">
        <f>IF(Table57[[#This Row],[Work_Hours]]=0,"",(IF(Table57[[#This Row],[Out]]&lt;$C$3,$C$3-Table57[[#This Row],[Out]],"")))</f>
        <v/>
      </c>
      <c r="K219" s="32" t="str">
        <f>IFERROR(Table57[[#This Row],[In]]+$C$1,"")</f>
        <v/>
      </c>
      <c r="L219" s="29"/>
      <c r="M219" s="31" t="str">
        <f>IF($C$2&gt;Table57[[#This Row],[In]],$C$2-Table57[[#This Row],[In]],"")</f>
        <v/>
      </c>
      <c r="N219" s="29" t="str">
        <f>IFERROR(IF(Table57[[#This Row],[Out]]&gt;$C$3,(Table57[[#This Row],[Out]])-($C$3),""),"")</f>
        <v/>
      </c>
    </row>
    <row r="220" spans="1:14" hidden="1" x14ac:dyDescent="0.25">
      <c r="A220" s="23" t="str">
        <f>Table57[[#This Row],[No.]]&amp;Table57[[#This Row],[Date]]</f>
        <v>00</v>
      </c>
      <c r="B220" s="22">
        <f>'Unique Dates'!A217</f>
        <v>0</v>
      </c>
      <c r="C220" s="22" t="e" cm="1">
        <f t="array" ref="C220">_xlfn.XLOOKUP(Table57[[#This Row],[No.]],Table2[[#All],[CODE]],Table2[[#All],[NAME]],,0,1)</f>
        <v>#N/A</v>
      </c>
      <c r="D220" s="6">
        <f>'Unique Dates'!B217</f>
        <v>0</v>
      </c>
      <c r="E220" t="str">
        <f>TEXT(Table57[[#This Row],[Date]],"dddd")</f>
        <v>Saturday</v>
      </c>
      <c r="F220" s="25" t="str" cm="1">
        <f t="array" ref="F220">IFERROR(_xlfn.XLOOKUP(Table57[[#This Row],[Code]],Table1[[#All],[Code]],Table1[[#All],[Time]],,0,1),"")</f>
        <v/>
      </c>
      <c r="G220" s="25" t="str" cm="1">
        <f t="array" ref="G220">IFERROR(_xlfn.XLOOKUP(Table57[[#This Row],[Code]],Table1[[#All],[Code]],Table1[[#All],[Time]],,0,-1),"")</f>
        <v/>
      </c>
      <c r="H220" s="23" t="str">
        <f>IFERROR(IF(Table57[[#This Row],[Out]]&gt;=Table57[[#This Row],[In]],Table57[[#This Row],[Out]]-Table57[[#This Row],[In]],(0.5+Table57[[#This Row],[Out]])-Table57[[#This Row],[In]]),"")</f>
        <v/>
      </c>
      <c r="I220" s="31" t="str">
        <f>IFERROR(IF(Table57[[#This Row],[In]]&gt;$C$2,Table57[[#This Row],[In]]-$C$2,""),"")</f>
        <v/>
      </c>
      <c r="J220" s="31" t="str">
        <f>IF(Table57[[#This Row],[Work_Hours]]=0,"",(IF(Table57[[#This Row],[Out]]&lt;$C$3,$C$3-Table57[[#This Row],[Out]],"")))</f>
        <v/>
      </c>
      <c r="K220" s="32" t="str">
        <f>IFERROR(Table57[[#This Row],[In]]+$C$1,"")</f>
        <v/>
      </c>
      <c r="L220" s="29"/>
      <c r="M220" s="31" t="str">
        <f>IF($C$2&gt;Table57[[#This Row],[In]],$C$2-Table57[[#This Row],[In]],"")</f>
        <v/>
      </c>
      <c r="N220" s="29" t="str">
        <f>IFERROR(IF(Table57[[#This Row],[Out]]&gt;$C$3,(Table57[[#This Row],[Out]])-($C$3),""),"")</f>
        <v/>
      </c>
    </row>
    <row r="221" spans="1:14" hidden="1" x14ac:dyDescent="0.25">
      <c r="A221" s="23" t="str">
        <f>Table57[[#This Row],[No.]]&amp;Table57[[#This Row],[Date]]</f>
        <v>00</v>
      </c>
      <c r="B221" s="22">
        <f>'Unique Dates'!A218</f>
        <v>0</v>
      </c>
      <c r="C221" s="22" t="e" cm="1">
        <f t="array" ref="C221">_xlfn.XLOOKUP(Table57[[#This Row],[No.]],Table2[[#All],[CODE]],Table2[[#All],[NAME]],,0,1)</f>
        <v>#N/A</v>
      </c>
      <c r="D221" s="6">
        <f>'Unique Dates'!B218</f>
        <v>0</v>
      </c>
      <c r="E221" t="str">
        <f>TEXT(Table57[[#This Row],[Date]],"dddd")</f>
        <v>Saturday</v>
      </c>
      <c r="F221" s="25" t="str" cm="1">
        <f t="array" ref="F221">IFERROR(_xlfn.XLOOKUP(Table57[[#This Row],[Code]],Table1[[#All],[Code]],Table1[[#All],[Time]],,0,1),"")</f>
        <v/>
      </c>
      <c r="G221" s="25" t="str" cm="1">
        <f t="array" ref="G221">IFERROR(_xlfn.XLOOKUP(Table57[[#This Row],[Code]],Table1[[#All],[Code]],Table1[[#All],[Time]],,0,-1),"")</f>
        <v/>
      </c>
      <c r="H221" s="23" t="str">
        <f>IFERROR(IF(Table57[[#This Row],[Out]]&gt;=Table57[[#This Row],[In]],Table57[[#This Row],[Out]]-Table57[[#This Row],[In]],(0.5+Table57[[#This Row],[Out]])-Table57[[#This Row],[In]]),"")</f>
        <v/>
      </c>
      <c r="I221" s="31" t="str">
        <f>IFERROR(IF(Table57[[#This Row],[In]]&gt;$C$2,Table57[[#This Row],[In]]-$C$2,""),"")</f>
        <v/>
      </c>
      <c r="J221" s="31" t="str">
        <f>IF(Table57[[#This Row],[Work_Hours]]=0,"",(IF(Table57[[#This Row],[Out]]&lt;$C$3,$C$3-Table57[[#This Row],[Out]],"")))</f>
        <v/>
      </c>
      <c r="K221" s="32" t="str">
        <f>IFERROR(Table57[[#This Row],[In]]+$C$1,"")</f>
        <v/>
      </c>
      <c r="L221" s="29"/>
      <c r="M221" s="31" t="str">
        <f>IF($C$2&gt;Table57[[#This Row],[In]],$C$2-Table57[[#This Row],[In]],"")</f>
        <v/>
      </c>
      <c r="N221" s="29" t="str">
        <f>IFERROR(IF(Table57[[#This Row],[Out]]&gt;$C$3,(Table57[[#This Row],[Out]])-($C$3),""),"")</f>
        <v/>
      </c>
    </row>
    <row r="222" spans="1:14" hidden="1" x14ac:dyDescent="0.25">
      <c r="A222" s="23" t="str">
        <f>Table57[[#This Row],[No.]]&amp;Table57[[#This Row],[Date]]</f>
        <v>00</v>
      </c>
      <c r="B222" s="22">
        <f>'Unique Dates'!A219</f>
        <v>0</v>
      </c>
      <c r="C222" s="22" t="e" cm="1">
        <f t="array" ref="C222">_xlfn.XLOOKUP(Table57[[#This Row],[No.]],Table2[[#All],[CODE]],Table2[[#All],[NAME]],,0,1)</f>
        <v>#N/A</v>
      </c>
      <c r="D222" s="6">
        <f>'Unique Dates'!B219</f>
        <v>0</v>
      </c>
      <c r="E222" t="str">
        <f>TEXT(Table57[[#This Row],[Date]],"dddd")</f>
        <v>Saturday</v>
      </c>
      <c r="F222" s="25" t="str" cm="1">
        <f t="array" ref="F222">IFERROR(_xlfn.XLOOKUP(Table57[[#This Row],[Code]],Table1[[#All],[Code]],Table1[[#All],[Time]],,0,1),"")</f>
        <v/>
      </c>
      <c r="G222" s="25" t="str" cm="1">
        <f t="array" ref="G222">IFERROR(_xlfn.XLOOKUP(Table57[[#This Row],[Code]],Table1[[#All],[Code]],Table1[[#All],[Time]],,0,-1),"")</f>
        <v/>
      </c>
      <c r="H222" s="23" t="str">
        <f>IFERROR(IF(Table57[[#This Row],[Out]]&gt;=Table57[[#This Row],[In]],Table57[[#This Row],[Out]]-Table57[[#This Row],[In]],(0.5+Table57[[#This Row],[Out]])-Table57[[#This Row],[In]]),"")</f>
        <v/>
      </c>
      <c r="I222" s="31" t="str">
        <f>IFERROR(IF(Table57[[#This Row],[In]]&gt;$C$2,Table57[[#This Row],[In]]-$C$2,""),"")</f>
        <v/>
      </c>
      <c r="J222" s="31" t="str">
        <f>IF(Table57[[#This Row],[Work_Hours]]=0,"",(IF(Table57[[#This Row],[Out]]&lt;$C$3,$C$3-Table57[[#This Row],[Out]],"")))</f>
        <v/>
      </c>
      <c r="K222" s="32" t="str">
        <f>IFERROR(Table57[[#This Row],[In]]+$C$1,"")</f>
        <v/>
      </c>
      <c r="L222" s="29"/>
      <c r="M222" s="31" t="str">
        <f>IF($C$2&gt;Table57[[#This Row],[In]],$C$2-Table57[[#This Row],[In]],"")</f>
        <v/>
      </c>
      <c r="N222" s="29" t="str">
        <f>IFERROR(IF(Table57[[#This Row],[Out]]&gt;$C$3,(Table57[[#This Row],[Out]])-($C$3),""),"")</f>
        <v/>
      </c>
    </row>
    <row r="223" spans="1:14" hidden="1" x14ac:dyDescent="0.25">
      <c r="A223" s="23" t="str">
        <f>Table57[[#This Row],[No.]]&amp;Table57[[#This Row],[Date]]</f>
        <v>00</v>
      </c>
      <c r="B223" s="22">
        <f>'Unique Dates'!A220</f>
        <v>0</v>
      </c>
      <c r="C223" s="22" t="e" cm="1">
        <f t="array" ref="C223">_xlfn.XLOOKUP(Table57[[#This Row],[No.]],Table2[[#All],[CODE]],Table2[[#All],[NAME]],,0,1)</f>
        <v>#N/A</v>
      </c>
      <c r="D223" s="6">
        <f>'Unique Dates'!B220</f>
        <v>0</v>
      </c>
      <c r="E223" t="str">
        <f>TEXT(Table57[[#This Row],[Date]],"dddd")</f>
        <v>Saturday</v>
      </c>
      <c r="F223" s="25" t="str" cm="1">
        <f t="array" ref="F223">IFERROR(_xlfn.XLOOKUP(Table57[[#This Row],[Code]],Table1[[#All],[Code]],Table1[[#All],[Time]],,0,1),"")</f>
        <v/>
      </c>
      <c r="G223" s="25" t="str" cm="1">
        <f t="array" ref="G223">IFERROR(_xlfn.XLOOKUP(Table57[[#This Row],[Code]],Table1[[#All],[Code]],Table1[[#All],[Time]],,0,-1),"")</f>
        <v/>
      </c>
      <c r="H223" s="23" t="str">
        <f>IFERROR(IF(Table57[[#This Row],[Out]]&gt;=Table57[[#This Row],[In]],Table57[[#This Row],[Out]]-Table57[[#This Row],[In]],(0.5+Table57[[#This Row],[Out]])-Table57[[#This Row],[In]]),"")</f>
        <v/>
      </c>
      <c r="I223" s="31" t="str">
        <f>IFERROR(IF(Table57[[#This Row],[In]]&gt;$C$2,Table57[[#This Row],[In]]-$C$2,""),"")</f>
        <v/>
      </c>
      <c r="J223" s="31" t="str">
        <f>IF(Table57[[#This Row],[Work_Hours]]=0,"",(IF(Table57[[#This Row],[Out]]&lt;$C$3,$C$3-Table57[[#This Row],[Out]],"")))</f>
        <v/>
      </c>
      <c r="K223" s="32" t="str">
        <f>IFERROR(Table57[[#This Row],[In]]+$C$1,"")</f>
        <v/>
      </c>
      <c r="L223" s="29"/>
      <c r="M223" s="31" t="str">
        <f>IF($C$2&gt;Table57[[#This Row],[In]],$C$2-Table57[[#This Row],[In]],"")</f>
        <v/>
      </c>
      <c r="N223" s="29" t="str">
        <f>IFERROR(IF(Table57[[#This Row],[Out]]&gt;$C$3,(Table57[[#This Row],[Out]])-($C$3),""),"")</f>
        <v/>
      </c>
    </row>
    <row r="224" spans="1:14" hidden="1" x14ac:dyDescent="0.25">
      <c r="A224" s="23" t="str">
        <f>Table57[[#This Row],[No.]]&amp;Table57[[#This Row],[Date]]</f>
        <v>00</v>
      </c>
      <c r="B224" s="22">
        <f>'Unique Dates'!A221</f>
        <v>0</v>
      </c>
      <c r="C224" s="22" t="e" cm="1">
        <f t="array" ref="C224">_xlfn.XLOOKUP(Table57[[#This Row],[No.]],Table2[[#All],[CODE]],Table2[[#All],[NAME]],,0,1)</f>
        <v>#N/A</v>
      </c>
      <c r="D224" s="6">
        <f>'Unique Dates'!B221</f>
        <v>0</v>
      </c>
      <c r="E224" t="str">
        <f>TEXT(Table57[[#This Row],[Date]],"dddd")</f>
        <v>Saturday</v>
      </c>
      <c r="F224" s="25" t="str" cm="1">
        <f t="array" ref="F224">IFERROR(_xlfn.XLOOKUP(Table57[[#This Row],[Code]],Table1[[#All],[Code]],Table1[[#All],[Time]],,0,1),"")</f>
        <v/>
      </c>
      <c r="G224" s="25" t="str" cm="1">
        <f t="array" ref="G224">IFERROR(_xlfn.XLOOKUP(Table57[[#This Row],[Code]],Table1[[#All],[Code]],Table1[[#All],[Time]],,0,-1),"")</f>
        <v/>
      </c>
      <c r="H224" s="23" t="str">
        <f>IFERROR(IF(Table57[[#This Row],[Out]]&gt;=Table57[[#This Row],[In]],Table57[[#This Row],[Out]]-Table57[[#This Row],[In]],(0.5+Table57[[#This Row],[Out]])-Table57[[#This Row],[In]]),"")</f>
        <v/>
      </c>
      <c r="I224" s="31" t="str">
        <f>IFERROR(IF(Table57[[#This Row],[In]]&gt;$C$2,Table57[[#This Row],[In]]-$C$2,""),"")</f>
        <v/>
      </c>
      <c r="J224" s="31" t="str">
        <f>IF(Table57[[#This Row],[Work_Hours]]=0,"",(IF(Table57[[#This Row],[Out]]&lt;$C$3,$C$3-Table57[[#This Row],[Out]],"")))</f>
        <v/>
      </c>
      <c r="K224" s="32" t="str">
        <f>IFERROR(Table57[[#This Row],[In]]+$C$1,"")</f>
        <v/>
      </c>
      <c r="L224" s="29"/>
      <c r="M224" s="31" t="str">
        <f>IF($C$2&gt;Table57[[#This Row],[In]],$C$2-Table57[[#This Row],[In]],"")</f>
        <v/>
      </c>
      <c r="N224" s="29" t="str">
        <f>IFERROR(IF(Table57[[#This Row],[Out]]&gt;$C$3,(Table57[[#This Row],[Out]])-($C$3),""),"")</f>
        <v/>
      </c>
    </row>
    <row r="225" spans="1:14" hidden="1" x14ac:dyDescent="0.25">
      <c r="A225" s="23" t="str">
        <f>Table57[[#This Row],[No.]]&amp;Table57[[#This Row],[Date]]</f>
        <v>00</v>
      </c>
      <c r="B225" s="22">
        <f>'Unique Dates'!A222</f>
        <v>0</v>
      </c>
      <c r="C225" s="22" t="e" cm="1">
        <f t="array" ref="C225">_xlfn.XLOOKUP(Table57[[#This Row],[No.]],Table2[[#All],[CODE]],Table2[[#All],[NAME]],,0,1)</f>
        <v>#N/A</v>
      </c>
      <c r="D225" s="6">
        <f>'Unique Dates'!B222</f>
        <v>0</v>
      </c>
      <c r="E225" t="str">
        <f>TEXT(Table57[[#This Row],[Date]],"dddd")</f>
        <v>Saturday</v>
      </c>
      <c r="F225" s="25" t="str" cm="1">
        <f t="array" ref="F225">IFERROR(_xlfn.XLOOKUP(Table57[[#This Row],[Code]],Table1[[#All],[Code]],Table1[[#All],[Time]],,0,1),"")</f>
        <v/>
      </c>
      <c r="G225" s="25" t="str" cm="1">
        <f t="array" ref="G225">IFERROR(_xlfn.XLOOKUP(Table57[[#This Row],[Code]],Table1[[#All],[Code]],Table1[[#All],[Time]],,0,-1),"")</f>
        <v/>
      </c>
      <c r="H225" s="23" t="str">
        <f>IFERROR(IF(Table57[[#This Row],[Out]]&gt;=Table57[[#This Row],[In]],Table57[[#This Row],[Out]]-Table57[[#This Row],[In]],(0.5+Table57[[#This Row],[Out]])-Table57[[#This Row],[In]]),"")</f>
        <v/>
      </c>
      <c r="I225" s="31" t="str">
        <f>IFERROR(IF(Table57[[#This Row],[In]]&gt;$C$2,Table57[[#This Row],[In]]-$C$2,""),"")</f>
        <v/>
      </c>
      <c r="J225" s="31" t="str">
        <f>IF(Table57[[#This Row],[Work_Hours]]=0,"",(IF(Table57[[#This Row],[Out]]&lt;$C$3,$C$3-Table57[[#This Row],[Out]],"")))</f>
        <v/>
      </c>
      <c r="K225" s="32" t="str">
        <f>IFERROR(Table57[[#This Row],[In]]+$C$1,"")</f>
        <v/>
      </c>
      <c r="L225" s="29"/>
      <c r="M225" s="31" t="str">
        <f>IF($C$2&gt;Table57[[#This Row],[In]],$C$2-Table57[[#This Row],[In]],"")</f>
        <v/>
      </c>
      <c r="N225" s="29" t="str">
        <f>IFERROR(IF(Table57[[#This Row],[Out]]&gt;$C$3,(Table57[[#This Row],[Out]])-($C$3),""),"")</f>
        <v/>
      </c>
    </row>
    <row r="226" spans="1:14" hidden="1" x14ac:dyDescent="0.25">
      <c r="A226" s="23" t="str">
        <f>Table57[[#This Row],[No.]]&amp;Table57[[#This Row],[Date]]</f>
        <v>00</v>
      </c>
      <c r="B226" s="22">
        <f>'Unique Dates'!A223</f>
        <v>0</v>
      </c>
      <c r="C226" s="22" t="e" cm="1">
        <f t="array" ref="C226">_xlfn.XLOOKUP(Table57[[#This Row],[No.]],Table2[[#All],[CODE]],Table2[[#All],[NAME]],,0,1)</f>
        <v>#N/A</v>
      </c>
      <c r="D226" s="6">
        <f>'Unique Dates'!B223</f>
        <v>0</v>
      </c>
      <c r="E226" t="str">
        <f>TEXT(Table57[[#This Row],[Date]],"dddd")</f>
        <v>Saturday</v>
      </c>
      <c r="F226" s="25" t="str" cm="1">
        <f t="array" ref="F226">IFERROR(_xlfn.XLOOKUP(Table57[[#This Row],[Code]],Table1[[#All],[Code]],Table1[[#All],[Time]],,0,1),"")</f>
        <v/>
      </c>
      <c r="G226" s="25" t="str" cm="1">
        <f t="array" ref="G226">IFERROR(_xlfn.XLOOKUP(Table57[[#This Row],[Code]],Table1[[#All],[Code]],Table1[[#All],[Time]],,0,-1),"")</f>
        <v/>
      </c>
      <c r="H226" s="23" t="str">
        <f>IFERROR(IF(Table57[[#This Row],[Out]]&gt;=Table57[[#This Row],[In]],Table57[[#This Row],[Out]]-Table57[[#This Row],[In]],(0.5+Table57[[#This Row],[Out]])-Table57[[#This Row],[In]]),"")</f>
        <v/>
      </c>
      <c r="I226" s="31" t="str">
        <f>IFERROR(IF(Table57[[#This Row],[In]]&gt;$C$2,Table57[[#This Row],[In]]-$C$2,""),"")</f>
        <v/>
      </c>
      <c r="J226" s="31" t="str">
        <f>IF(Table57[[#This Row],[Work_Hours]]=0,"",(IF(Table57[[#This Row],[Out]]&lt;$C$3,$C$3-Table57[[#This Row],[Out]],"")))</f>
        <v/>
      </c>
      <c r="K226" s="32" t="str">
        <f>IFERROR(Table57[[#This Row],[In]]+$C$1,"")</f>
        <v/>
      </c>
      <c r="L226" s="29"/>
      <c r="M226" s="31" t="str">
        <f>IF($C$2&gt;Table57[[#This Row],[In]],$C$2-Table57[[#This Row],[In]],"")</f>
        <v/>
      </c>
      <c r="N226" s="29" t="str">
        <f>IFERROR(IF(Table57[[#This Row],[Out]]&gt;$C$3,(Table57[[#This Row],[Out]])-($C$3),""),"")</f>
        <v/>
      </c>
    </row>
    <row r="227" spans="1:14" hidden="1" x14ac:dyDescent="0.25">
      <c r="A227" s="23" t="str">
        <f>Table57[[#This Row],[No.]]&amp;Table57[[#This Row],[Date]]</f>
        <v>00</v>
      </c>
      <c r="B227" s="22">
        <f>'Unique Dates'!A224</f>
        <v>0</v>
      </c>
      <c r="C227" s="22" t="e" cm="1">
        <f t="array" ref="C227">_xlfn.XLOOKUP(Table57[[#This Row],[No.]],Table2[[#All],[CODE]],Table2[[#All],[NAME]],,0,1)</f>
        <v>#N/A</v>
      </c>
      <c r="D227" s="6">
        <f>'Unique Dates'!B224</f>
        <v>0</v>
      </c>
      <c r="E227" t="str">
        <f>TEXT(Table57[[#This Row],[Date]],"dddd")</f>
        <v>Saturday</v>
      </c>
      <c r="F227" s="25" t="str" cm="1">
        <f t="array" ref="F227">IFERROR(_xlfn.XLOOKUP(Table57[[#This Row],[Code]],Table1[[#All],[Code]],Table1[[#All],[Time]],,0,1),"")</f>
        <v/>
      </c>
      <c r="G227" s="25" t="str" cm="1">
        <f t="array" ref="G227">IFERROR(_xlfn.XLOOKUP(Table57[[#This Row],[Code]],Table1[[#All],[Code]],Table1[[#All],[Time]],,0,-1),"")</f>
        <v/>
      </c>
      <c r="H227" s="23" t="str">
        <f>IFERROR(IF(Table57[[#This Row],[Out]]&gt;=Table57[[#This Row],[In]],Table57[[#This Row],[Out]]-Table57[[#This Row],[In]],(0.5+Table57[[#This Row],[Out]])-Table57[[#This Row],[In]]),"")</f>
        <v/>
      </c>
      <c r="I227" s="31" t="str">
        <f>IFERROR(IF(Table57[[#This Row],[In]]&gt;$C$2,Table57[[#This Row],[In]]-$C$2,""),"")</f>
        <v/>
      </c>
      <c r="J227" s="31" t="str">
        <f>IF(Table57[[#This Row],[Work_Hours]]=0,"",(IF(Table57[[#This Row],[Out]]&lt;$C$3,$C$3-Table57[[#This Row],[Out]],"")))</f>
        <v/>
      </c>
      <c r="K227" s="32" t="str">
        <f>IFERROR(Table57[[#This Row],[In]]+$C$1,"")</f>
        <v/>
      </c>
      <c r="L227" s="29"/>
      <c r="M227" s="31" t="str">
        <f>IF($C$2&gt;Table57[[#This Row],[In]],$C$2-Table57[[#This Row],[In]],"")</f>
        <v/>
      </c>
      <c r="N227" s="29" t="str">
        <f>IFERROR(IF(Table57[[#This Row],[Out]]&gt;$C$3,(Table57[[#This Row],[Out]])-($C$3),""),"")</f>
        <v/>
      </c>
    </row>
    <row r="228" spans="1:14" hidden="1" x14ac:dyDescent="0.25">
      <c r="A228" s="23" t="str">
        <f>Table57[[#This Row],[No.]]&amp;Table57[[#This Row],[Date]]</f>
        <v>00</v>
      </c>
      <c r="B228" s="22">
        <f>'Unique Dates'!A225</f>
        <v>0</v>
      </c>
      <c r="C228" s="22" t="e" cm="1">
        <f t="array" ref="C228">_xlfn.XLOOKUP(Table57[[#This Row],[No.]],Table2[[#All],[CODE]],Table2[[#All],[NAME]],,0,1)</f>
        <v>#N/A</v>
      </c>
      <c r="D228" s="6">
        <f>'Unique Dates'!B225</f>
        <v>0</v>
      </c>
      <c r="E228" t="str">
        <f>TEXT(Table57[[#This Row],[Date]],"dddd")</f>
        <v>Saturday</v>
      </c>
      <c r="F228" s="25" t="str" cm="1">
        <f t="array" ref="F228">IFERROR(_xlfn.XLOOKUP(Table57[[#This Row],[Code]],Table1[[#All],[Code]],Table1[[#All],[Time]],,0,1),"")</f>
        <v/>
      </c>
      <c r="G228" s="25" t="str" cm="1">
        <f t="array" ref="G228">IFERROR(_xlfn.XLOOKUP(Table57[[#This Row],[Code]],Table1[[#All],[Code]],Table1[[#All],[Time]],,0,-1),"")</f>
        <v/>
      </c>
      <c r="H228" s="23" t="str">
        <f>IFERROR(IF(Table57[[#This Row],[Out]]&gt;=Table57[[#This Row],[In]],Table57[[#This Row],[Out]]-Table57[[#This Row],[In]],(0.5+Table57[[#This Row],[Out]])-Table57[[#This Row],[In]]),"")</f>
        <v/>
      </c>
      <c r="I228" s="31" t="str">
        <f>IFERROR(IF(Table57[[#This Row],[In]]&gt;$C$2,Table57[[#This Row],[In]]-$C$2,""),"")</f>
        <v/>
      </c>
      <c r="J228" s="31" t="str">
        <f>IF(Table57[[#This Row],[Work_Hours]]=0,"",(IF(Table57[[#This Row],[Out]]&lt;$C$3,$C$3-Table57[[#This Row],[Out]],"")))</f>
        <v/>
      </c>
      <c r="K228" s="32" t="str">
        <f>IFERROR(Table57[[#This Row],[In]]+$C$1,"")</f>
        <v/>
      </c>
      <c r="L228" s="29"/>
      <c r="M228" s="31" t="str">
        <f>IF($C$2&gt;Table57[[#This Row],[In]],$C$2-Table57[[#This Row],[In]],"")</f>
        <v/>
      </c>
      <c r="N228" s="29" t="str">
        <f>IFERROR(IF(Table57[[#This Row],[Out]]&gt;$C$3,(Table57[[#This Row],[Out]])-($C$3),""),"")</f>
        <v/>
      </c>
    </row>
    <row r="229" spans="1:14" hidden="1" x14ac:dyDescent="0.25">
      <c r="A229" s="23" t="str">
        <f>Table57[[#This Row],[No.]]&amp;Table57[[#This Row],[Date]]</f>
        <v>00</v>
      </c>
      <c r="B229" s="22">
        <f>'Unique Dates'!A226</f>
        <v>0</v>
      </c>
      <c r="C229" s="22" t="e" cm="1">
        <f t="array" ref="C229">_xlfn.XLOOKUP(Table57[[#This Row],[No.]],Table2[[#All],[CODE]],Table2[[#All],[NAME]],,0,1)</f>
        <v>#N/A</v>
      </c>
      <c r="D229" s="6">
        <f>'Unique Dates'!B226</f>
        <v>0</v>
      </c>
      <c r="E229" t="str">
        <f>TEXT(Table57[[#This Row],[Date]],"dddd")</f>
        <v>Saturday</v>
      </c>
      <c r="F229" s="25" t="str" cm="1">
        <f t="array" ref="F229">IFERROR(_xlfn.XLOOKUP(Table57[[#This Row],[Code]],Table1[[#All],[Code]],Table1[[#All],[Time]],,0,1),"")</f>
        <v/>
      </c>
      <c r="G229" s="25" t="str" cm="1">
        <f t="array" ref="G229">IFERROR(_xlfn.XLOOKUP(Table57[[#This Row],[Code]],Table1[[#All],[Code]],Table1[[#All],[Time]],,0,-1),"")</f>
        <v/>
      </c>
      <c r="H229" s="23" t="str">
        <f>IFERROR(IF(Table57[[#This Row],[Out]]&gt;=Table57[[#This Row],[In]],Table57[[#This Row],[Out]]-Table57[[#This Row],[In]],(0.5+Table57[[#This Row],[Out]])-Table57[[#This Row],[In]]),"")</f>
        <v/>
      </c>
      <c r="I229" s="31" t="str">
        <f>IFERROR(IF(Table57[[#This Row],[In]]&gt;$C$2,Table57[[#This Row],[In]]-$C$2,""),"")</f>
        <v/>
      </c>
      <c r="J229" s="31" t="str">
        <f>IF(Table57[[#This Row],[Work_Hours]]=0,"",(IF(Table57[[#This Row],[Out]]&lt;$C$3,$C$3-Table57[[#This Row],[Out]],"")))</f>
        <v/>
      </c>
      <c r="K229" s="32" t="str">
        <f>IFERROR(Table57[[#This Row],[In]]+$C$1,"")</f>
        <v/>
      </c>
      <c r="L229" s="29"/>
      <c r="M229" s="31" t="str">
        <f>IF($C$2&gt;Table57[[#This Row],[In]],$C$2-Table57[[#This Row],[In]],"")</f>
        <v/>
      </c>
      <c r="N229" s="29" t="str">
        <f>IFERROR(IF(Table57[[#This Row],[Out]]&gt;$C$3,(Table57[[#This Row],[Out]])-($C$3),""),"")</f>
        <v/>
      </c>
    </row>
    <row r="230" spans="1:14" hidden="1" x14ac:dyDescent="0.25">
      <c r="A230" s="23" t="str">
        <f>Table57[[#This Row],[No.]]&amp;Table57[[#This Row],[Date]]</f>
        <v>00</v>
      </c>
      <c r="B230" s="22">
        <f>'Unique Dates'!A227</f>
        <v>0</v>
      </c>
      <c r="C230" s="22" t="e" cm="1">
        <f t="array" ref="C230">_xlfn.XLOOKUP(Table57[[#This Row],[No.]],Table2[[#All],[CODE]],Table2[[#All],[NAME]],,0,1)</f>
        <v>#N/A</v>
      </c>
      <c r="D230" s="6">
        <f>'Unique Dates'!B227</f>
        <v>0</v>
      </c>
      <c r="E230" t="str">
        <f>TEXT(Table57[[#This Row],[Date]],"dddd")</f>
        <v>Saturday</v>
      </c>
      <c r="F230" s="25" t="str" cm="1">
        <f t="array" ref="F230">IFERROR(_xlfn.XLOOKUP(Table57[[#This Row],[Code]],Table1[[#All],[Code]],Table1[[#All],[Time]],,0,1),"")</f>
        <v/>
      </c>
      <c r="G230" s="25" t="str" cm="1">
        <f t="array" ref="G230">IFERROR(_xlfn.XLOOKUP(Table57[[#This Row],[Code]],Table1[[#All],[Code]],Table1[[#All],[Time]],,0,-1),"")</f>
        <v/>
      </c>
      <c r="H230" s="23" t="str">
        <f>IFERROR(IF(Table57[[#This Row],[Out]]&gt;=Table57[[#This Row],[In]],Table57[[#This Row],[Out]]-Table57[[#This Row],[In]],(0.5+Table57[[#This Row],[Out]])-Table57[[#This Row],[In]]),"")</f>
        <v/>
      </c>
      <c r="I230" s="31" t="str">
        <f>IFERROR(IF(Table57[[#This Row],[In]]&gt;$C$2,Table57[[#This Row],[In]]-$C$2,""),"")</f>
        <v/>
      </c>
      <c r="J230" s="31" t="str">
        <f>IF(Table57[[#This Row],[Work_Hours]]=0,"",(IF(Table57[[#This Row],[Out]]&lt;$C$3,$C$3-Table57[[#This Row],[Out]],"")))</f>
        <v/>
      </c>
      <c r="K230" s="32" t="str">
        <f>IFERROR(Table57[[#This Row],[In]]+$C$1,"")</f>
        <v/>
      </c>
      <c r="L230" s="29"/>
      <c r="M230" s="31" t="str">
        <f>IF($C$2&gt;Table57[[#This Row],[In]],$C$2-Table57[[#This Row],[In]],"")</f>
        <v/>
      </c>
      <c r="N230" s="29" t="str">
        <f>IFERROR(IF(Table57[[#This Row],[Out]]&gt;$C$3,(Table57[[#This Row],[Out]])-($C$3),""),"")</f>
        <v/>
      </c>
    </row>
    <row r="231" spans="1:14" hidden="1" x14ac:dyDescent="0.25">
      <c r="A231" s="23" t="str">
        <f>Table57[[#This Row],[No.]]&amp;Table57[[#This Row],[Date]]</f>
        <v>00</v>
      </c>
      <c r="B231" s="22">
        <f>'Unique Dates'!A228</f>
        <v>0</v>
      </c>
      <c r="C231" s="22" t="e" cm="1">
        <f t="array" ref="C231">_xlfn.XLOOKUP(Table57[[#This Row],[No.]],Table2[[#All],[CODE]],Table2[[#All],[NAME]],,0,1)</f>
        <v>#N/A</v>
      </c>
      <c r="D231" s="6">
        <f>'Unique Dates'!B228</f>
        <v>0</v>
      </c>
      <c r="E231" t="str">
        <f>TEXT(Table57[[#This Row],[Date]],"dddd")</f>
        <v>Saturday</v>
      </c>
      <c r="F231" s="25" t="str" cm="1">
        <f t="array" ref="F231">IFERROR(_xlfn.XLOOKUP(Table57[[#This Row],[Code]],Table1[[#All],[Code]],Table1[[#All],[Time]],,0,1),"")</f>
        <v/>
      </c>
      <c r="G231" s="25" t="str" cm="1">
        <f t="array" ref="G231">IFERROR(_xlfn.XLOOKUP(Table57[[#This Row],[Code]],Table1[[#All],[Code]],Table1[[#All],[Time]],,0,-1),"")</f>
        <v/>
      </c>
      <c r="H231" s="23" t="str">
        <f>IFERROR(IF(Table57[[#This Row],[Out]]&gt;=Table57[[#This Row],[In]],Table57[[#This Row],[Out]]-Table57[[#This Row],[In]],(0.5+Table57[[#This Row],[Out]])-Table57[[#This Row],[In]]),"")</f>
        <v/>
      </c>
      <c r="I231" s="31" t="str">
        <f>IFERROR(IF(Table57[[#This Row],[In]]&gt;$C$2,Table57[[#This Row],[In]]-$C$2,""),"")</f>
        <v/>
      </c>
      <c r="J231" s="31" t="str">
        <f>IF(Table57[[#This Row],[Work_Hours]]=0,"",(IF(Table57[[#This Row],[Out]]&lt;$C$3,$C$3-Table57[[#This Row],[Out]],"")))</f>
        <v/>
      </c>
      <c r="K231" s="32" t="str">
        <f>IFERROR(Table57[[#This Row],[In]]+$C$1,"")</f>
        <v/>
      </c>
      <c r="L231" s="29"/>
      <c r="M231" s="31" t="str">
        <f>IF($C$2&gt;Table57[[#This Row],[In]],$C$2-Table57[[#This Row],[In]],"")</f>
        <v/>
      </c>
      <c r="N231" s="29" t="str">
        <f>IFERROR(IF(Table57[[#This Row],[Out]]&gt;$C$3,(Table57[[#This Row],[Out]])-($C$3),""),"")</f>
        <v/>
      </c>
    </row>
    <row r="232" spans="1:14" hidden="1" x14ac:dyDescent="0.25">
      <c r="A232" s="23" t="str">
        <f>Table57[[#This Row],[No.]]&amp;Table57[[#This Row],[Date]]</f>
        <v>00</v>
      </c>
      <c r="B232" s="22">
        <f>'Unique Dates'!A229</f>
        <v>0</v>
      </c>
      <c r="C232" s="22" t="e" cm="1">
        <f t="array" ref="C232">_xlfn.XLOOKUP(Table57[[#This Row],[No.]],Table2[[#All],[CODE]],Table2[[#All],[NAME]],,0,1)</f>
        <v>#N/A</v>
      </c>
      <c r="D232" s="6">
        <f>'Unique Dates'!B229</f>
        <v>0</v>
      </c>
      <c r="E232" t="str">
        <f>TEXT(Table57[[#This Row],[Date]],"dddd")</f>
        <v>Saturday</v>
      </c>
      <c r="F232" s="25" t="str" cm="1">
        <f t="array" ref="F232">IFERROR(_xlfn.XLOOKUP(Table57[[#This Row],[Code]],Table1[[#All],[Code]],Table1[[#All],[Time]],,0,1),"")</f>
        <v/>
      </c>
      <c r="G232" s="25" t="str" cm="1">
        <f t="array" ref="G232">IFERROR(_xlfn.XLOOKUP(Table57[[#This Row],[Code]],Table1[[#All],[Code]],Table1[[#All],[Time]],,0,-1),"")</f>
        <v/>
      </c>
      <c r="H232" s="23" t="str">
        <f>IFERROR(IF(Table57[[#This Row],[Out]]&gt;=Table57[[#This Row],[In]],Table57[[#This Row],[Out]]-Table57[[#This Row],[In]],(0.5+Table57[[#This Row],[Out]])-Table57[[#This Row],[In]]),"")</f>
        <v/>
      </c>
      <c r="I232" s="31" t="str">
        <f>IFERROR(IF(Table57[[#This Row],[In]]&gt;$C$2,Table57[[#This Row],[In]]-$C$2,""),"")</f>
        <v/>
      </c>
      <c r="J232" s="31" t="str">
        <f>IF(Table57[[#This Row],[Work_Hours]]=0,"",(IF(Table57[[#This Row],[Out]]&lt;$C$3,$C$3-Table57[[#This Row],[Out]],"")))</f>
        <v/>
      </c>
      <c r="K232" s="32" t="str">
        <f>IFERROR(Table57[[#This Row],[In]]+$C$1,"")</f>
        <v/>
      </c>
      <c r="L232" s="29"/>
      <c r="M232" s="31" t="str">
        <f>IF($C$2&gt;Table57[[#This Row],[In]],$C$2-Table57[[#This Row],[In]],"")</f>
        <v/>
      </c>
      <c r="N232" s="29" t="str">
        <f>IFERROR(IF(Table57[[#This Row],[Out]]&gt;$C$3,(Table57[[#This Row],[Out]])-($C$3),""),"")</f>
        <v/>
      </c>
    </row>
    <row r="233" spans="1:14" hidden="1" x14ac:dyDescent="0.25">
      <c r="A233" s="23" t="str">
        <f>Table57[[#This Row],[No.]]&amp;Table57[[#This Row],[Date]]</f>
        <v>00</v>
      </c>
      <c r="B233" s="22">
        <f>'Unique Dates'!A230</f>
        <v>0</v>
      </c>
      <c r="C233" s="22" t="e" cm="1">
        <f t="array" ref="C233">_xlfn.XLOOKUP(Table57[[#This Row],[No.]],Table2[[#All],[CODE]],Table2[[#All],[NAME]],,0,1)</f>
        <v>#N/A</v>
      </c>
      <c r="D233" s="6">
        <f>'Unique Dates'!B230</f>
        <v>0</v>
      </c>
      <c r="E233" t="str">
        <f>TEXT(Table57[[#This Row],[Date]],"dddd")</f>
        <v>Saturday</v>
      </c>
      <c r="F233" s="25" t="str" cm="1">
        <f t="array" ref="F233">IFERROR(_xlfn.XLOOKUP(Table57[[#This Row],[Code]],Table1[[#All],[Code]],Table1[[#All],[Time]],,0,1),"")</f>
        <v/>
      </c>
      <c r="G233" s="25" t="str" cm="1">
        <f t="array" ref="G233">IFERROR(_xlfn.XLOOKUP(Table57[[#This Row],[Code]],Table1[[#All],[Code]],Table1[[#All],[Time]],,0,-1),"")</f>
        <v/>
      </c>
      <c r="H233" s="23" t="str">
        <f>IFERROR(IF(Table57[[#This Row],[Out]]&gt;=Table57[[#This Row],[In]],Table57[[#This Row],[Out]]-Table57[[#This Row],[In]],(0.5+Table57[[#This Row],[Out]])-Table57[[#This Row],[In]]),"")</f>
        <v/>
      </c>
      <c r="I233" s="31" t="str">
        <f>IFERROR(IF(Table57[[#This Row],[In]]&gt;$C$2,Table57[[#This Row],[In]]-$C$2,""),"")</f>
        <v/>
      </c>
      <c r="J233" s="31" t="str">
        <f>IF(Table57[[#This Row],[Work_Hours]]=0,"",(IF(Table57[[#This Row],[Out]]&lt;$C$3,$C$3-Table57[[#This Row],[Out]],"")))</f>
        <v/>
      </c>
      <c r="K233" s="32" t="str">
        <f>IFERROR(Table57[[#This Row],[In]]+$C$1,"")</f>
        <v/>
      </c>
      <c r="L233" s="29"/>
      <c r="M233" s="31" t="str">
        <f>IF($C$2&gt;Table57[[#This Row],[In]],$C$2-Table57[[#This Row],[In]],"")</f>
        <v/>
      </c>
      <c r="N233" s="29" t="str">
        <f>IFERROR(IF(Table57[[#This Row],[Out]]&gt;$C$3,(Table57[[#This Row],[Out]])-($C$3),""),"")</f>
        <v/>
      </c>
    </row>
    <row r="234" spans="1:14" hidden="1" x14ac:dyDescent="0.25">
      <c r="A234" s="23" t="str">
        <f>Table57[[#This Row],[No.]]&amp;Table57[[#This Row],[Date]]</f>
        <v>00</v>
      </c>
      <c r="B234" s="22">
        <f>'Unique Dates'!A231</f>
        <v>0</v>
      </c>
      <c r="C234" s="22" t="e" cm="1">
        <f t="array" ref="C234">_xlfn.XLOOKUP(Table57[[#This Row],[No.]],Table2[[#All],[CODE]],Table2[[#All],[NAME]],,0,1)</f>
        <v>#N/A</v>
      </c>
      <c r="D234" s="6">
        <f>'Unique Dates'!B231</f>
        <v>0</v>
      </c>
      <c r="E234" t="str">
        <f>TEXT(Table57[[#This Row],[Date]],"dddd")</f>
        <v>Saturday</v>
      </c>
      <c r="F234" s="25" t="str" cm="1">
        <f t="array" ref="F234">IFERROR(_xlfn.XLOOKUP(Table57[[#This Row],[Code]],Table1[[#All],[Code]],Table1[[#All],[Time]],,0,1),"")</f>
        <v/>
      </c>
      <c r="G234" s="25" t="str" cm="1">
        <f t="array" ref="G234">IFERROR(_xlfn.XLOOKUP(Table57[[#This Row],[Code]],Table1[[#All],[Code]],Table1[[#All],[Time]],,0,-1),"")</f>
        <v/>
      </c>
      <c r="H234" s="23" t="str">
        <f>IFERROR(IF(Table57[[#This Row],[Out]]&gt;=Table57[[#This Row],[In]],Table57[[#This Row],[Out]]-Table57[[#This Row],[In]],(0.5+Table57[[#This Row],[Out]])-Table57[[#This Row],[In]]),"")</f>
        <v/>
      </c>
      <c r="I234" s="31" t="str">
        <f>IFERROR(IF(Table57[[#This Row],[In]]&gt;$C$2,Table57[[#This Row],[In]]-$C$2,""),"")</f>
        <v/>
      </c>
      <c r="J234" s="31" t="str">
        <f>IF(Table57[[#This Row],[Work_Hours]]=0,"",(IF(Table57[[#This Row],[Out]]&lt;$C$3,$C$3-Table57[[#This Row],[Out]],"")))</f>
        <v/>
      </c>
      <c r="K234" s="32" t="str">
        <f>IFERROR(Table57[[#This Row],[In]]+$C$1,"")</f>
        <v/>
      </c>
      <c r="L234" s="29"/>
      <c r="M234" s="31" t="str">
        <f>IF($C$2&gt;Table57[[#This Row],[In]],$C$2-Table57[[#This Row],[In]],"")</f>
        <v/>
      </c>
      <c r="N234" s="29" t="str">
        <f>IFERROR(IF(Table57[[#This Row],[Out]]&gt;$C$3,(Table57[[#This Row],[Out]])-($C$3),""),"")</f>
        <v/>
      </c>
    </row>
    <row r="235" spans="1:14" hidden="1" x14ac:dyDescent="0.25">
      <c r="A235" s="23" t="str">
        <f>Table57[[#This Row],[No.]]&amp;Table57[[#This Row],[Date]]</f>
        <v>00</v>
      </c>
      <c r="B235" s="22">
        <f>'Unique Dates'!A232</f>
        <v>0</v>
      </c>
      <c r="C235" s="22" t="e" cm="1">
        <f t="array" ref="C235">_xlfn.XLOOKUP(Table57[[#This Row],[No.]],Table2[[#All],[CODE]],Table2[[#All],[NAME]],,0,1)</f>
        <v>#N/A</v>
      </c>
      <c r="D235" s="6">
        <f>'Unique Dates'!B232</f>
        <v>0</v>
      </c>
      <c r="E235" t="str">
        <f>TEXT(Table57[[#This Row],[Date]],"dddd")</f>
        <v>Saturday</v>
      </c>
      <c r="F235" s="25" t="str" cm="1">
        <f t="array" ref="F235">IFERROR(_xlfn.XLOOKUP(Table57[[#This Row],[Code]],Table1[[#All],[Code]],Table1[[#All],[Time]],,0,1),"")</f>
        <v/>
      </c>
      <c r="G235" s="25" t="str" cm="1">
        <f t="array" ref="G235">IFERROR(_xlfn.XLOOKUP(Table57[[#This Row],[Code]],Table1[[#All],[Code]],Table1[[#All],[Time]],,0,-1),"")</f>
        <v/>
      </c>
      <c r="H235" s="23" t="str">
        <f>IFERROR(IF(Table57[[#This Row],[Out]]&gt;=Table57[[#This Row],[In]],Table57[[#This Row],[Out]]-Table57[[#This Row],[In]],(0.5+Table57[[#This Row],[Out]])-Table57[[#This Row],[In]]),"")</f>
        <v/>
      </c>
      <c r="I235" s="31" t="str">
        <f>IFERROR(IF(Table57[[#This Row],[In]]&gt;$C$2,Table57[[#This Row],[In]]-$C$2,""),"")</f>
        <v/>
      </c>
      <c r="J235" s="31" t="str">
        <f>IF(Table57[[#This Row],[Work_Hours]]=0,"",(IF(Table57[[#This Row],[Out]]&lt;$C$3,$C$3-Table57[[#This Row],[Out]],"")))</f>
        <v/>
      </c>
      <c r="K235" s="32" t="str">
        <f>IFERROR(Table57[[#This Row],[In]]+$C$1,"")</f>
        <v/>
      </c>
      <c r="L235" s="29"/>
      <c r="M235" s="31" t="str">
        <f>IF($C$2&gt;Table57[[#This Row],[In]],$C$2-Table57[[#This Row],[In]],"")</f>
        <v/>
      </c>
      <c r="N235" s="29" t="str">
        <f>IFERROR(IF(Table57[[#This Row],[Out]]&gt;$C$3,(Table57[[#This Row],[Out]])-($C$3),""),"")</f>
        <v/>
      </c>
    </row>
    <row r="236" spans="1:14" hidden="1" x14ac:dyDescent="0.25">
      <c r="A236" s="23" t="str">
        <f>Table57[[#This Row],[No.]]&amp;Table57[[#This Row],[Date]]</f>
        <v>00</v>
      </c>
      <c r="B236" s="22">
        <f>'Unique Dates'!A233</f>
        <v>0</v>
      </c>
      <c r="C236" s="22" t="e" cm="1">
        <f t="array" ref="C236">_xlfn.XLOOKUP(Table57[[#This Row],[No.]],Table2[[#All],[CODE]],Table2[[#All],[NAME]],,0,1)</f>
        <v>#N/A</v>
      </c>
      <c r="D236" s="6">
        <f>'Unique Dates'!B233</f>
        <v>0</v>
      </c>
      <c r="E236" t="str">
        <f>TEXT(Table57[[#This Row],[Date]],"dddd")</f>
        <v>Saturday</v>
      </c>
      <c r="F236" s="25" t="str" cm="1">
        <f t="array" ref="F236">IFERROR(_xlfn.XLOOKUP(Table57[[#This Row],[Code]],Table1[[#All],[Code]],Table1[[#All],[Time]],,0,1),"")</f>
        <v/>
      </c>
      <c r="G236" s="25" t="str" cm="1">
        <f t="array" ref="G236">IFERROR(_xlfn.XLOOKUP(Table57[[#This Row],[Code]],Table1[[#All],[Code]],Table1[[#All],[Time]],,0,-1),"")</f>
        <v/>
      </c>
      <c r="H236" s="23" t="str">
        <f>IFERROR(IF(Table57[[#This Row],[Out]]&gt;=Table57[[#This Row],[In]],Table57[[#This Row],[Out]]-Table57[[#This Row],[In]],(0.5+Table57[[#This Row],[Out]])-Table57[[#This Row],[In]]),"")</f>
        <v/>
      </c>
      <c r="I236" s="31" t="str">
        <f>IFERROR(IF(Table57[[#This Row],[In]]&gt;$C$2,Table57[[#This Row],[In]]-$C$2,""),"")</f>
        <v/>
      </c>
      <c r="J236" s="31" t="str">
        <f>IF(Table57[[#This Row],[Work_Hours]]=0,"",(IF(Table57[[#This Row],[Out]]&lt;$C$3,$C$3-Table57[[#This Row],[Out]],"")))</f>
        <v/>
      </c>
      <c r="K236" s="32" t="str">
        <f>IFERROR(Table57[[#This Row],[In]]+$C$1,"")</f>
        <v/>
      </c>
      <c r="L236" s="29"/>
      <c r="M236" s="31" t="str">
        <f>IF($C$2&gt;Table57[[#This Row],[In]],$C$2-Table57[[#This Row],[In]],"")</f>
        <v/>
      </c>
      <c r="N236" s="29" t="str">
        <f>IFERROR(IF(Table57[[#This Row],[Out]]&gt;$C$3,(Table57[[#This Row],[Out]])-($C$3),""),"")</f>
        <v/>
      </c>
    </row>
    <row r="237" spans="1:14" hidden="1" x14ac:dyDescent="0.25">
      <c r="A237" s="23" t="str">
        <f>Table57[[#This Row],[No.]]&amp;Table57[[#This Row],[Date]]</f>
        <v>00</v>
      </c>
      <c r="B237" s="22">
        <f>'Unique Dates'!A234</f>
        <v>0</v>
      </c>
      <c r="C237" s="22" t="e" cm="1">
        <f t="array" ref="C237">_xlfn.XLOOKUP(Table57[[#This Row],[No.]],Table2[[#All],[CODE]],Table2[[#All],[NAME]],,0,1)</f>
        <v>#N/A</v>
      </c>
      <c r="D237" s="6">
        <f>'Unique Dates'!B234</f>
        <v>0</v>
      </c>
      <c r="E237" t="str">
        <f>TEXT(Table57[[#This Row],[Date]],"dddd")</f>
        <v>Saturday</v>
      </c>
      <c r="F237" s="25" t="str" cm="1">
        <f t="array" ref="F237">IFERROR(_xlfn.XLOOKUP(Table57[[#This Row],[Code]],Table1[[#All],[Code]],Table1[[#All],[Time]],,0,1),"")</f>
        <v/>
      </c>
      <c r="G237" s="25" t="str" cm="1">
        <f t="array" ref="G237">IFERROR(_xlfn.XLOOKUP(Table57[[#This Row],[Code]],Table1[[#All],[Code]],Table1[[#All],[Time]],,0,-1),"")</f>
        <v/>
      </c>
      <c r="H237" s="23" t="str">
        <f>IFERROR(IF(Table57[[#This Row],[Out]]&gt;=Table57[[#This Row],[In]],Table57[[#This Row],[Out]]-Table57[[#This Row],[In]],(0.5+Table57[[#This Row],[Out]])-Table57[[#This Row],[In]]),"")</f>
        <v/>
      </c>
      <c r="I237" s="31" t="str">
        <f>IFERROR(IF(Table57[[#This Row],[In]]&gt;$C$2,Table57[[#This Row],[In]]-$C$2,""),"")</f>
        <v/>
      </c>
      <c r="J237" s="31" t="str">
        <f>IF(Table57[[#This Row],[Work_Hours]]=0,"",(IF(Table57[[#This Row],[Out]]&lt;$C$3,$C$3-Table57[[#This Row],[Out]],"")))</f>
        <v/>
      </c>
      <c r="K237" s="32" t="str">
        <f>IFERROR(Table57[[#This Row],[In]]+$C$1,"")</f>
        <v/>
      </c>
      <c r="L237" s="29"/>
      <c r="M237" s="31" t="str">
        <f>IF($C$2&gt;Table57[[#This Row],[In]],$C$2-Table57[[#This Row],[In]],"")</f>
        <v/>
      </c>
      <c r="N237" s="29" t="str">
        <f>IFERROR(IF(Table57[[#This Row],[Out]]&gt;$C$3,(Table57[[#This Row],[Out]])-($C$3),""),"")</f>
        <v/>
      </c>
    </row>
    <row r="238" spans="1:14" hidden="1" x14ac:dyDescent="0.25">
      <c r="A238" s="23" t="str">
        <f>Table57[[#This Row],[No.]]&amp;Table57[[#This Row],[Date]]</f>
        <v>00</v>
      </c>
      <c r="B238" s="22">
        <f>'Unique Dates'!A235</f>
        <v>0</v>
      </c>
      <c r="C238" s="22" t="e" cm="1">
        <f t="array" ref="C238">_xlfn.XLOOKUP(Table57[[#This Row],[No.]],Table2[[#All],[CODE]],Table2[[#All],[NAME]],,0,1)</f>
        <v>#N/A</v>
      </c>
      <c r="D238" s="6">
        <f>'Unique Dates'!B235</f>
        <v>0</v>
      </c>
      <c r="E238" t="str">
        <f>TEXT(Table57[[#This Row],[Date]],"dddd")</f>
        <v>Saturday</v>
      </c>
      <c r="F238" s="25" t="str" cm="1">
        <f t="array" ref="F238">IFERROR(_xlfn.XLOOKUP(Table57[[#This Row],[Code]],Table1[[#All],[Code]],Table1[[#All],[Time]],,0,1),"")</f>
        <v/>
      </c>
      <c r="G238" s="25" t="str" cm="1">
        <f t="array" ref="G238">IFERROR(_xlfn.XLOOKUP(Table57[[#This Row],[Code]],Table1[[#All],[Code]],Table1[[#All],[Time]],,0,-1),"")</f>
        <v/>
      </c>
      <c r="H238" s="23" t="str">
        <f>IFERROR(IF(Table57[[#This Row],[Out]]&gt;=Table57[[#This Row],[In]],Table57[[#This Row],[Out]]-Table57[[#This Row],[In]],(0.5+Table57[[#This Row],[Out]])-Table57[[#This Row],[In]]),"")</f>
        <v/>
      </c>
      <c r="I238" s="31" t="str">
        <f>IFERROR(IF(Table57[[#This Row],[In]]&gt;$C$2,Table57[[#This Row],[In]]-$C$2,""),"")</f>
        <v/>
      </c>
      <c r="J238" s="31" t="str">
        <f>IF(Table57[[#This Row],[Work_Hours]]=0,"",(IF(Table57[[#This Row],[Out]]&lt;$C$3,$C$3-Table57[[#This Row],[Out]],"")))</f>
        <v/>
      </c>
      <c r="K238" s="32" t="str">
        <f>IFERROR(Table57[[#This Row],[In]]+$C$1,"")</f>
        <v/>
      </c>
      <c r="L238" s="29"/>
      <c r="M238" s="31" t="str">
        <f>IF($C$2&gt;Table57[[#This Row],[In]],$C$2-Table57[[#This Row],[In]],"")</f>
        <v/>
      </c>
      <c r="N238" s="29" t="str">
        <f>IFERROR(IF(Table57[[#This Row],[Out]]&gt;$C$3,(Table57[[#This Row],[Out]])-($C$3),""),"")</f>
        <v/>
      </c>
    </row>
    <row r="239" spans="1:14" hidden="1" x14ac:dyDescent="0.25">
      <c r="A239" s="23" t="str">
        <f>Table57[[#This Row],[No.]]&amp;Table57[[#This Row],[Date]]</f>
        <v>00</v>
      </c>
      <c r="B239" s="22">
        <f>'Unique Dates'!A236</f>
        <v>0</v>
      </c>
      <c r="C239" s="22" t="e" cm="1">
        <f t="array" ref="C239">_xlfn.XLOOKUP(Table57[[#This Row],[No.]],Table2[[#All],[CODE]],Table2[[#All],[NAME]],,0,1)</f>
        <v>#N/A</v>
      </c>
      <c r="D239" s="6">
        <f>'Unique Dates'!B236</f>
        <v>0</v>
      </c>
      <c r="E239" t="str">
        <f>TEXT(Table57[[#This Row],[Date]],"dddd")</f>
        <v>Saturday</v>
      </c>
      <c r="F239" s="25" t="str" cm="1">
        <f t="array" ref="F239">IFERROR(_xlfn.XLOOKUP(Table57[[#This Row],[Code]],Table1[[#All],[Code]],Table1[[#All],[Time]],,0,1),"")</f>
        <v/>
      </c>
      <c r="G239" s="25" t="str" cm="1">
        <f t="array" ref="G239">IFERROR(_xlfn.XLOOKUP(Table57[[#This Row],[Code]],Table1[[#All],[Code]],Table1[[#All],[Time]],,0,-1),"")</f>
        <v/>
      </c>
      <c r="H239" s="23" t="str">
        <f>IFERROR(IF(Table57[[#This Row],[Out]]&gt;=Table57[[#This Row],[In]],Table57[[#This Row],[Out]]-Table57[[#This Row],[In]],(0.5+Table57[[#This Row],[Out]])-Table57[[#This Row],[In]]),"")</f>
        <v/>
      </c>
      <c r="I239" s="31" t="str">
        <f>IFERROR(IF(Table57[[#This Row],[In]]&gt;$C$2,Table57[[#This Row],[In]]-$C$2,""),"")</f>
        <v/>
      </c>
      <c r="J239" s="31" t="str">
        <f>IF(Table57[[#This Row],[Work_Hours]]=0,"",(IF(Table57[[#This Row],[Out]]&lt;$C$3,$C$3-Table57[[#This Row],[Out]],"")))</f>
        <v/>
      </c>
      <c r="K239" s="32" t="str">
        <f>IFERROR(Table57[[#This Row],[In]]+$C$1,"")</f>
        <v/>
      </c>
      <c r="L239" s="29"/>
      <c r="M239" s="31" t="str">
        <f>IF($C$2&gt;Table57[[#This Row],[In]],$C$2-Table57[[#This Row],[In]],"")</f>
        <v/>
      </c>
      <c r="N239" s="29" t="str">
        <f>IFERROR(IF(Table57[[#This Row],[Out]]&gt;$C$3,(Table57[[#This Row],[Out]])-($C$3),""),"")</f>
        <v/>
      </c>
    </row>
    <row r="240" spans="1:14" hidden="1" x14ac:dyDescent="0.25">
      <c r="A240" s="23" t="str">
        <f>Table57[[#This Row],[No.]]&amp;Table57[[#This Row],[Date]]</f>
        <v>00</v>
      </c>
      <c r="B240" s="22">
        <f>'Unique Dates'!A237</f>
        <v>0</v>
      </c>
      <c r="C240" s="22" t="e" cm="1">
        <f t="array" ref="C240">_xlfn.XLOOKUP(Table57[[#This Row],[No.]],Table2[[#All],[CODE]],Table2[[#All],[NAME]],,0,1)</f>
        <v>#N/A</v>
      </c>
      <c r="D240" s="6">
        <f>'Unique Dates'!B237</f>
        <v>0</v>
      </c>
      <c r="E240" t="str">
        <f>TEXT(Table57[[#This Row],[Date]],"dddd")</f>
        <v>Saturday</v>
      </c>
      <c r="F240" s="25" t="str" cm="1">
        <f t="array" ref="F240">IFERROR(_xlfn.XLOOKUP(Table57[[#This Row],[Code]],Table1[[#All],[Code]],Table1[[#All],[Time]],,0,1),"")</f>
        <v/>
      </c>
      <c r="G240" s="25" t="str" cm="1">
        <f t="array" ref="G240">IFERROR(_xlfn.XLOOKUP(Table57[[#This Row],[Code]],Table1[[#All],[Code]],Table1[[#All],[Time]],,0,-1),"")</f>
        <v/>
      </c>
      <c r="H240" s="23" t="str">
        <f>IFERROR(IF(Table57[[#This Row],[Out]]&gt;=Table57[[#This Row],[In]],Table57[[#This Row],[Out]]-Table57[[#This Row],[In]],(0.5+Table57[[#This Row],[Out]])-Table57[[#This Row],[In]]),"")</f>
        <v/>
      </c>
      <c r="I240" s="31" t="str">
        <f>IFERROR(IF(Table57[[#This Row],[In]]&gt;$C$2,Table57[[#This Row],[In]]-$C$2,""),"")</f>
        <v/>
      </c>
      <c r="J240" s="31" t="str">
        <f>IF(Table57[[#This Row],[Work_Hours]]=0,"",(IF(Table57[[#This Row],[Out]]&lt;$C$3,$C$3-Table57[[#This Row],[Out]],"")))</f>
        <v/>
      </c>
      <c r="K240" s="32" t="str">
        <f>IFERROR(Table57[[#This Row],[In]]+$C$1,"")</f>
        <v/>
      </c>
      <c r="L240" s="29"/>
      <c r="M240" s="31" t="str">
        <f>IF($C$2&gt;Table57[[#This Row],[In]],$C$2-Table57[[#This Row],[In]],"")</f>
        <v/>
      </c>
      <c r="N240" s="29" t="str">
        <f>IFERROR(IF(Table57[[#This Row],[Out]]&gt;$C$3,(Table57[[#This Row],[Out]])-($C$3),""),"")</f>
        <v/>
      </c>
    </row>
    <row r="241" spans="1:14" hidden="1" x14ac:dyDescent="0.25">
      <c r="A241" s="23" t="str">
        <f>Table57[[#This Row],[No.]]&amp;Table57[[#This Row],[Date]]</f>
        <v>00</v>
      </c>
      <c r="B241" s="22">
        <f>'Unique Dates'!A238</f>
        <v>0</v>
      </c>
      <c r="C241" s="22" t="e" cm="1">
        <f t="array" ref="C241">_xlfn.XLOOKUP(Table57[[#This Row],[No.]],Table2[[#All],[CODE]],Table2[[#All],[NAME]],,0,1)</f>
        <v>#N/A</v>
      </c>
      <c r="D241" s="6">
        <f>'Unique Dates'!B238</f>
        <v>0</v>
      </c>
      <c r="E241" t="str">
        <f>TEXT(Table57[[#This Row],[Date]],"dddd")</f>
        <v>Saturday</v>
      </c>
      <c r="F241" s="25" t="str" cm="1">
        <f t="array" ref="F241">IFERROR(_xlfn.XLOOKUP(Table57[[#This Row],[Code]],Table1[[#All],[Code]],Table1[[#All],[Time]],,0,1),"")</f>
        <v/>
      </c>
      <c r="G241" s="25" t="str" cm="1">
        <f t="array" ref="G241">IFERROR(_xlfn.XLOOKUP(Table57[[#This Row],[Code]],Table1[[#All],[Code]],Table1[[#All],[Time]],,0,-1),"")</f>
        <v/>
      </c>
      <c r="H241" s="23" t="str">
        <f>IFERROR(IF(Table57[[#This Row],[Out]]&gt;=Table57[[#This Row],[In]],Table57[[#This Row],[Out]]-Table57[[#This Row],[In]],(0.5+Table57[[#This Row],[Out]])-Table57[[#This Row],[In]]),"")</f>
        <v/>
      </c>
      <c r="I241" s="31" t="str">
        <f>IFERROR(IF(Table57[[#This Row],[In]]&gt;$C$2,Table57[[#This Row],[In]]-$C$2,""),"")</f>
        <v/>
      </c>
      <c r="J241" s="31" t="str">
        <f>IF(Table57[[#This Row],[Work_Hours]]=0,"",(IF(Table57[[#This Row],[Out]]&lt;$C$3,$C$3-Table57[[#This Row],[Out]],"")))</f>
        <v/>
      </c>
      <c r="K241" s="32" t="str">
        <f>IFERROR(Table57[[#This Row],[In]]+$C$1,"")</f>
        <v/>
      </c>
      <c r="L241" s="29"/>
      <c r="M241" s="31" t="str">
        <f>IF($C$2&gt;Table57[[#This Row],[In]],$C$2-Table57[[#This Row],[In]],"")</f>
        <v/>
      </c>
      <c r="N241" s="29" t="str">
        <f>IFERROR(IF(Table57[[#This Row],[Out]]&gt;$C$3,(Table57[[#This Row],[Out]])-($C$3),""),"")</f>
        <v/>
      </c>
    </row>
    <row r="242" spans="1:14" hidden="1" x14ac:dyDescent="0.25">
      <c r="A242" s="23" t="str">
        <f>Table57[[#This Row],[No.]]&amp;Table57[[#This Row],[Date]]</f>
        <v>00</v>
      </c>
      <c r="B242" s="22">
        <f>'Unique Dates'!A239</f>
        <v>0</v>
      </c>
      <c r="C242" s="22" t="e" cm="1">
        <f t="array" ref="C242">_xlfn.XLOOKUP(Table57[[#This Row],[No.]],Table2[[#All],[CODE]],Table2[[#All],[NAME]],,0,1)</f>
        <v>#N/A</v>
      </c>
      <c r="D242" s="6">
        <f>'Unique Dates'!B239</f>
        <v>0</v>
      </c>
      <c r="E242" t="str">
        <f>TEXT(Table57[[#This Row],[Date]],"dddd")</f>
        <v>Saturday</v>
      </c>
      <c r="F242" s="25" t="str" cm="1">
        <f t="array" ref="F242">IFERROR(_xlfn.XLOOKUP(Table57[[#This Row],[Code]],Table1[[#All],[Code]],Table1[[#All],[Time]],,0,1),"")</f>
        <v/>
      </c>
      <c r="G242" s="25" t="str" cm="1">
        <f t="array" ref="G242">IFERROR(_xlfn.XLOOKUP(Table57[[#This Row],[Code]],Table1[[#All],[Code]],Table1[[#All],[Time]],,0,-1),"")</f>
        <v/>
      </c>
      <c r="H242" s="23" t="str">
        <f>IFERROR(IF(Table57[[#This Row],[Out]]&gt;=Table57[[#This Row],[In]],Table57[[#This Row],[Out]]-Table57[[#This Row],[In]],(0.5+Table57[[#This Row],[Out]])-Table57[[#This Row],[In]]),"")</f>
        <v/>
      </c>
      <c r="I242" s="31" t="str">
        <f>IFERROR(IF(Table57[[#This Row],[In]]&gt;$C$2,Table57[[#This Row],[In]]-$C$2,""),"")</f>
        <v/>
      </c>
      <c r="J242" s="31" t="str">
        <f>IF(Table57[[#This Row],[Work_Hours]]=0,"",(IF(Table57[[#This Row],[Out]]&lt;$C$3,$C$3-Table57[[#This Row],[Out]],"")))</f>
        <v/>
      </c>
      <c r="K242" s="32" t="str">
        <f>IFERROR(Table57[[#This Row],[In]]+$C$1,"")</f>
        <v/>
      </c>
      <c r="L242" s="29"/>
      <c r="M242" s="31" t="str">
        <f>IF($C$2&gt;Table57[[#This Row],[In]],$C$2-Table57[[#This Row],[In]],"")</f>
        <v/>
      </c>
      <c r="N242" s="29" t="str">
        <f>IFERROR(IF(Table57[[#This Row],[Out]]&gt;$C$3,(Table57[[#This Row],[Out]])-($C$3),""),"")</f>
        <v/>
      </c>
    </row>
    <row r="243" spans="1:14" hidden="1" x14ac:dyDescent="0.25">
      <c r="A243" s="23" t="str">
        <f>Table57[[#This Row],[No.]]&amp;Table57[[#This Row],[Date]]</f>
        <v>00</v>
      </c>
      <c r="B243" s="22">
        <f>'Unique Dates'!A240</f>
        <v>0</v>
      </c>
      <c r="C243" s="22" t="e" cm="1">
        <f t="array" ref="C243">_xlfn.XLOOKUP(Table57[[#This Row],[No.]],Table2[[#All],[CODE]],Table2[[#All],[NAME]],,0,1)</f>
        <v>#N/A</v>
      </c>
      <c r="D243" s="6">
        <f>'Unique Dates'!B240</f>
        <v>0</v>
      </c>
      <c r="E243" t="str">
        <f>TEXT(Table57[[#This Row],[Date]],"dddd")</f>
        <v>Saturday</v>
      </c>
      <c r="F243" s="25" t="str" cm="1">
        <f t="array" ref="F243">IFERROR(_xlfn.XLOOKUP(Table57[[#This Row],[Code]],Table1[[#All],[Code]],Table1[[#All],[Time]],,0,1),"")</f>
        <v/>
      </c>
      <c r="G243" s="25" t="str" cm="1">
        <f t="array" ref="G243">IFERROR(_xlfn.XLOOKUP(Table57[[#This Row],[Code]],Table1[[#All],[Code]],Table1[[#All],[Time]],,0,-1),"")</f>
        <v/>
      </c>
      <c r="H243" s="23" t="str">
        <f>IFERROR(IF(Table57[[#This Row],[Out]]&gt;=Table57[[#This Row],[In]],Table57[[#This Row],[Out]]-Table57[[#This Row],[In]],(0.5+Table57[[#This Row],[Out]])-Table57[[#This Row],[In]]),"")</f>
        <v/>
      </c>
      <c r="I243" s="31" t="str">
        <f>IFERROR(IF(Table57[[#This Row],[In]]&gt;$C$2,Table57[[#This Row],[In]]-$C$2,""),"")</f>
        <v/>
      </c>
      <c r="J243" s="31" t="str">
        <f>IF(Table57[[#This Row],[Work_Hours]]=0,"",(IF(Table57[[#This Row],[Out]]&lt;$C$3,$C$3-Table57[[#This Row],[Out]],"")))</f>
        <v/>
      </c>
      <c r="K243" s="32" t="str">
        <f>IFERROR(Table57[[#This Row],[In]]+$C$1,"")</f>
        <v/>
      </c>
      <c r="L243" s="29"/>
      <c r="M243" s="31" t="str">
        <f>IF($C$2&gt;Table57[[#This Row],[In]],$C$2-Table57[[#This Row],[In]],"")</f>
        <v/>
      </c>
      <c r="N243" s="29" t="str">
        <f>IFERROR(IF(Table57[[#This Row],[Out]]&gt;$C$3,(Table57[[#This Row],[Out]])-($C$3),""),"")</f>
        <v/>
      </c>
    </row>
    <row r="244" spans="1:14" hidden="1" x14ac:dyDescent="0.25">
      <c r="A244" s="23" t="str">
        <f>Table57[[#This Row],[No.]]&amp;Table57[[#This Row],[Date]]</f>
        <v>00</v>
      </c>
      <c r="B244" s="22">
        <f>'Unique Dates'!A241</f>
        <v>0</v>
      </c>
      <c r="C244" s="22" t="e" cm="1">
        <f t="array" ref="C244">_xlfn.XLOOKUP(Table57[[#This Row],[No.]],Table2[[#All],[CODE]],Table2[[#All],[NAME]],,0,1)</f>
        <v>#N/A</v>
      </c>
      <c r="D244" s="6">
        <f>'Unique Dates'!B241</f>
        <v>0</v>
      </c>
      <c r="E244" t="str">
        <f>TEXT(Table57[[#This Row],[Date]],"dddd")</f>
        <v>Saturday</v>
      </c>
      <c r="F244" s="25" t="str" cm="1">
        <f t="array" ref="F244">IFERROR(_xlfn.XLOOKUP(Table57[[#This Row],[Code]],Table1[[#All],[Code]],Table1[[#All],[Time]],,0,1),"")</f>
        <v/>
      </c>
      <c r="G244" s="25" t="str" cm="1">
        <f t="array" ref="G244">IFERROR(_xlfn.XLOOKUP(Table57[[#This Row],[Code]],Table1[[#All],[Code]],Table1[[#All],[Time]],,0,-1),"")</f>
        <v/>
      </c>
      <c r="H244" s="23" t="str">
        <f>IFERROR(IF(Table57[[#This Row],[Out]]&gt;=Table57[[#This Row],[In]],Table57[[#This Row],[Out]]-Table57[[#This Row],[In]],(0.5+Table57[[#This Row],[Out]])-Table57[[#This Row],[In]]),"")</f>
        <v/>
      </c>
      <c r="I244" s="31" t="str">
        <f>IFERROR(IF(Table57[[#This Row],[In]]&gt;$C$2,Table57[[#This Row],[In]]-$C$2,""),"")</f>
        <v/>
      </c>
      <c r="J244" s="31" t="str">
        <f>IF(Table57[[#This Row],[Work_Hours]]=0,"",(IF(Table57[[#This Row],[Out]]&lt;$C$3,$C$3-Table57[[#This Row],[Out]],"")))</f>
        <v/>
      </c>
      <c r="K244" s="32" t="str">
        <f>IFERROR(Table57[[#This Row],[In]]+$C$1,"")</f>
        <v/>
      </c>
      <c r="L244" s="29"/>
      <c r="M244" s="31" t="str">
        <f>IF($C$2&gt;Table57[[#This Row],[In]],$C$2-Table57[[#This Row],[In]],"")</f>
        <v/>
      </c>
      <c r="N244" s="29" t="str">
        <f>IFERROR(IF(Table57[[#This Row],[Out]]&gt;$C$3,(Table57[[#This Row],[Out]])-($C$3),""),"")</f>
        <v/>
      </c>
    </row>
    <row r="245" spans="1:14" hidden="1" x14ac:dyDescent="0.25">
      <c r="A245" s="23" t="str">
        <f>Table57[[#This Row],[No.]]&amp;Table57[[#This Row],[Date]]</f>
        <v>00</v>
      </c>
      <c r="B245" s="22">
        <f>'Unique Dates'!A242</f>
        <v>0</v>
      </c>
      <c r="C245" s="22" t="e" cm="1">
        <f t="array" ref="C245">_xlfn.XLOOKUP(Table57[[#This Row],[No.]],Table2[[#All],[CODE]],Table2[[#All],[NAME]],,0,1)</f>
        <v>#N/A</v>
      </c>
      <c r="D245" s="6">
        <f>'Unique Dates'!B242</f>
        <v>0</v>
      </c>
      <c r="E245" t="str">
        <f>TEXT(Table57[[#This Row],[Date]],"dddd")</f>
        <v>Saturday</v>
      </c>
      <c r="F245" s="25" t="str" cm="1">
        <f t="array" ref="F245">IFERROR(_xlfn.XLOOKUP(Table57[[#This Row],[Code]],Table1[[#All],[Code]],Table1[[#All],[Time]],,0,1),"")</f>
        <v/>
      </c>
      <c r="G245" s="25" t="str" cm="1">
        <f t="array" ref="G245">IFERROR(_xlfn.XLOOKUP(Table57[[#This Row],[Code]],Table1[[#All],[Code]],Table1[[#All],[Time]],,0,-1),"")</f>
        <v/>
      </c>
      <c r="H245" s="23" t="str">
        <f>IFERROR(IF(Table57[[#This Row],[Out]]&gt;=Table57[[#This Row],[In]],Table57[[#This Row],[Out]]-Table57[[#This Row],[In]],(0.5+Table57[[#This Row],[Out]])-Table57[[#This Row],[In]]),"")</f>
        <v/>
      </c>
      <c r="I245" s="31" t="str">
        <f>IFERROR(IF(Table57[[#This Row],[In]]&gt;$C$2,Table57[[#This Row],[In]]-$C$2,""),"")</f>
        <v/>
      </c>
      <c r="J245" s="31" t="str">
        <f>IF(Table57[[#This Row],[Work_Hours]]=0,"",(IF(Table57[[#This Row],[Out]]&lt;$C$3,$C$3-Table57[[#This Row],[Out]],"")))</f>
        <v/>
      </c>
      <c r="K245" s="32" t="str">
        <f>IFERROR(Table57[[#This Row],[In]]+$C$1,"")</f>
        <v/>
      </c>
      <c r="L245" s="29"/>
      <c r="M245" s="31" t="str">
        <f>IF($C$2&gt;Table57[[#This Row],[In]],$C$2-Table57[[#This Row],[In]],"")</f>
        <v/>
      </c>
      <c r="N245" s="29" t="str">
        <f>IFERROR(IF(Table57[[#This Row],[Out]]&gt;$C$3,(Table57[[#This Row],[Out]])-($C$3),""),"")</f>
        <v/>
      </c>
    </row>
    <row r="246" spans="1:14" hidden="1" x14ac:dyDescent="0.25">
      <c r="A246" s="23" t="str">
        <f>Table57[[#This Row],[No.]]&amp;Table57[[#This Row],[Date]]</f>
        <v>00</v>
      </c>
      <c r="B246" s="22">
        <f>'Unique Dates'!A243</f>
        <v>0</v>
      </c>
      <c r="C246" s="22" t="e" cm="1">
        <f t="array" ref="C246">_xlfn.XLOOKUP(Table57[[#This Row],[No.]],Table2[[#All],[CODE]],Table2[[#All],[NAME]],,0,1)</f>
        <v>#N/A</v>
      </c>
      <c r="D246" s="6">
        <f>'Unique Dates'!B243</f>
        <v>0</v>
      </c>
      <c r="E246" t="str">
        <f>TEXT(Table57[[#This Row],[Date]],"dddd")</f>
        <v>Saturday</v>
      </c>
      <c r="F246" s="25" t="str" cm="1">
        <f t="array" ref="F246">IFERROR(_xlfn.XLOOKUP(Table57[[#This Row],[Code]],Table1[[#All],[Code]],Table1[[#All],[Time]],,0,1),"")</f>
        <v/>
      </c>
      <c r="G246" s="25" t="str" cm="1">
        <f t="array" ref="G246">IFERROR(_xlfn.XLOOKUP(Table57[[#This Row],[Code]],Table1[[#All],[Code]],Table1[[#All],[Time]],,0,-1),"")</f>
        <v/>
      </c>
      <c r="H246" s="23" t="str">
        <f>IFERROR(IF(Table57[[#This Row],[Out]]&gt;=Table57[[#This Row],[In]],Table57[[#This Row],[Out]]-Table57[[#This Row],[In]],(0.5+Table57[[#This Row],[Out]])-Table57[[#This Row],[In]]),"")</f>
        <v/>
      </c>
      <c r="I246" s="31" t="str">
        <f>IFERROR(IF(Table57[[#This Row],[In]]&gt;$C$2,Table57[[#This Row],[In]]-$C$2,""),"")</f>
        <v/>
      </c>
      <c r="J246" s="31" t="str">
        <f>IF(Table57[[#This Row],[Work_Hours]]=0,"",(IF(Table57[[#This Row],[Out]]&lt;$C$3,$C$3-Table57[[#This Row],[Out]],"")))</f>
        <v/>
      </c>
      <c r="K246" s="32" t="str">
        <f>IFERROR(Table57[[#This Row],[In]]+$C$1,"")</f>
        <v/>
      </c>
      <c r="L246" s="29"/>
      <c r="M246" s="31" t="str">
        <f>IF($C$2&gt;Table57[[#This Row],[In]],$C$2-Table57[[#This Row],[In]],"")</f>
        <v/>
      </c>
      <c r="N246" s="29" t="str">
        <f>IFERROR(IF(Table57[[#This Row],[Out]]&gt;$C$3,(Table57[[#This Row],[Out]])-($C$3),""),"")</f>
        <v/>
      </c>
    </row>
    <row r="247" spans="1:14" hidden="1" x14ac:dyDescent="0.25">
      <c r="A247" s="23" t="str">
        <f>Table57[[#This Row],[No.]]&amp;Table57[[#This Row],[Date]]</f>
        <v>00</v>
      </c>
      <c r="B247" s="22">
        <f>'Unique Dates'!A244</f>
        <v>0</v>
      </c>
      <c r="C247" s="22" t="e" cm="1">
        <f t="array" ref="C247">_xlfn.XLOOKUP(Table57[[#This Row],[No.]],Table2[[#All],[CODE]],Table2[[#All],[NAME]],,0,1)</f>
        <v>#N/A</v>
      </c>
      <c r="D247" s="6">
        <f>'Unique Dates'!B244</f>
        <v>0</v>
      </c>
      <c r="E247" t="str">
        <f>TEXT(Table57[[#This Row],[Date]],"dddd")</f>
        <v>Saturday</v>
      </c>
      <c r="F247" s="25" t="str" cm="1">
        <f t="array" ref="F247">IFERROR(_xlfn.XLOOKUP(Table57[[#This Row],[Code]],Table1[[#All],[Code]],Table1[[#All],[Time]],,0,1),"")</f>
        <v/>
      </c>
      <c r="G247" s="25" t="str" cm="1">
        <f t="array" ref="G247">IFERROR(_xlfn.XLOOKUP(Table57[[#This Row],[Code]],Table1[[#All],[Code]],Table1[[#All],[Time]],,0,-1),"")</f>
        <v/>
      </c>
      <c r="H247" s="23" t="str">
        <f>IFERROR(IF(Table57[[#This Row],[Out]]&gt;=Table57[[#This Row],[In]],Table57[[#This Row],[Out]]-Table57[[#This Row],[In]],(0.5+Table57[[#This Row],[Out]])-Table57[[#This Row],[In]]),"")</f>
        <v/>
      </c>
      <c r="I247" s="31" t="str">
        <f>IFERROR(IF(Table57[[#This Row],[In]]&gt;$C$2,Table57[[#This Row],[In]]-$C$2,""),"")</f>
        <v/>
      </c>
      <c r="J247" s="31" t="str">
        <f>IF(Table57[[#This Row],[Work_Hours]]=0,"",(IF(Table57[[#This Row],[Out]]&lt;$C$3,$C$3-Table57[[#This Row],[Out]],"")))</f>
        <v/>
      </c>
      <c r="K247" s="32" t="str">
        <f>IFERROR(Table57[[#This Row],[In]]+$C$1,"")</f>
        <v/>
      </c>
      <c r="L247" s="29"/>
      <c r="M247" s="31" t="str">
        <f>IF($C$2&gt;Table57[[#This Row],[In]],$C$2-Table57[[#This Row],[In]],"")</f>
        <v/>
      </c>
      <c r="N247" s="29" t="str">
        <f>IFERROR(IF(Table57[[#This Row],[Out]]&gt;$C$3,(Table57[[#This Row],[Out]])-($C$3),""),"")</f>
        <v/>
      </c>
    </row>
    <row r="248" spans="1:14" hidden="1" x14ac:dyDescent="0.25">
      <c r="A248" s="23" t="str">
        <f>Table57[[#This Row],[No.]]&amp;Table57[[#This Row],[Date]]</f>
        <v>00</v>
      </c>
      <c r="B248" s="22">
        <f>'Unique Dates'!A245</f>
        <v>0</v>
      </c>
      <c r="C248" s="22" t="e" cm="1">
        <f t="array" ref="C248">_xlfn.XLOOKUP(Table57[[#This Row],[No.]],Table2[[#All],[CODE]],Table2[[#All],[NAME]],,0,1)</f>
        <v>#N/A</v>
      </c>
      <c r="D248" s="6">
        <f>'Unique Dates'!B245</f>
        <v>0</v>
      </c>
      <c r="E248" t="str">
        <f>TEXT(Table57[[#This Row],[Date]],"dddd")</f>
        <v>Saturday</v>
      </c>
      <c r="F248" s="25" t="str" cm="1">
        <f t="array" ref="F248">IFERROR(_xlfn.XLOOKUP(Table57[[#This Row],[Code]],Table1[[#All],[Code]],Table1[[#All],[Time]],,0,1),"")</f>
        <v/>
      </c>
      <c r="G248" s="25" t="str" cm="1">
        <f t="array" ref="G248">IFERROR(_xlfn.XLOOKUP(Table57[[#This Row],[Code]],Table1[[#All],[Code]],Table1[[#All],[Time]],,0,-1),"")</f>
        <v/>
      </c>
      <c r="H248" s="23" t="str">
        <f>IFERROR(IF(Table57[[#This Row],[Out]]&gt;=Table57[[#This Row],[In]],Table57[[#This Row],[Out]]-Table57[[#This Row],[In]],(0.5+Table57[[#This Row],[Out]])-Table57[[#This Row],[In]]),"")</f>
        <v/>
      </c>
      <c r="I248" s="31" t="str">
        <f>IFERROR(IF(Table57[[#This Row],[In]]&gt;$C$2,Table57[[#This Row],[In]]-$C$2,""),"")</f>
        <v/>
      </c>
      <c r="J248" s="31" t="str">
        <f>IF(Table57[[#This Row],[Work_Hours]]=0,"",(IF(Table57[[#This Row],[Out]]&lt;$C$3,$C$3-Table57[[#This Row],[Out]],"")))</f>
        <v/>
      </c>
      <c r="K248" s="32" t="str">
        <f>IFERROR(Table57[[#This Row],[In]]+$C$1,"")</f>
        <v/>
      </c>
      <c r="L248" s="29"/>
      <c r="M248" s="31" t="str">
        <f>IF($C$2&gt;Table57[[#This Row],[In]],$C$2-Table57[[#This Row],[In]],"")</f>
        <v/>
      </c>
      <c r="N248" s="29" t="str">
        <f>IFERROR(IF(Table57[[#This Row],[Out]]&gt;$C$3,(Table57[[#This Row],[Out]])-($C$3),""),"")</f>
        <v/>
      </c>
    </row>
    <row r="249" spans="1:14" hidden="1" x14ac:dyDescent="0.25">
      <c r="A249" s="23" t="str">
        <f>Table57[[#This Row],[No.]]&amp;Table57[[#This Row],[Date]]</f>
        <v>00</v>
      </c>
      <c r="B249" s="22">
        <f>'Unique Dates'!A246</f>
        <v>0</v>
      </c>
      <c r="C249" s="22" t="e" cm="1">
        <f t="array" ref="C249">_xlfn.XLOOKUP(Table57[[#This Row],[No.]],Table2[[#All],[CODE]],Table2[[#All],[NAME]],,0,1)</f>
        <v>#N/A</v>
      </c>
      <c r="D249" s="6">
        <f>'Unique Dates'!B246</f>
        <v>0</v>
      </c>
      <c r="E249" t="str">
        <f>TEXT(Table57[[#This Row],[Date]],"dddd")</f>
        <v>Saturday</v>
      </c>
      <c r="F249" s="25" t="str" cm="1">
        <f t="array" ref="F249">IFERROR(_xlfn.XLOOKUP(Table57[[#This Row],[Code]],Table1[[#All],[Code]],Table1[[#All],[Time]],,0,1),"")</f>
        <v/>
      </c>
      <c r="G249" s="25" t="str" cm="1">
        <f t="array" ref="G249">IFERROR(_xlfn.XLOOKUP(Table57[[#This Row],[Code]],Table1[[#All],[Code]],Table1[[#All],[Time]],,0,-1),"")</f>
        <v/>
      </c>
      <c r="H249" s="23" t="str">
        <f>IFERROR(IF(Table57[[#This Row],[Out]]&gt;=Table57[[#This Row],[In]],Table57[[#This Row],[Out]]-Table57[[#This Row],[In]],(0.5+Table57[[#This Row],[Out]])-Table57[[#This Row],[In]]),"")</f>
        <v/>
      </c>
      <c r="I249" s="31" t="str">
        <f>IFERROR(IF(Table57[[#This Row],[In]]&gt;$C$2,Table57[[#This Row],[In]]-$C$2,""),"")</f>
        <v/>
      </c>
      <c r="J249" s="31" t="str">
        <f>IF(Table57[[#This Row],[Work_Hours]]=0,"",(IF(Table57[[#This Row],[Out]]&lt;$C$3,$C$3-Table57[[#This Row],[Out]],"")))</f>
        <v/>
      </c>
      <c r="K249" s="32" t="str">
        <f>IFERROR(Table57[[#This Row],[In]]+$C$1,"")</f>
        <v/>
      </c>
      <c r="L249" s="29"/>
      <c r="M249" s="31" t="str">
        <f>IF($C$2&gt;Table57[[#This Row],[In]],$C$2-Table57[[#This Row],[In]],"")</f>
        <v/>
      </c>
      <c r="N249" s="29" t="str">
        <f>IFERROR(IF(Table57[[#This Row],[Out]]&gt;$C$3,(Table57[[#This Row],[Out]])-($C$3),""),"")</f>
        <v/>
      </c>
    </row>
    <row r="250" spans="1:14" hidden="1" x14ac:dyDescent="0.25">
      <c r="A250" s="23" t="str">
        <f>Table57[[#This Row],[No.]]&amp;Table57[[#This Row],[Date]]</f>
        <v>00</v>
      </c>
      <c r="B250" s="22">
        <f>'Unique Dates'!A247</f>
        <v>0</v>
      </c>
      <c r="C250" s="22" t="e" cm="1">
        <f t="array" ref="C250">_xlfn.XLOOKUP(Table57[[#This Row],[No.]],Table2[[#All],[CODE]],Table2[[#All],[NAME]],,0,1)</f>
        <v>#N/A</v>
      </c>
      <c r="D250" s="6">
        <f>'Unique Dates'!B247</f>
        <v>0</v>
      </c>
      <c r="E250" t="str">
        <f>TEXT(Table57[[#This Row],[Date]],"dddd")</f>
        <v>Saturday</v>
      </c>
      <c r="F250" s="25" t="str" cm="1">
        <f t="array" ref="F250">IFERROR(_xlfn.XLOOKUP(Table57[[#This Row],[Code]],Table1[[#All],[Code]],Table1[[#All],[Time]],,0,1),"")</f>
        <v/>
      </c>
      <c r="G250" s="25" t="str" cm="1">
        <f t="array" ref="G250">IFERROR(_xlfn.XLOOKUP(Table57[[#This Row],[Code]],Table1[[#All],[Code]],Table1[[#All],[Time]],,0,-1),"")</f>
        <v/>
      </c>
      <c r="H250" s="23" t="str">
        <f>IFERROR(IF(Table57[[#This Row],[Out]]&gt;=Table57[[#This Row],[In]],Table57[[#This Row],[Out]]-Table57[[#This Row],[In]],(0.5+Table57[[#This Row],[Out]])-Table57[[#This Row],[In]]),"")</f>
        <v/>
      </c>
      <c r="I250" s="31" t="str">
        <f>IFERROR(IF(Table57[[#This Row],[In]]&gt;$C$2,Table57[[#This Row],[In]]-$C$2,""),"")</f>
        <v/>
      </c>
      <c r="J250" s="31" t="str">
        <f>IF(Table57[[#This Row],[Work_Hours]]=0,"",(IF(Table57[[#This Row],[Out]]&lt;$C$3,$C$3-Table57[[#This Row],[Out]],"")))</f>
        <v/>
      </c>
      <c r="K250" s="32" t="str">
        <f>IFERROR(Table57[[#This Row],[In]]+$C$1,"")</f>
        <v/>
      </c>
      <c r="L250" s="29"/>
      <c r="M250" s="31" t="str">
        <f>IF($C$2&gt;Table57[[#This Row],[In]],$C$2-Table57[[#This Row],[In]],"")</f>
        <v/>
      </c>
      <c r="N250" s="29" t="str">
        <f>IFERROR(IF(Table57[[#This Row],[Out]]&gt;$C$3,(Table57[[#This Row],[Out]])-($C$3),""),"")</f>
        <v/>
      </c>
    </row>
    <row r="251" spans="1:14" hidden="1" x14ac:dyDescent="0.25">
      <c r="A251" s="23" t="str">
        <f>Table57[[#This Row],[No.]]&amp;Table57[[#This Row],[Date]]</f>
        <v>00</v>
      </c>
      <c r="B251" s="22">
        <f>'Unique Dates'!A248</f>
        <v>0</v>
      </c>
      <c r="C251" s="22" t="e" cm="1">
        <f t="array" ref="C251">_xlfn.XLOOKUP(Table57[[#This Row],[No.]],Table2[[#All],[CODE]],Table2[[#All],[NAME]],,0,1)</f>
        <v>#N/A</v>
      </c>
      <c r="D251" s="6">
        <f>'Unique Dates'!B248</f>
        <v>0</v>
      </c>
      <c r="E251" t="str">
        <f>TEXT(Table57[[#This Row],[Date]],"dddd")</f>
        <v>Saturday</v>
      </c>
      <c r="F251" s="25" t="str" cm="1">
        <f t="array" ref="F251">IFERROR(_xlfn.XLOOKUP(Table57[[#This Row],[Code]],Table1[[#All],[Code]],Table1[[#All],[Time]],,0,1),"")</f>
        <v/>
      </c>
      <c r="G251" s="25" t="str" cm="1">
        <f t="array" ref="G251">IFERROR(_xlfn.XLOOKUP(Table57[[#This Row],[Code]],Table1[[#All],[Code]],Table1[[#All],[Time]],,0,-1),"")</f>
        <v/>
      </c>
      <c r="H251" s="23" t="str">
        <f>IFERROR(IF(Table57[[#This Row],[Out]]&gt;=Table57[[#This Row],[In]],Table57[[#This Row],[Out]]-Table57[[#This Row],[In]],(0.5+Table57[[#This Row],[Out]])-Table57[[#This Row],[In]]),"")</f>
        <v/>
      </c>
      <c r="I251" s="31" t="str">
        <f>IFERROR(IF(Table57[[#This Row],[In]]&gt;$C$2,Table57[[#This Row],[In]]-$C$2,""),"")</f>
        <v/>
      </c>
      <c r="J251" s="31" t="str">
        <f>IF(Table57[[#This Row],[Work_Hours]]=0,"",(IF(Table57[[#This Row],[Out]]&lt;$C$3,$C$3-Table57[[#This Row],[Out]],"")))</f>
        <v/>
      </c>
      <c r="K251" s="32" t="str">
        <f>IFERROR(Table57[[#This Row],[In]]+$C$1,"")</f>
        <v/>
      </c>
      <c r="L251" s="29"/>
      <c r="M251" s="31" t="str">
        <f>IF($C$2&gt;Table57[[#This Row],[In]],$C$2-Table57[[#This Row],[In]],"")</f>
        <v/>
      </c>
      <c r="N251" s="29" t="str">
        <f>IFERROR(IF(Table57[[#This Row],[Out]]&gt;$C$3,(Table57[[#This Row],[Out]])-($C$3),""),"")</f>
        <v/>
      </c>
    </row>
    <row r="252" spans="1:14" hidden="1" x14ac:dyDescent="0.25">
      <c r="A252" s="23" t="str">
        <f>Table57[[#This Row],[No.]]&amp;Table57[[#This Row],[Date]]</f>
        <v>00</v>
      </c>
      <c r="B252" s="22">
        <f>'Unique Dates'!A249</f>
        <v>0</v>
      </c>
      <c r="C252" s="22" t="e" cm="1">
        <f t="array" ref="C252">_xlfn.XLOOKUP(Table57[[#This Row],[No.]],Table2[[#All],[CODE]],Table2[[#All],[NAME]],,0,1)</f>
        <v>#N/A</v>
      </c>
      <c r="D252" s="6">
        <f>'Unique Dates'!B249</f>
        <v>0</v>
      </c>
      <c r="E252" t="str">
        <f>TEXT(Table57[[#This Row],[Date]],"dddd")</f>
        <v>Saturday</v>
      </c>
      <c r="F252" s="25" t="str" cm="1">
        <f t="array" ref="F252">IFERROR(_xlfn.XLOOKUP(Table57[[#This Row],[Code]],Table1[[#All],[Code]],Table1[[#All],[Time]],,0,1),"")</f>
        <v/>
      </c>
      <c r="G252" s="25" t="str" cm="1">
        <f t="array" ref="G252">IFERROR(_xlfn.XLOOKUP(Table57[[#This Row],[Code]],Table1[[#All],[Code]],Table1[[#All],[Time]],,0,-1),"")</f>
        <v/>
      </c>
      <c r="H252" s="23" t="str">
        <f>IFERROR(IF(Table57[[#This Row],[Out]]&gt;=Table57[[#This Row],[In]],Table57[[#This Row],[Out]]-Table57[[#This Row],[In]],(0.5+Table57[[#This Row],[Out]])-Table57[[#This Row],[In]]),"")</f>
        <v/>
      </c>
      <c r="I252" s="31" t="str">
        <f>IFERROR(IF(Table57[[#This Row],[In]]&gt;$C$2,Table57[[#This Row],[In]]-$C$2,""),"")</f>
        <v/>
      </c>
      <c r="J252" s="31" t="str">
        <f>IF(Table57[[#This Row],[Work_Hours]]=0,"",(IF(Table57[[#This Row],[Out]]&lt;$C$3,$C$3-Table57[[#This Row],[Out]],"")))</f>
        <v/>
      </c>
      <c r="K252" s="32" t="str">
        <f>IFERROR(Table57[[#This Row],[In]]+$C$1,"")</f>
        <v/>
      </c>
      <c r="L252" s="29"/>
      <c r="M252" s="31" t="str">
        <f>IF($C$2&gt;Table57[[#This Row],[In]],$C$2-Table57[[#This Row],[In]],"")</f>
        <v/>
      </c>
      <c r="N252" s="29" t="str">
        <f>IFERROR(IF(Table57[[#This Row],[Out]]&gt;$C$3,(Table57[[#This Row],[Out]])-($C$3),""),"")</f>
        <v/>
      </c>
    </row>
    <row r="253" spans="1:14" hidden="1" x14ac:dyDescent="0.25">
      <c r="A253" s="23" t="str">
        <f>Table57[[#This Row],[No.]]&amp;Table57[[#This Row],[Date]]</f>
        <v>00</v>
      </c>
      <c r="B253" s="22">
        <f>'Unique Dates'!A250</f>
        <v>0</v>
      </c>
      <c r="C253" s="22" t="e" cm="1">
        <f t="array" ref="C253">_xlfn.XLOOKUP(Table57[[#This Row],[No.]],Table2[[#All],[CODE]],Table2[[#All],[NAME]],,0,1)</f>
        <v>#N/A</v>
      </c>
      <c r="D253" s="6">
        <f>'Unique Dates'!B250</f>
        <v>0</v>
      </c>
      <c r="E253" t="str">
        <f>TEXT(Table57[[#This Row],[Date]],"dddd")</f>
        <v>Saturday</v>
      </c>
      <c r="F253" s="25" t="str" cm="1">
        <f t="array" ref="F253">IFERROR(_xlfn.XLOOKUP(Table57[[#This Row],[Code]],Table1[[#All],[Code]],Table1[[#All],[Time]],,0,1),"")</f>
        <v/>
      </c>
      <c r="G253" s="25" t="str" cm="1">
        <f t="array" ref="G253">IFERROR(_xlfn.XLOOKUP(Table57[[#This Row],[Code]],Table1[[#All],[Code]],Table1[[#All],[Time]],,0,-1),"")</f>
        <v/>
      </c>
      <c r="H253" s="23" t="str">
        <f>IFERROR(IF(Table57[[#This Row],[Out]]&gt;=Table57[[#This Row],[In]],Table57[[#This Row],[Out]]-Table57[[#This Row],[In]],(0.5+Table57[[#This Row],[Out]])-Table57[[#This Row],[In]]),"")</f>
        <v/>
      </c>
      <c r="I253" s="31" t="str">
        <f>IFERROR(IF(Table57[[#This Row],[In]]&gt;$C$2,Table57[[#This Row],[In]]-$C$2,""),"")</f>
        <v/>
      </c>
      <c r="J253" s="31" t="str">
        <f>IF(Table57[[#This Row],[Work_Hours]]=0,"",(IF(Table57[[#This Row],[Out]]&lt;$C$3,$C$3-Table57[[#This Row],[Out]],"")))</f>
        <v/>
      </c>
      <c r="K253" s="32" t="str">
        <f>IFERROR(Table57[[#This Row],[In]]+$C$1,"")</f>
        <v/>
      </c>
      <c r="L253" s="29"/>
      <c r="M253" s="31" t="str">
        <f>IF($C$2&gt;Table57[[#This Row],[In]],$C$2-Table57[[#This Row],[In]],"")</f>
        <v/>
      </c>
      <c r="N253" s="29" t="str">
        <f>IFERROR(IF(Table57[[#This Row],[Out]]&gt;$C$3,(Table57[[#This Row],[Out]])-($C$3),""),"")</f>
        <v/>
      </c>
    </row>
    <row r="254" spans="1:14" hidden="1" x14ac:dyDescent="0.25">
      <c r="A254" s="23" t="str">
        <f>Table57[[#This Row],[No.]]&amp;Table57[[#This Row],[Date]]</f>
        <v>00</v>
      </c>
      <c r="B254" s="22">
        <f>'Unique Dates'!A251</f>
        <v>0</v>
      </c>
      <c r="C254" s="22" t="e" cm="1">
        <f t="array" ref="C254">_xlfn.XLOOKUP(Table57[[#This Row],[No.]],Table2[[#All],[CODE]],Table2[[#All],[NAME]],,0,1)</f>
        <v>#N/A</v>
      </c>
      <c r="D254" s="6">
        <f>'Unique Dates'!B251</f>
        <v>0</v>
      </c>
      <c r="E254" t="str">
        <f>TEXT(Table57[[#This Row],[Date]],"dddd")</f>
        <v>Saturday</v>
      </c>
      <c r="F254" s="25" t="str" cm="1">
        <f t="array" ref="F254">IFERROR(_xlfn.XLOOKUP(Table57[[#This Row],[Code]],Table1[[#All],[Code]],Table1[[#All],[Time]],,0,1),"")</f>
        <v/>
      </c>
      <c r="G254" s="25" t="str" cm="1">
        <f t="array" ref="G254">IFERROR(_xlfn.XLOOKUP(Table57[[#This Row],[Code]],Table1[[#All],[Code]],Table1[[#All],[Time]],,0,-1),"")</f>
        <v/>
      </c>
      <c r="H254" s="23" t="str">
        <f>IFERROR(IF(Table57[[#This Row],[Out]]&gt;=Table57[[#This Row],[In]],Table57[[#This Row],[Out]]-Table57[[#This Row],[In]],(0.5+Table57[[#This Row],[Out]])-Table57[[#This Row],[In]]),"")</f>
        <v/>
      </c>
      <c r="I254" s="31" t="str">
        <f>IFERROR(IF(Table57[[#This Row],[In]]&gt;$C$2,Table57[[#This Row],[In]]-$C$2,""),"")</f>
        <v/>
      </c>
      <c r="J254" s="31" t="str">
        <f>IF(Table57[[#This Row],[Work_Hours]]=0,"",(IF(Table57[[#This Row],[Out]]&lt;$C$3,$C$3-Table57[[#This Row],[Out]],"")))</f>
        <v/>
      </c>
      <c r="K254" s="32" t="str">
        <f>IFERROR(Table57[[#This Row],[In]]+$C$1,"")</f>
        <v/>
      </c>
      <c r="L254" s="29"/>
      <c r="M254" s="31" t="str">
        <f>IF($C$2&gt;Table57[[#This Row],[In]],$C$2-Table57[[#This Row],[In]],"")</f>
        <v/>
      </c>
      <c r="N254" s="29" t="str">
        <f>IFERROR(IF(Table57[[#This Row],[Out]]&gt;$C$3,(Table57[[#This Row],[Out]])-($C$3),""),"")</f>
        <v/>
      </c>
    </row>
    <row r="255" spans="1:14" hidden="1" x14ac:dyDescent="0.25">
      <c r="A255" s="23" t="str">
        <f>Table57[[#This Row],[No.]]&amp;Table57[[#This Row],[Date]]</f>
        <v>00</v>
      </c>
      <c r="B255" s="22">
        <f>'Unique Dates'!A252</f>
        <v>0</v>
      </c>
      <c r="C255" s="22" t="e" cm="1">
        <f t="array" ref="C255">_xlfn.XLOOKUP(Table57[[#This Row],[No.]],Table2[[#All],[CODE]],Table2[[#All],[NAME]],,0,1)</f>
        <v>#N/A</v>
      </c>
      <c r="D255" s="6">
        <f>'Unique Dates'!B252</f>
        <v>0</v>
      </c>
      <c r="E255" t="str">
        <f>TEXT(Table57[[#This Row],[Date]],"dddd")</f>
        <v>Saturday</v>
      </c>
      <c r="F255" s="25" t="str" cm="1">
        <f t="array" ref="F255">IFERROR(_xlfn.XLOOKUP(Table57[[#This Row],[Code]],Table1[[#All],[Code]],Table1[[#All],[Time]],,0,1),"")</f>
        <v/>
      </c>
      <c r="G255" s="25" t="str" cm="1">
        <f t="array" ref="G255">IFERROR(_xlfn.XLOOKUP(Table57[[#This Row],[Code]],Table1[[#All],[Code]],Table1[[#All],[Time]],,0,-1),"")</f>
        <v/>
      </c>
      <c r="H255" s="23" t="str">
        <f>IFERROR(IF(Table57[[#This Row],[Out]]&gt;=Table57[[#This Row],[In]],Table57[[#This Row],[Out]]-Table57[[#This Row],[In]],(0.5+Table57[[#This Row],[Out]])-Table57[[#This Row],[In]]),"")</f>
        <v/>
      </c>
      <c r="I255" s="31" t="str">
        <f>IFERROR(IF(Table57[[#This Row],[In]]&gt;$C$2,Table57[[#This Row],[In]]-$C$2,""),"")</f>
        <v/>
      </c>
      <c r="J255" s="31" t="str">
        <f>IF(Table57[[#This Row],[Work_Hours]]=0,"",(IF(Table57[[#This Row],[Out]]&lt;$C$3,$C$3-Table57[[#This Row],[Out]],"")))</f>
        <v/>
      </c>
      <c r="K255" s="32" t="str">
        <f>IFERROR(Table57[[#This Row],[In]]+$C$1,"")</f>
        <v/>
      </c>
      <c r="L255" s="29"/>
      <c r="M255" s="31" t="str">
        <f>IF($C$2&gt;Table57[[#This Row],[In]],$C$2-Table57[[#This Row],[In]],"")</f>
        <v/>
      </c>
      <c r="N255" s="29" t="str">
        <f>IFERROR(IF(Table57[[#This Row],[Out]]&gt;$C$3,(Table57[[#This Row],[Out]])-($C$3),""),"")</f>
        <v/>
      </c>
    </row>
    <row r="256" spans="1:14" hidden="1" x14ac:dyDescent="0.25">
      <c r="A256" s="23" t="str">
        <f>Table57[[#This Row],[No.]]&amp;Table57[[#This Row],[Date]]</f>
        <v>00</v>
      </c>
      <c r="B256" s="22">
        <f>'Unique Dates'!A253</f>
        <v>0</v>
      </c>
      <c r="C256" s="22" t="e" cm="1">
        <f t="array" ref="C256">_xlfn.XLOOKUP(Table57[[#This Row],[No.]],Table2[[#All],[CODE]],Table2[[#All],[NAME]],,0,1)</f>
        <v>#N/A</v>
      </c>
      <c r="D256" s="6">
        <f>'Unique Dates'!B253</f>
        <v>0</v>
      </c>
      <c r="E256" t="str">
        <f>TEXT(Table57[[#This Row],[Date]],"dddd")</f>
        <v>Saturday</v>
      </c>
      <c r="F256" s="25" t="str" cm="1">
        <f t="array" ref="F256">IFERROR(_xlfn.XLOOKUP(Table57[[#This Row],[Code]],Table1[[#All],[Code]],Table1[[#All],[Time]],,0,1),"")</f>
        <v/>
      </c>
      <c r="G256" s="25" t="str" cm="1">
        <f t="array" ref="G256">IFERROR(_xlfn.XLOOKUP(Table57[[#This Row],[Code]],Table1[[#All],[Code]],Table1[[#All],[Time]],,0,-1),"")</f>
        <v/>
      </c>
      <c r="H256" s="23" t="str">
        <f>IFERROR(IF(Table57[[#This Row],[Out]]&gt;=Table57[[#This Row],[In]],Table57[[#This Row],[Out]]-Table57[[#This Row],[In]],(0.5+Table57[[#This Row],[Out]])-Table57[[#This Row],[In]]),"")</f>
        <v/>
      </c>
      <c r="I256" s="31" t="str">
        <f>IFERROR(IF(Table57[[#This Row],[In]]&gt;$C$2,Table57[[#This Row],[In]]-$C$2,""),"")</f>
        <v/>
      </c>
      <c r="J256" s="31" t="str">
        <f>IF(Table57[[#This Row],[Work_Hours]]=0,"",(IF(Table57[[#This Row],[Out]]&lt;$C$3,$C$3-Table57[[#This Row],[Out]],"")))</f>
        <v/>
      </c>
      <c r="K256" s="32" t="str">
        <f>IFERROR(Table57[[#This Row],[In]]+$C$1,"")</f>
        <v/>
      </c>
      <c r="L256" s="29"/>
      <c r="M256" s="31" t="str">
        <f>IF($C$2&gt;Table57[[#This Row],[In]],$C$2-Table57[[#This Row],[In]],"")</f>
        <v/>
      </c>
      <c r="N256" s="29" t="str">
        <f>IFERROR(IF(Table57[[#This Row],[Out]]&gt;$C$3,(Table57[[#This Row],[Out]])-($C$3),""),"")</f>
        <v/>
      </c>
    </row>
    <row r="257" spans="1:14" hidden="1" x14ac:dyDescent="0.25">
      <c r="A257" s="23" t="str">
        <f>Table57[[#This Row],[No.]]&amp;Table57[[#This Row],[Date]]</f>
        <v>00</v>
      </c>
      <c r="B257" s="22">
        <f>'Unique Dates'!A254</f>
        <v>0</v>
      </c>
      <c r="C257" s="22" t="e" cm="1">
        <f t="array" ref="C257">_xlfn.XLOOKUP(Table57[[#This Row],[No.]],Table2[[#All],[CODE]],Table2[[#All],[NAME]],,0,1)</f>
        <v>#N/A</v>
      </c>
      <c r="D257" s="6">
        <f>'Unique Dates'!B254</f>
        <v>0</v>
      </c>
      <c r="E257" t="str">
        <f>TEXT(Table57[[#This Row],[Date]],"dddd")</f>
        <v>Saturday</v>
      </c>
      <c r="F257" s="25" t="str" cm="1">
        <f t="array" ref="F257">IFERROR(_xlfn.XLOOKUP(Table57[[#This Row],[Code]],Table1[[#All],[Code]],Table1[[#All],[Time]],,0,1),"")</f>
        <v/>
      </c>
      <c r="G257" s="25" t="str" cm="1">
        <f t="array" ref="G257">IFERROR(_xlfn.XLOOKUP(Table57[[#This Row],[Code]],Table1[[#All],[Code]],Table1[[#All],[Time]],,0,-1),"")</f>
        <v/>
      </c>
      <c r="H257" s="23" t="str">
        <f>IFERROR(IF(Table57[[#This Row],[Out]]&gt;=Table57[[#This Row],[In]],Table57[[#This Row],[Out]]-Table57[[#This Row],[In]],(0.5+Table57[[#This Row],[Out]])-Table57[[#This Row],[In]]),"")</f>
        <v/>
      </c>
      <c r="I257" s="31" t="str">
        <f>IFERROR(IF(Table57[[#This Row],[In]]&gt;$C$2,Table57[[#This Row],[In]]-$C$2,""),"")</f>
        <v/>
      </c>
      <c r="J257" s="31" t="str">
        <f>IF(Table57[[#This Row],[Work_Hours]]=0,"",(IF(Table57[[#This Row],[Out]]&lt;$C$3,$C$3-Table57[[#This Row],[Out]],"")))</f>
        <v/>
      </c>
      <c r="K257" s="32" t="str">
        <f>IFERROR(Table57[[#This Row],[In]]+$C$1,"")</f>
        <v/>
      </c>
      <c r="L257" s="29"/>
      <c r="M257" s="31" t="str">
        <f>IF($C$2&gt;Table57[[#This Row],[In]],$C$2-Table57[[#This Row],[In]],"")</f>
        <v/>
      </c>
      <c r="N257" s="29" t="str">
        <f>IFERROR(IF(Table57[[#This Row],[Out]]&gt;$C$3,(Table57[[#This Row],[Out]])-($C$3),""),"")</f>
        <v/>
      </c>
    </row>
    <row r="258" spans="1:14" hidden="1" x14ac:dyDescent="0.25">
      <c r="A258" s="23" t="str">
        <f>Table57[[#This Row],[No.]]&amp;Table57[[#This Row],[Date]]</f>
        <v>00</v>
      </c>
      <c r="B258" s="22">
        <f>'Unique Dates'!A255</f>
        <v>0</v>
      </c>
      <c r="C258" s="22" t="e" cm="1">
        <f t="array" ref="C258">_xlfn.XLOOKUP(Table57[[#This Row],[No.]],Table2[[#All],[CODE]],Table2[[#All],[NAME]],,0,1)</f>
        <v>#N/A</v>
      </c>
      <c r="D258" s="6">
        <f>'Unique Dates'!B255</f>
        <v>0</v>
      </c>
      <c r="E258" t="str">
        <f>TEXT(Table57[[#This Row],[Date]],"dddd")</f>
        <v>Saturday</v>
      </c>
      <c r="F258" s="25" t="str" cm="1">
        <f t="array" ref="F258">IFERROR(_xlfn.XLOOKUP(Table57[[#This Row],[Code]],Table1[[#All],[Code]],Table1[[#All],[Time]],,0,1),"")</f>
        <v/>
      </c>
      <c r="G258" s="25" t="str" cm="1">
        <f t="array" ref="G258">IFERROR(_xlfn.XLOOKUP(Table57[[#This Row],[Code]],Table1[[#All],[Code]],Table1[[#All],[Time]],,0,-1),"")</f>
        <v/>
      </c>
      <c r="H258" s="23" t="str">
        <f>IFERROR(IF(Table57[[#This Row],[Out]]&gt;=Table57[[#This Row],[In]],Table57[[#This Row],[Out]]-Table57[[#This Row],[In]],(0.5+Table57[[#This Row],[Out]])-Table57[[#This Row],[In]]),"")</f>
        <v/>
      </c>
      <c r="I258" s="31" t="str">
        <f>IFERROR(IF(Table57[[#This Row],[In]]&gt;$C$2,Table57[[#This Row],[In]]-$C$2,""),"")</f>
        <v/>
      </c>
      <c r="J258" s="31" t="str">
        <f>IF(Table57[[#This Row],[Work_Hours]]=0,"",(IF(Table57[[#This Row],[Out]]&lt;$C$3,$C$3-Table57[[#This Row],[Out]],"")))</f>
        <v/>
      </c>
      <c r="K258" s="32" t="str">
        <f>IFERROR(Table57[[#This Row],[In]]+$C$1,"")</f>
        <v/>
      </c>
      <c r="L258" s="29"/>
      <c r="M258" s="31" t="str">
        <f>IF($C$2&gt;Table57[[#This Row],[In]],$C$2-Table57[[#This Row],[In]],"")</f>
        <v/>
      </c>
      <c r="N258" s="29" t="str">
        <f>IFERROR(IF(Table57[[#This Row],[Out]]&gt;$C$3,(Table57[[#This Row],[Out]])-($C$3),""),"")</f>
        <v/>
      </c>
    </row>
    <row r="259" spans="1:14" hidden="1" x14ac:dyDescent="0.25">
      <c r="A259" s="23" t="str">
        <f>Table57[[#This Row],[No.]]&amp;Table57[[#This Row],[Date]]</f>
        <v>00</v>
      </c>
      <c r="B259" s="22">
        <f>'Unique Dates'!A256</f>
        <v>0</v>
      </c>
      <c r="C259" s="22" t="e" cm="1">
        <f t="array" ref="C259">_xlfn.XLOOKUP(Table57[[#This Row],[No.]],Table2[[#All],[CODE]],Table2[[#All],[NAME]],,0,1)</f>
        <v>#N/A</v>
      </c>
      <c r="D259" s="6">
        <f>'Unique Dates'!B256</f>
        <v>0</v>
      </c>
      <c r="E259" t="str">
        <f>TEXT(Table57[[#This Row],[Date]],"dddd")</f>
        <v>Saturday</v>
      </c>
      <c r="F259" s="25" t="str" cm="1">
        <f t="array" ref="F259">IFERROR(_xlfn.XLOOKUP(Table57[[#This Row],[Code]],Table1[[#All],[Code]],Table1[[#All],[Time]],,0,1),"")</f>
        <v/>
      </c>
      <c r="G259" s="25" t="str" cm="1">
        <f t="array" ref="G259">IFERROR(_xlfn.XLOOKUP(Table57[[#This Row],[Code]],Table1[[#All],[Code]],Table1[[#All],[Time]],,0,-1),"")</f>
        <v/>
      </c>
      <c r="H259" s="23" t="str">
        <f>IFERROR(IF(Table57[[#This Row],[Out]]&gt;=Table57[[#This Row],[In]],Table57[[#This Row],[Out]]-Table57[[#This Row],[In]],(0.5+Table57[[#This Row],[Out]])-Table57[[#This Row],[In]]),"")</f>
        <v/>
      </c>
      <c r="I259" s="31" t="str">
        <f>IFERROR(IF(Table57[[#This Row],[In]]&gt;$C$2,Table57[[#This Row],[In]]-$C$2,""),"")</f>
        <v/>
      </c>
      <c r="J259" s="31" t="str">
        <f>IF(Table57[[#This Row],[Work_Hours]]=0,"",(IF(Table57[[#This Row],[Out]]&lt;$C$3,$C$3-Table57[[#This Row],[Out]],"")))</f>
        <v/>
      </c>
      <c r="K259" s="32" t="str">
        <f>IFERROR(Table57[[#This Row],[In]]+$C$1,"")</f>
        <v/>
      </c>
      <c r="L259" s="29"/>
      <c r="M259" s="31" t="str">
        <f>IF($C$2&gt;Table57[[#This Row],[In]],$C$2-Table57[[#This Row],[In]],"")</f>
        <v/>
      </c>
      <c r="N259" s="29" t="str">
        <f>IFERROR(IF(Table57[[#This Row],[Out]]&gt;$C$3,(Table57[[#This Row],[Out]])-($C$3),""),"")</f>
        <v/>
      </c>
    </row>
    <row r="260" spans="1:14" hidden="1" x14ac:dyDescent="0.25">
      <c r="A260" s="23" t="str">
        <f>Table57[[#This Row],[No.]]&amp;Table57[[#This Row],[Date]]</f>
        <v>00</v>
      </c>
      <c r="B260" s="22">
        <f>'Unique Dates'!A257</f>
        <v>0</v>
      </c>
      <c r="C260" s="22" t="e" cm="1">
        <f t="array" ref="C260">_xlfn.XLOOKUP(Table57[[#This Row],[No.]],Table2[[#All],[CODE]],Table2[[#All],[NAME]],,0,1)</f>
        <v>#N/A</v>
      </c>
      <c r="D260" s="6">
        <f>'Unique Dates'!B257</f>
        <v>0</v>
      </c>
      <c r="E260" t="str">
        <f>TEXT(Table57[[#This Row],[Date]],"dddd")</f>
        <v>Saturday</v>
      </c>
      <c r="F260" s="25" t="str" cm="1">
        <f t="array" ref="F260">IFERROR(_xlfn.XLOOKUP(Table57[[#This Row],[Code]],Table1[[#All],[Code]],Table1[[#All],[Time]],,0,1),"")</f>
        <v/>
      </c>
      <c r="G260" s="25" t="str" cm="1">
        <f t="array" ref="G260">IFERROR(_xlfn.XLOOKUP(Table57[[#This Row],[Code]],Table1[[#All],[Code]],Table1[[#All],[Time]],,0,-1),"")</f>
        <v/>
      </c>
      <c r="H260" s="23" t="str">
        <f>IFERROR(IF(Table57[[#This Row],[Out]]&gt;=Table57[[#This Row],[In]],Table57[[#This Row],[Out]]-Table57[[#This Row],[In]],(0.5+Table57[[#This Row],[Out]])-Table57[[#This Row],[In]]),"")</f>
        <v/>
      </c>
      <c r="I260" s="31" t="str">
        <f>IFERROR(IF(Table57[[#This Row],[In]]&gt;$C$2,Table57[[#This Row],[In]]-$C$2,""),"")</f>
        <v/>
      </c>
      <c r="J260" s="31" t="str">
        <f>IF(Table57[[#This Row],[Work_Hours]]=0,"",(IF(Table57[[#This Row],[Out]]&lt;$C$3,$C$3-Table57[[#This Row],[Out]],"")))</f>
        <v/>
      </c>
      <c r="K260" s="32" t="str">
        <f>IFERROR(Table57[[#This Row],[In]]+$C$1,"")</f>
        <v/>
      </c>
      <c r="L260" s="29"/>
      <c r="M260" s="31" t="str">
        <f>IF($C$2&gt;Table57[[#This Row],[In]],$C$2-Table57[[#This Row],[In]],"")</f>
        <v/>
      </c>
      <c r="N260" s="29" t="str">
        <f>IFERROR(IF(Table57[[#This Row],[Out]]&gt;$C$3,(Table57[[#This Row],[Out]])-($C$3),""),"")</f>
        <v/>
      </c>
    </row>
    <row r="261" spans="1:14" hidden="1" x14ac:dyDescent="0.25">
      <c r="A261" s="23" t="str">
        <f>Table57[[#This Row],[No.]]&amp;Table57[[#This Row],[Date]]</f>
        <v>00</v>
      </c>
      <c r="B261" s="22">
        <f>'Unique Dates'!A258</f>
        <v>0</v>
      </c>
      <c r="C261" s="22" t="e" cm="1">
        <f t="array" ref="C261">_xlfn.XLOOKUP(Table57[[#This Row],[No.]],Table2[[#All],[CODE]],Table2[[#All],[NAME]],,0,1)</f>
        <v>#N/A</v>
      </c>
      <c r="D261" s="6">
        <f>'Unique Dates'!B258</f>
        <v>0</v>
      </c>
      <c r="E261" t="str">
        <f>TEXT(Table57[[#This Row],[Date]],"dddd")</f>
        <v>Saturday</v>
      </c>
      <c r="F261" s="25" t="str" cm="1">
        <f t="array" ref="F261">IFERROR(_xlfn.XLOOKUP(Table57[[#This Row],[Code]],Table1[[#All],[Code]],Table1[[#All],[Time]],,0,1),"")</f>
        <v/>
      </c>
      <c r="G261" s="25" t="str" cm="1">
        <f t="array" ref="G261">IFERROR(_xlfn.XLOOKUP(Table57[[#This Row],[Code]],Table1[[#All],[Code]],Table1[[#All],[Time]],,0,-1),"")</f>
        <v/>
      </c>
      <c r="H261" s="23" t="str">
        <f>IFERROR(IF(Table57[[#This Row],[Out]]&gt;=Table57[[#This Row],[In]],Table57[[#This Row],[Out]]-Table57[[#This Row],[In]],(0.5+Table57[[#This Row],[Out]])-Table57[[#This Row],[In]]),"")</f>
        <v/>
      </c>
      <c r="I261" s="31" t="str">
        <f>IFERROR(IF(Table57[[#This Row],[In]]&gt;$C$2,Table57[[#This Row],[In]]-$C$2,""),"")</f>
        <v/>
      </c>
      <c r="J261" s="31" t="str">
        <f>IF(Table57[[#This Row],[Work_Hours]]=0,"",(IF(Table57[[#This Row],[Out]]&lt;$C$3,$C$3-Table57[[#This Row],[Out]],"")))</f>
        <v/>
      </c>
      <c r="K261" s="32" t="str">
        <f>IFERROR(Table57[[#This Row],[In]]+$C$1,"")</f>
        <v/>
      </c>
      <c r="L261" s="29"/>
      <c r="M261" s="31" t="str">
        <f>IF($C$2&gt;Table57[[#This Row],[In]],$C$2-Table57[[#This Row],[In]],"")</f>
        <v/>
      </c>
      <c r="N261" s="29" t="str">
        <f>IFERROR(IF(Table57[[#This Row],[Out]]&gt;$C$3,(Table57[[#This Row],[Out]])-($C$3),""),"")</f>
        <v/>
      </c>
    </row>
    <row r="262" spans="1:14" hidden="1" x14ac:dyDescent="0.25">
      <c r="A262" s="23" t="str">
        <f>Table57[[#This Row],[No.]]&amp;Table57[[#This Row],[Date]]</f>
        <v>00</v>
      </c>
      <c r="B262" s="22">
        <f>'Unique Dates'!A259</f>
        <v>0</v>
      </c>
      <c r="C262" s="22" t="e" cm="1">
        <f t="array" ref="C262">_xlfn.XLOOKUP(Table57[[#This Row],[No.]],Table2[[#All],[CODE]],Table2[[#All],[NAME]],,0,1)</f>
        <v>#N/A</v>
      </c>
      <c r="D262" s="6">
        <f>'Unique Dates'!B259</f>
        <v>0</v>
      </c>
      <c r="E262" t="str">
        <f>TEXT(Table57[[#This Row],[Date]],"dddd")</f>
        <v>Saturday</v>
      </c>
      <c r="F262" s="25" t="str" cm="1">
        <f t="array" ref="F262">IFERROR(_xlfn.XLOOKUP(Table57[[#This Row],[Code]],Table1[[#All],[Code]],Table1[[#All],[Time]],,0,1),"")</f>
        <v/>
      </c>
      <c r="G262" s="25" t="str" cm="1">
        <f t="array" ref="G262">IFERROR(_xlfn.XLOOKUP(Table57[[#This Row],[Code]],Table1[[#All],[Code]],Table1[[#All],[Time]],,0,-1),"")</f>
        <v/>
      </c>
      <c r="H262" s="23" t="str">
        <f>IFERROR(IF(Table57[[#This Row],[Out]]&gt;=Table57[[#This Row],[In]],Table57[[#This Row],[Out]]-Table57[[#This Row],[In]],(0.5+Table57[[#This Row],[Out]])-Table57[[#This Row],[In]]),"")</f>
        <v/>
      </c>
      <c r="I262" s="31" t="str">
        <f>IFERROR(IF(Table57[[#This Row],[In]]&gt;$C$2,Table57[[#This Row],[In]]-$C$2,""),"")</f>
        <v/>
      </c>
      <c r="J262" s="31" t="str">
        <f>IF(Table57[[#This Row],[Work_Hours]]=0,"",(IF(Table57[[#This Row],[Out]]&lt;$C$3,$C$3-Table57[[#This Row],[Out]],"")))</f>
        <v/>
      </c>
      <c r="K262" s="32" t="str">
        <f>IFERROR(Table57[[#This Row],[In]]+$C$1,"")</f>
        <v/>
      </c>
      <c r="L262" s="29"/>
      <c r="M262" s="31" t="str">
        <f>IF($C$2&gt;Table57[[#This Row],[In]],$C$2-Table57[[#This Row],[In]],"")</f>
        <v/>
      </c>
      <c r="N262" s="29" t="str">
        <f>IFERROR(IF(Table57[[#This Row],[Out]]&gt;$C$3,(Table57[[#This Row],[Out]])-($C$3),""),"")</f>
        <v/>
      </c>
    </row>
    <row r="263" spans="1:14" hidden="1" x14ac:dyDescent="0.25">
      <c r="A263" s="23" t="str">
        <f>Table57[[#This Row],[No.]]&amp;Table57[[#This Row],[Date]]</f>
        <v>00</v>
      </c>
      <c r="B263" s="22">
        <f>'Unique Dates'!A260</f>
        <v>0</v>
      </c>
      <c r="C263" s="22" t="e" cm="1">
        <f t="array" ref="C263">_xlfn.XLOOKUP(Table57[[#This Row],[No.]],Table2[[#All],[CODE]],Table2[[#All],[NAME]],,0,1)</f>
        <v>#N/A</v>
      </c>
      <c r="D263" s="6">
        <f>'Unique Dates'!B260</f>
        <v>0</v>
      </c>
      <c r="E263" t="str">
        <f>TEXT(Table57[[#This Row],[Date]],"dddd")</f>
        <v>Saturday</v>
      </c>
      <c r="F263" s="25" t="str" cm="1">
        <f t="array" ref="F263">IFERROR(_xlfn.XLOOKUP(Table57[[#This Row],[Code]],Table1[[#All],[Code]],Table1[[#All],[Time]],,0,1),"")</f>
        <v/>
      </c>
      <c r="G263" s="25" t="str" cm="1">
        <f t="array" ref="G263">IFERROR(_xlfn.XLOOKUP(Table57[[#This Row],[Code]],Table1[[#All],[Code]],Table1[[#All],[Time]],,0,-1),"")</f>
        <v/>
      </c>
      <c r="H263" s="23" t="str">
        <f>IFERROR(IF(Table57[[#This Row],[Out]]&gt;=Table57[[#This Row],[In]],Table57[[#This Row],[Out]]-Table57[[#This Row],[In]],(0.5+Table57[[#This Row],[Out]])-Table57[[#This Row],[In]]),"")</f>
        <v/>
      </c>
      <c r="I263" s="31" t="str">
        <f>IFERROR(IF(Table57[[#This Row],[In]]&gt;$C$2,Table57[[#This Row],[In]]-$C$2,""),"")</f>
        <v/>
      </c>
      <c r="J263" s="31" t="str">
        <f>IF(Table57[[#This Row],[Work_Hours]]=0,"",(IF(Table57[[#This Row],[Out]]&lt;$C$3,$C$3-Table57[[#This Row],[Out]],"")))</f>
        <v/>
      </c>
      <c r="K263" s="32" t="str">
        <f>IFERROR(Table57[[#This Row],[In]]+$C$1,"")</f>
        <v/>
      </c>
      <c r="L263" s="29"/>
      <c r="M263" s="31" t="str">
        <f>IF($C$2&gt;Table57[[#This Row],[In]],$C$2-Table57[[#This Row],[In]],"")</f>
        <v/>
      </c>
      <c r="N263" s="29" t="str">
        <f>IFERROR(IF(Table57[[#This Row],[Out]]&gt;$C$3,(Table57[[#This Row],[Out]])-($C$3),""),"")</f>
        <v/>
      </c>
    </row>
    <row r="264" spans="1:14" hidden="1" x14ac:dyDescent="0.25">
      <c r="A264" s="23" t="str">
        <f>Table57[[#This Row],[No.]]&amp;Table57[[#This Row],[Date]]</f>
        <v>00</v>
      </c>
      <c r="B264" s="22">
        <f>'Unique Dates'!A261</f>
        <v>0</v>
      </c>
      <c r="C264" s="22" t="e" cm="1">
        <f t="array" ref="C264">_xlfn.XLOOKUP(Table57[[#This Row],[No.]],Table2[[#All],[CODE]],Table2[[#All],[NAME]],,0,1)</f>
        <v>#N/A</v>
      </c>
      <c r="D264" s="6">
        <f>'Unique Dates'!B261</f>
        <v>0</v>
      </c>
      <c r="E264" t="str">
        <f>TEXT(Table57[[#This Row],[Date]],"dddd")</f>
        <v>Saturday</v>
      </c>
      <c r="F264" s="25" t="str" cm="1">
        <f t="array" ref="F264">IFERROR(_xlfn.XLOOKUP(Table57[[#This Row],[Code]],Table1[[#All],[Code]],Table1[[#All],[Time]],,0,1),"")</f>
        <v/>
      </c>
      <c r="G264" s="25" t="str" cm="1">
        <f t="array" ref="G264">IFERROR(_xlfn.XLOOKUP(Table57[[#This Row],[Code]],Table1[[#All],[Code]],Table1[[#All],[Time]],,0,-1),"")</f>
        <v/>
      </c>
      <c r="H264" s="23" t="str">
        <f>IFERROR(IF(Table57[[#This Row],[Out]]&gt;=Table57[[#This Row],[In]],Table57[[#This Row],[Out]]-Table57[[#This Row],[In]],(0.5+Table57[[#This Row],[Out]])-Table57[[#This Row],[In]]),"")</f>
        <v/>
      </c>
      <c r="I264" s="31" t="str">
        <f>IFERROR(IF(Table57[[#This Row],[In]]&gt;$C$2,Table57[[#This Row],[In]]-$C$2,""),"")</f>
        <v/>
      </c>
      <c r="J264" s="31" t="str">
        <f>IF(Table57[[#This Row],[Work_Hours]]=0,"",(IF(Table57[[#This Row],[Out]]&lt;$C$3,$C$3-Table57[[#This Row],[Out]],"")))</f>
        <v/>
      </c>
      <c r="K264" s="32" t="str">
        <f>IFERROR(Table57[[#This Row],[In]]+$C$1,"")</f>
        <v/>
      </c>
      <c r="L264" s="29"/>
      <c r="M264" s="31" t="str">
        <f>IF($C$2&gt;Table57[[#This Row],[In]],$C$2-Table57[[#This Row],[In]],"")</f>
        <v/>
      </c>
      <c r="N264" s="29" t="str">
        <f>IFERROR(IF(Table57[[#This Row],[Out]]&gt;$C$3,(Table57[[#This Row],[Out]])-($C$3),""),"")</f>
        <v/>
      </c>
    </row>
    <row r="265" spans="1:14" hidden="1" x14ac:dyDescent="0.25">
      <c r="A265" s="23" t="str">
        <f>Table57[[#This Row],[No.]]&amp;Table57[[#This Row],[Date]]</f>
        <v>00</v>
      </c>
      <c r="B265" s="22">
        <f>'Unique Dates'!A262</f>
        <v>0</v>
      </c>
      <c r="C265" s="22" t="e" cm="1">
        <f t="array" ref="C265">_xlfn.XLOOKUP(Table57[[#This Row],[No.]],Table2[[#All],[CODE]],Table2[[#All],[NAME]],,0,1)</f>
        <v>#N/A</v>
      </c>
      <c r="D265" s="6">
        <f>'Unique Dates'!B262</f>
        <v>0</v>
      </c>
      <c r="E265" t="str">
        <f>TEXT(Table57[[#This Row],[Date]],"dddd")</f>
        <v>Saturday</v>
      </c>
      <c r="F265" s="25" t="str" cm="1">
        <f t="array" ref="F265">IFERROR(_xlfn.XLOOKUP(Table57[[#This Row],[Code]],Table1[[#All],[Code]],Table1[[#All],[Time]],,0,1),"")</f>
        <v/>
      </c>
      <c r="G265" s="25" t="str" cm="1">
        <f t="array" ref="G265">IFERROR(_xlfn.XLOOKUP(Table57[[#This Row],[Code]],Table1[[#All],[Code]],Table1[[#All],[Time]],,0,-1),"")</f>
        <v/>
      </c>
      <c r="H265" s="23" t="str">
        <f>IFERROR(IF(Table57[[#This Row],[Out]]&gt;=Table57[[#This Row],[In]],Table57[[#This Row],[Out]]-Table57[[#This Row],[In]],(0.5+Table57[[#This Row],[Out]])-Table57[[#This Row],[In]]),"")</f>
        <v/>
      </c>
      <c r="I265" s="31" t="str">
        <f>IFERROR(IF(Table57[[#This Row],[In]]&gt;$C$2,Table57[[#This Row],[In]]-$C$2,""),"")</f>
        <v/>
      </c>
      <c r="J265" s="31" t="str">
        <f>IF(Table57[[#This Row],[Work_Hours]]=0,"",(IF(Table57[[#This Row],[Out]]&lt;$C$3,$C$3-Table57[[#This Row],[Out]],"")))</f>
        <v/>
      </c>
      <c r="K265" s="32" t="str">
        <f>IFERROR(Table57[[#This Row],[In]]+$C$1,"")</f>
        <v/>
      </c>
      <c r="L265" s="29"/>
      <c r="M265" s="31" t="str">
        <f>IF($C$2&gt;Table57[[#This Row],[In]],$C$2-Table57[[#This Row],[In]],"")</f>
        <v/>
      </c>
      <c r="N265" s="29" t="str">
        <f>IFERROR(IF(Table57[[#This Row],[Out]]&gt;$C$3,(Table57[[#This Row],[Out]])-($C$3),""),"")</f>
        <v/>
      </c>
    </row>
    <row r="266" spans="1:14" hidden="1" x14ac:dyDescent="0.25">
      <c r="A266" s="23" t="str">
        <f>Table57[[#This Row],[No.]]&amp;Table57[[#This Row],[Date]]</f>
        <v>00</v>
      </c>
      <c r="B266" s="22">
        <f>'Unique Dates'!A263</f>
        <v>0</v>
      </c>
      <c r="C266" s="22" t="e" cm="1">
        <f t="array" ref="C266">_xlfn.XLOOKUP(Table57[[#This Row],[No.]],Table2[[#All],[CODE]],Table2[[#All],[NAME]],,0,1)</f>
        <v>#N/A</v>
      </c>
      <c r="D266" s="6">
        <f>'Unique Dates'!B263</f>
        <v>0</v>
      </c>
      <c r="E266" t="str">
        <f>TEXT(Table57[[#This Row],[Date]],"dddd")</f>
        <v>Saturday</v>
      </c>
      <c r="F266" s="25" t="str" cm="1">
        <f t="array" ref="F266">IFERROR(_xlfn.XLOOKUP(Table57[[#This Row],[Code]],Table1[[#All],[Code]],Table1[[#All],[Time]],,0,1),"")</f>
        <v/>
      </c>
      <c r="G266" s="25" t="str" cm="1">
        <f t="array" ref="G266">IFERROR(_xlfn.XLOOKUP(Table57[[#This Row],[Code]],Table1[[#All],[Code]],Table1[[#All],[Time]],,0,-1),"")</f>
        <v/>
      </c>
      <c r="H266" s="23" t="str">
        <f>IFERROR(IF(Table57[[#This Row],[Out]]&gt;=Table57[[#This Row],[In]],Table57[[#This Row],[Out]]-Table57[[#This Row],[In]],(0.5+Table57[[#This Row],[Out]])-Table57[[#This Row],[In]]),"")</f>
        <v/>
      </c>
      <c r="I266" s="31" t="str">
        <f>IFERROR(IF(Table57[[#This Row],[In]]&gt;$C$2,Table57[[#This Row],[In]]-$C$2,""),"")</f>
        <v/>
      </c>
      <c r="J266" s="31" t="str">
        <f>IF(Table57[[#This Row],[Work_Hours]]=0,"",(IF(Table57[[#This Row],[Out]]&lt;$C$3,$C$3-Table57[[#This Row],[Out]],"")))</f>
        <v/>
      </c>
      <c r="K266" s="32" t="str">
        <f>IFERROR(Table57[[#This Row],[In]]+$C$1,"")</f>
        <v/>
      </c>
      <c r="L266" s="29"/>
      <c r="M266" s="31" t="str">
        <f>IF($C$2&gt;Table57[[#This Row],[In]],$C$2-Table57[[#This Row],[In]],"")</f>
        <v/>
      </c>
      <c r="N266" s="29" t="str">
        <f>IFERROR(IF(Table57[[#This Row],[Out]]&gt;$C$3,(Table57[[#This Row],[Out]])-($C$3),""),"")</f>
        <v/>
      </c>
    </row>
    <row r="267" spans="1:14" hidden="1" x14ac:dyDescent="0.25">
      <c r="A267" s="23" t="str">
        <f>Table57[[#This Row],[No.]]&amp;Table57[[#This Row],[Date]]</f>
        <v>00</v>
      </c>
      <c r="B267" s="22">
        <f>'Unique Dates'!A264</f>
        <v>0</v>
      </c>
      <c r="C267" s="22" t="e" cm="1">
        <f t="array" ref="C267">_xlfn.XLOOKUP(Table57[[#This Row],[No.]],Table2[[#All],[CODE]],Table2[[#All],[NAME]],,0,1)</f>
        <v>#N/A</v>
      </c>
      <c r="D267" s="6">
        <f>'Unique Dates'!B264</f>
        <v>0</v>
      </c>
      <c r="E267" t="str">
        <f>TEXT(Table57[[#This Row],[Date]],"dddd")</f>
        <v>Saturday</v>
      </c>
      <c r="F267" s="25" t="str" cm="1">
        <f t="array" ref="F267">IFERROR(_xlfn.XLOOKUP(Table57[[#This Row],[Code]],Table1[[#All],[Code]],Table1[[#All],[Time]],,0,1),"")</f>
        <v/>
      </c>
      <c r="G267" s="25" t="str" cm="1">
        <f t="array" ref="G267">IFERROR(_xlfn.XLOOKUP(Table57[[#This Row],[Code]],Table1[[#All],[Code]],Table1[[#All],[Time]],,0,-1),"")</f>
        <v/>
      </c>
      <c r="H267" s="23" t="str">
        <f>IFERROR(IF(Table57[[#This Row],[Out]]&gt;=Table57[[#This Row],[In]],Table57[[#This Row],[Out]]-Table57[[#This Row],[In]],(0.5+Table57[[#This Row],[Out]])-Table57[[#This Row],[In]]),"")</f>
        <v/>
      </c>
      <c r="I267" s="31" t="str">
        <f>IFERROR(IF(Table57[[#This Row],[In]]&gt;$C$2,Table57[[#This Row],[In]]-$C$2,""),"")</f>
        <v/>
      </c>
      <c r="J267" s="31" t="str">
        <f>IF(Table57[[#This Row],[Work_Hours]]=0,"",(IF(Table57[[#This Row],[Out]]&lt;$C$3,$C$3-Table57[[#This Row],[Out]],"")))</f>
        <v/>
      </c>
      <c r="K267" s="32" t="str">
        <f>IFERROR(Table57[[#This Row],[In]]+$C$1,"")</f>
        <v/>
      </c>
      <c r="L267" s="29"/>
      <c r="M267" s="31" t="str">
        <f>IF($C$2&gt;Table57[[#This Row],[In]],$C$2-Table57[[#This Row],[In]],"")</f>
        <v/>
      </c>
      <c r="N267" s="29" t="str">
        <f>IFERROR(IF(Table57[[#This Row],[Out]]&gt;$C$3,(Table57[[#This Row],[Out]])-($C$3),""),"")</f>
        <v/>
      </c>
    </row>
    <row r="268" spans="1:14" hidden="1" x14ac:dyDescent="0.25">
      <c r="A268" s="23" t="str">
        <f>Table57[[#This Row],[No.]]&amp;Table57[[#This Row],[Date]]</f>
        <v>00</v>
      </c>
      <c r="B268" s="22">
        <f>'Unique Dates'!A265</f>
        <v>0</v>
      </c>
      <c r="C268" s="22" t="e" cm="1">
        <f t="array" ref="C268">_xlfn.XLOOKUP(Table57[[#This Row],[No.]],Table2[[#All],[CODE]],Table2[[#All],[NAME]],,0,1)</f>
        <v>#N/A</v>
      </c>
      <c r="D268" s="6">
        <f>'Unique Dates'!B265</f>
        <v>0</v>
      </c>
      <c r="E268" t="str">
        <f>TEXT(Table57[[#This Row],[Date]],"dddd")</f>
        <v>Saturday</v>
      </c>
      <c r="F268" s="25" t="str" cm="1">
        <f t="array" ref="F268">IFERROR(_xlfn.XLOOKUP(Table57[[#This Row],[Code]],Table1[[#All],[Code]],Table1[[#All],[Time]],,0,1),"")</f>
        <v/>
      </c>
      <c r="G268" s="25" t="str" cm="1">
        <f t="array" ref="G268">IFERROR(_xlfn.XLOOKUP(Table57[[#This Row],[Code]],Table1[[#All],[Code]],Table1[[#All],[Time]],,0,-1),"")</f>
        <v/>
      </c>
      <c r="H268" s="23" t="str">
        <f>IFERROR(IF(Table57[[#This Row],[Out]]&gt;=Table57[[#This Row],[In]],Table57[[#This Row],[Out]]-Table57[[#This Row],[In]],(0.5+Table57[[#This Row],[Out]])-Table57[[#This Row],[In]]),"")</f>
        <v/>
      </c>
      <c r="I268" s="31" t="str">
        <f>IFERROR(IF(Table57[[#This Row],[In]]&gt;$C$2,Table57[[#This Row],[In]]-$C$2,""),"")</f>
        <v/>
      </c>
      <c r="J268" s="31" t="str">
        <f>IF(Table57[[#This Row],[Work_Hours]]=0,"",(IF(Table57[[#This Row],[Out]]&lt;$C$3,$C$3-Table57[[#This Row],[Out]],"")))</f>
        <v/>
      </c>
      <c r="K268" s="32" t="str">
        <f>IFERROR(Table57[[#This Row],[In]]+$C$1,"")</f>
        <v/>
      </c>
      <c r="L268" s="29"/>
      <c r="M268" s="31" t="str">
        <f>IF($C$2&gt;Table57[[#This Row],[In]],$C$2-Table57[[#This Row],[In]],"")</f>
        <v/>
      </c>
      <c r="N268" s="29" t="str">
        <f>IFERROR(IF(Table57[[#This Row],[Out]]&gt;$C$3,(Table57[[#This Row],[Out]])-($C$3),""),"")</f>
        <v/>
      </c>
    </row>
    <row r="269" spans="1:14" hidden="1" x14ac:dyDescent="0.25">
      <c r="A269" s="23" t="str">
        <f>Table57[[#This Row],[No.]]&amp;Table57[[#This Row],[Date]]</f>
        <v>00</v>
      </c>
      <c r="B269" s="22">
        <f>'Unique Dates'!A266</f>
        <v>0</v>
      </c>
      <c r="C269" s="22" t="e" cm="1">
        <f t="array" ref="C269">_xlfn.XLOOKUP(Table57[[#This Row],[No.]],Table2[[#All],[CODE]],Table2[[#All],[NAME]],,0,1)</f>
        <v>#N/A</v>
      </c>
      <c r="D269" s="6">
        <f>'Unique Dates'!B266</f>
        <v>0</v>
      </c>
      <c r="E269" t="str">
        <f>TEXT(Table57[[#This Row],[Date]],"dddd")</f>
        <v>Saturday</v>
      </c>
      <c r="F269" s="25" t="str" cm="1">
        <f t="array" ref="F269">IFERROR(_xlfn.XLOOKUP(Table57[[#This Row],[Code]],Table1[[#All],[Code]],Table1[[#All],[Time]],,0,1),"")</f>
        <v/>
      </c>
      <c r="G269" s="25" t="str" cm="1">
        <f t="array" ref="G269">IFERROR(_xlfn.XLOOKUP(Table57[[#This Row],[Code]],Table1[[#All],[Code]],Table1[[#All],[Time]],,0,-1),"")</f>
        <v/>
      </c>
      <c r="H269" s="23" t="str">
        <f>IFERROR(IF(Table57[[#This Row],[Out]]&gt;=Table57[[#This Row],[In]],Table57[[#This Row],[Out]]-Table57[[#This Row],[In]],(0.5+Table57[[#This Row],[Out]])-Table57[[#This Row],[In]]),"")</f>
        <v/>
      </c>
      <c r="I269" s="31" t="str">
        <f>IFERROR(IF(Table57[[#This Row],[In]]&gt;$C$2,Table57[[#This Row],[In]]-$C$2,""),"")</f>
        <v/>
      </c>
      <c r="J269" s="31" t="str">
        <f>IF(Table57[[#This Row],[Work_Hours]]=0,"",(IF(Table57[[#This Row],[Out]]&lt;$C$3,$C$3-Table57[[#This Row],[Out]],"")))</f>
        <v/>
      </c>
      <c r="K269" s="32" t="str">
        <f>IFERROR(Table57[[#This Row],[In]]+$C$1,"")</f>
        <v/>
      </c>
      <c r="L269" s="29"/>
      <c r="M269" s="31" t="str">
        <f>IF($C$2&gt;Table57[[#This Row],[In]],$C$2-Table57[[#This Row],[In]],"")</f>
        <v/>
      </c>
      <c r="N269" s="29" t="str">
        <f>IFERROR(IF(Table57[[#This Row],[Out]]&gt;$C$3,(Table57[[#This Row],[Out]])-($C$3),""),"")</f>
        <v/>
      </c>
    </row>
    <row r="270" spans="1:14" hidden="1" x14ac:dyDescent="0.25">
      <c r="A270" s="23" t="str">
        <f>Table57[[#This Row],[No.]]&amp;Table57[[#This Row],[Date]]</f>
        <v>00</v>
      </c>
      <c r="B270" s="22">
        <f>'Unique Dates'!A267</f>
        <v>0</v>
      </c>
      <c r="C270" s="22" t="e" cm="1">
        <f t="array" ref="C270">_xlfn.XLOOKUP(Table57[[#This Row],[No.]],Table2[[#All],[CODE]],Table2[[#All],[NAME]],,0,1)</f>
        <v>#N/A</v>
      </c>
      <c r="D270" s="6">
        <f>'Unique Dates'!B267</f>
        <v>0</v>
      </c>
      <c r="E270" t="str">
        <f>TEXT(Table57[[#This Row],[Date]],"dddd")</f>
        <v>Saturday</v>
      </c>
      <c r="F270" s="25" t="str" cm="1">
        <f t="array" ref="F270">IFERROR(_xlfn.XLOOKUP(Table57[[#This Row],[Code]],Table1[[#All],[Code]],Table1[[#All],[Time]],,0,1),"")</f>
        <v/>
      </c>
      <c r="G270" s="25" t="str" cm="1">
        <f t="array" ref="G270">IFERROR(_xlfn.XLOOKUP(Table57[[#This Row],[Code]],Table1[[#All],[Code]],Table1[[#All],[Time]],,0,-1),"")</f>
        <v/>
      </c>
      <c r="H270" s="23" t="str">
        <f>IFERROR(IF(Table57[[#This Row],[Out]]&gt;=Table57[[#This Row],[In]],Table57[[#This Row],[Out]]-Table57[[#This Row],[In]],(0.5+Table57[[#This Row],[Out]])-Table57[[#This Row],[In]]),"")</f>
        <v/>
      </c>
      <c r="I270" s="31" t="str">
        <f>IFERROR(IF(Table57[[#This Row],[In]]&gt;$C$2,Table57[[#This Row],[In]]-$C$2,""),"")</f>
        <v/>
      </c>
      <c r="J270" s="31" t="str">
        <f>IF(Table57[[#This Row],[Work_Hours]]=0,"",(IF(Table57[[#This Row],[Out]]&lt;$C$3,$C$3-Table57[[#This Row],[Out]],"")))</f>
        <v/>
      </c>
      <c r="K270" s="32" t="str">
        <f>IFERROR(Table57[[#This Row],[In]]+$C$1,"")</f>
        <v/>
      </c>
      <c r="L270" s="29"/>
      <c r="M270" s="31" t="str">
        <f>IF($C$2&gt;Table57[[#This Row],[In]],$C$2-Table57[[#This Row],[In]],"")</f>
        <v/>
      </c>
      <c r="N270" s="29" t="str">
        <f>IFERROR(IF(Table57[[#This Row],[Out]]&gt;$C$3,(Table57[[#This Row],[Out]])-($C$3),""),"")</f>
        <v/>
      </c>
    </row>
    <row r="271" spans="1:14" hidden="1" x14ac:dyDescent="0.25">
      <c r="A271" s="23" t="str">
        <f>Table57[[#This Row],[No.]]&amp;Table57[[#This Row],[Date]]</f>
        <v>00</v>
      </c>
      <c r="B271" s="22">
        <f>'Unique Dates'!A268</f>
        <v>0</v>
      </c>
      <c r="C271" s="22" t="e" cm="1">
        <f t="array" ref="C271">_xlfn.XLOOKUP(Table57[[#This Row],[No.]],Table2[[#All],[CODE]],Table2[[#All],[NAME]],,0,1)</f>
        <v>#N/A</v>
      </c>
      <c r="D271" s="6">
        <f>'Unique Dates'!B268</f>
        <v>0</v>
      </c>
      <c r="E271" t="str">
        <f>TEXT(Table57[[#This Row],[Date]],"dddd")</f>
        <v>Saturday</v>
      </c>
      <c r="F271" s="25" t="str" cm="1">
        <f t="array" ref="F271">IFERROR(_xlfn.XLOOKUP(Table57[[#This Row],[Code]],Table1[[#All],[Code]],Table1[[#All],[Time]],,0,1),"")</f>
        <v/>
      </c>
      <c r="G271" s="25" t="str" cm="1">
        <f t="array" ref="G271">IFERROR(_xlfn.XLOOKUP(Table57[[#This Row],[Code]],Table1[[#All],[Code]],Table1[[#All],[Time]],,0,-1),"")</f>
        <v/>
      </c>
      <c r="H271" s="23" t="str">
        <f>IFERROR(IF(Table57[[#This Row],[Out]]&gt;=Table57[[#This Row],[In]],Table57[[#This Row],[Out]]-Table57[[#This Row],[In]],(0.5+Table57[[#This Row],[Out]])-Table57[[#This Row],[In]]),"")</f>
        <v/>
      </c>
      <c r="I271" s="31" t="str">
        <f>IFERROR(IF(Table57[[#This Row],[In]]&gt;$C$2,Table57[[#This Row],[In]]-$C$2,""),"")</f>
        <v/>
      </c>
      <c r="J271" s="31" t="str">
        <f>IF(Table57[[#This Row],[Work_Hours]]=0,"",(IF(Table57[[#This Row],[Out]]&lt;$C$3,$C$3-Table57[[#This Row],[Out]],"")))</f>
        <v/>
      </c>
      <c r="K271" s="32" t="str">
        <f>IFERROR(Table57[[#This Row],[In]]+$C$1,"")</f>
        <v/>
      </c>
      <c r="L271" s="29"/>
      <c r="M271" s="31" t="str">
        <f>IF($C$2&gt;Table57[[#This Row],[In]],$C$2-Table57[[#This Row],[In]],"")</f>
        <v/>
      </c>
      <c r="N271" s="29" t="str">
        <f>IFERROR(IF(Table57[[#This Row],[Out]]&gt;$C$3,(Table57[[#This Row],[Out]])-($C$3),""),"")</f>
        <v/>
      </c>
    </row>
    <row r="272" spans="1:14" hidden="1" x14ac:dyDescent="0.25">
      <c r="A272" s="23" t="str">
        <f>Table57[[#This Row],[No.]]&amp;Table57[[#This Row],[Date]]</f>
        <v>00</v>
      </c>
      <c r="B272" s="22">
        <f>'Unique Dates'!A269</f>
        <v>0</v>
      </c>
      <c r="C272" s="22" t="e" cm="1">
        <f t="array" ref="C272">_xlfn.XLOOKUP(Table57[[#This Row],[No.]],Table2[[#All],[CODE]],Table2[[#All],[NAME]],,0,1)</f>
        <v>#N/A</v>
      </c>
      <c r="D272" s="6">
        <f>'Unique Dates'!B269</f>
        <v>0</v>
      </c>
      <c r="E272" t="str">
        <f>TEXT(Table57[[#This Row],[Date]],"dddd")</f>
        <v>Saturday</v>
      </c>
      <c r="F272" s="25" t="str" cm="1">
        <f t="array" ref="F272">IFERROR(_xlfn.XLOOKUP(Table57[[#This Row],[Code]],Table1[[#All],[Code]],Table1[[#All],[Time]],,0,1),"")</f>
        <v/>
      </c>
      <c r="G272" s="25" t="str" cm="1">
        <f t="array" ref="G272">IFERROR(_xlfn.XLOOKUP(Table57[[#This Row],[Code]],Table1[[#All],[Code]],Table1[[#All],[Time]],,0,-1),"")</f>
        <v/>
      </c>
      <c r="H272" s="23" t="str">
        <f>IFERROR(IF(Table57[[#This Row],[Out]]&gt;=Table57[[#This Row],[In]],Table57[[#This Row],[Out]]-Table57[[#This Row],[In]],(0.5+Table57[[#This Row],[Out]])-Table57[[#This Row],[In]]),"")</f>
        <v/>
      </c>
      <c r="I272" s="31" t="str">
        <f>IFERROR(IF(Table57[[#This Row],[In]]&gt;$C$2,Table57[[#This Row],[In]]-$C$2,""),"")</f>
        <v/>
      </c>
      <c r="J272" s="31" t="str">
        <f>IF(Table57[[#This Row],[Work_Hours]]=0,"",(IF(Table57[[#This Row],[Out]]&lt;$C$3,$C$3-Table57[[#This Row],[Out]],"")))</f>
        <v/>
      </c>
      <c r="K272" s="32" t="str">
        <f>IFERROR(Table57[[#This Row],[In]]+$C$1,"")</f>
        <v/>
      </c>
      <c r="L272" s="29"/>
      <c r="M272" s="31" t="str">
        <f>IF($C$2&gt;Table57[[#This Row],[In]],$C$2-Table57[[#This Row],[In]],"")</f>
        <v/>
      </c>
      <c r="N272" s="29" t="str">
        <f>IFERROR(IF(Table57[[#This Row],[Out]]&gt;$C$3,(Table57[[#This Row],[Out]])-($C$3),""),"")</f>
        <v/>
      </c>
    </row>
    <row r="273" spans="1:14" hidden="1" x14ac:dyDescent="0.25">
      <c r="A273" s="23" t="str">
        <f>Table57[[#This Row],[No.]]&amp;Table57[[#This Row],[Date]]</f>
        <v>00</v>
      </c>
      <c r="B273" s="22">
        <f>'Unique Dates'!A270</f>
        <v>0</v>
      </c>
      <c r="C273" s="22" t="e" cm="1">
        <f t="array" ref="C273">_xlfn.XLOOKUP(Table57[[#This Row],[No.]],Table2[[#All],[CODE]],Table2[[#All],[NAME]],,0,1)</f>
        <v>#N/A</v>
      </c>
      <c r="D273" s="6">
        <f>'Unique Dates'!B270</f>
        <v>0</v>
      </c>
      <c r="E273" t="str">
        <f>TEXT(Table57[[#This Row],[Date]],"dddd")</f>
        <v>Saturday</v>
      </c>
      <c r="F273" s="25" t="str" cm="1">
        <f t="array" ref="F273">IFERROR(_xlfn.XLOOKUP(Table57[[#This Row],[Code]],Table1[[#All],[Code]],Table1[[#All],[Time]],,0,1),"")</f>
        <v/>
      </c>
      <c r="G273" s="25" t="str" cm="1">
        <f t="array" ref="G273">IFERROR(_xlfn.XLOOKUP(Table57[[#This Row],[Code]],Table1[[#All],[Code]],Table1[[#All],[Time]],,0,-1),"")</f>
        <v/>
      </c>
      <c r="H273" s="23" t="str">
        <f>IFERROR(IF(Table57[[#This Row],[Out]]&gt;=Table57[[#This Row],[In]],Table57[[#This Row],[Out]]-Table57[[#This Row],[In]],(0.5+Table57[[#This Row],[Out]])-Table57[[#This Row],[In]]),"")</f>
        <v/>
      </c>
      <c r="I273" s="31" t="str">
        <f>IFERROR(IF(Table57[[#This Row],[In]]&gt;$C$2,Table57[[#This Row],[In]]-$C$2,""),"")</f>
        <v/>
      </c>
      <c r="J273" s="31" t="str">
        <f>IF(Table57[[#This Row],[Work_Hours]]=0,"",(IF(Table57[[#This Row],[Out]]&lt;$C$3,$C$3-Table57[[#This Row],[Out]],"")))</f>
        <v/>
      </c>
      <c r="K273" s="32" t="str">
        <f>IFERROR(Table57[[#This Row],[In]]+$C$1,"")</f>
        <v/>
      </c>
      <c r="L273" s="29"/>
      <c r="M273" s="31" t="str">
        <f>IF($C$2&gt;Table57[[#This Row],[In]],$C$2-Table57[[#This Row],[In]],"")</f>
        <v/>
      </c>
      <c r="N273" s="29" t="str">
        <f>IFERROR(IF(Table57[[#This Row],[Out]]&gt;$C$3,(Table57[[#This Row],[Out]])-($C$3),""),"")</f>
        <v/>
      </c>
    </row>
    <row r="274" spans="1:14" hidden="1" x14ac:dyDescent="0.25">
      <c r="A274" s="23" t="str">
        <f>Table57[[#This Row],[No.]]&amp;Table57[[#This Row],[Date]]</f>
        <v>00</v>
      </c>
      <c r="B274" s="22">
        <f>'Unique Dates'!A271</f>
        <v>0</v>
      </c>
      <c r="C274" s="22" t="e" cm="1">
        <f t="array" ref="C274">_xlfn.XLOOKUP(Table57[[#This Row],[No.]],Table2[[#All],[CODE]],Table2[[#All],[NAME]],,0,1)</f>
        <v>#N/A</v>
      </c>
      <c r="D274" s="6">
        <f>'Unique Dates'!B271</f>
        <v>0</v>
      </c>
      <c r="E274" t="str">
        <f>TEXT(Table57[[#This Row],[Date]],"dddd")</f>
        <v>Saturday</v>
      </c>
      <c r="F274" s="25" t="str" cm="1">
        <f t="array" ref="F274">IFERROR(_xlfn.XLOOKUP(Table57[[#This Row],[Code]],Table1[[#All],[Code]],Table1[[#All],[Time]],,0,1),"")</f>
        <v/>
      </c>
      <c r="G274" s="25" t="str" cm="1">
        <f t="array" ref="G274">IFERROR(_xlfn.XLOOKUP(Table57[[#This Row],[Code]],Table1[[#All],[Code]],Table1[[#All],[Time]],,0,-1),"")</f>
        <v/>
      </c>
      <c r="H274" s="23" t="str">
        <f>IFERROR(IF(Table57[[#This Row],[Out]]&gt;=Table57[[#This Row],[In]],Table57[[#This Row],[Out]]-Table57[[#This Row],[In]],(0.5+Table57[[#This Row],[Out]])-Table57[[#This Row],[In]]),"")</f>
        <v/>
      </c>
      <c r="I274" s="31" t="str">
        <f>IFERROR(IF(Table57[[#This Row],[In]]&gt;$C$2,Table57[[#This Row],[In]]-$C$2,""),"")</f>
        <v/>
      </c>
      <c r="J274" s="31" t="str">
        <f>IF(Table57[[#This Row],[Work_Hours]]=0,"",(IF(Table57[[#This Row],[Out]]&lt;$C$3,$C$3-Table57[[#This Row],[Out]],"")))</f>
        <v/>
      </c>
      <c r="K274" s="32" t="str">
        <f>IFERROR(Table57[[#This Row],[In]]+$C$1,"")</f>
        <v/>
      </c>
      <c r="L274" s="29"/>
      <c r="M274" s="31" t="str">
        <f>IF($C$2&gt;Table57[[#This Row],[In]],$C$2-Table57[[#This Row],[In]],"")</f>
        <v/>
      </c>
      <c r="N274" s="29" t="str">
        <f>IFERROR(IF(Table57[[#This Row],[Out]]&gt;$C$3,(Table57[[#This Row],[Out]])-($C$3),""),"")</f>
        <v/>
      </c>
    </row>
    <row r="275" spans="1:14" hidden="1" x14ac:dyDescent="0.25">
      <c r="A275" s="23" t="str">
        <f>Table57[[#This Row],[No.]]&amp;Table57[[#This Row],[Date]]</f>
        <v>00</v>
      </c>
      <c r="B275" s="22">
        <f>'Unique Dates'!A272</f>
        <v>0</v>
      </c>
      <c r="C275" s="22" t="e" cm="1">
        <f t="array" ref="C275">_xlfn.XLOOKUP(Table57[[#This Row],[No.]],Table2[[#All],[CODE]],Table2[[#All],[NAME]],,0,1)</f>
        <v>#N/A</v>
      </c>
      <c r="D275" s="6">
        <f>'Unique Dates'!B272</f>
        <v>0</v>
      </c>
      <c r="E275" t="str">
        <f>TEXT(Table57[[#This Row],[Date]],"dddd")</f>
        <v>Saturday</v>
      </c>
      <c r="F275" s="25" t="str" cm="1">
        <f t="array" ref="F275">IFERROR(_xlfn.XLOOKUP(Table57[[#This Row],[Code]],Table1[[#All],[Code]],Table1[[#All],[Time]],,0,1),"")</f>
        <v/>
      </c>
      <c r="G275" s="25" t="str" cm="1">
        <f t="array" ref="G275">IFERROR(_xlfn.XLOOKUP(Table57[[#This Row],[Code]],Table1[[#All],[Code]],Table1[[#All],[Time]],,0,-1),"")</f>
        <v/>
      </c>
      <c r="H275" s="23" t="str">
        <f>IFERROR(IF(Table57[[#This Row],[Out]]&gt;=Table57[[#This Row],[In]],Table57[[#This Row],[Out]]-Table57[[#This Row],[In]],(0.5+Table57[[#This Row],[Out]])-Table57[[#This Row],[In]]),"")</f>
        <v/>
      </c>
      <c r="I275" s="31" t="str">
        <f>IFERROR(IF(Table57[[#This Row],[In]]&gt;$C$2,Table57[[#This Row],[In]]-$C$2,""),"")</f>
        <v/>
      </c>
      <c r="J275" s="31" t="str">
        <f>IF(Table57[[#This Row],[Work_Hours]]=0,"",(IF(Table57[[#This Row],[Out]]&lt;$C$3,$C$3-Table57[[#This Row],[Out]],"")))</f>
        <v/>
      </c>
      <c r="K275" s="32" t="str">
        <f>IFERROR(Table57[[#This Row],[In]]+$C$1,"")</f>
        <v/>
      </c>
      <c r="L275" s="29"/>
      <c r="M275" s="31" t="str">
        <f>IF($C$2&gt;Table57[[#This Row],[In]],$C$2-Table57[[#This Row],[In]],"")</f>
        <v/>
      </c>
      <c r="N275" s="29" t="str">
        <f>IFERROR(IF(Table57[[#This Row],[Out]]&gt;$C$3,(Table57[[#This Row],[Out]])-($C$3),""),"")</f>
        <v/>
      </c>
    </row>
    <row r="276" spans="1:14" hidden="1" x14ac:dyDescent="0.25">
      <c r="A276" s="23" t="str">
        <f>Table57[[#This Row],[No.]]&amp;Table57[[#This Row],[Date]]</f>
        <v>00</v>
      </c>
      <c r="B276" s="22">
        <f>'Unique Dates'!A273</f>
        <v>0</v>
      </c>
      <c r="C276" s="22" t="e" cm="1">
        <f t="array" ref="C276">_xlfn.XLOOKUP(Table57[[#This Row],[No.]],Table2[[#All],[CODE]],Table2[[#All],[NAME]],,0,1)</f>
        <v>#N/A</v>
      </c>
      <c r="D276" s="6">
        <f>'Unique Dates'!B273</f>
        <v>0</v>
      </c>
      <c r="E276" t="str">
        <f>TEXT(Table57[[#This Row],[Date]],"dddd")</f>
        <v>Saturday</v>
      </c>
      <c r="F276" s="25" t="str" cm="1">
        <f t="array" ref="F276">IFERROR(_xlfn.XLOOKUP(Table57[[#This Row],[Code]],Table1[[#All],[Code]],Table1[[#All],[Time]],,0,1),"")</f>
        <v/>
      </c>
      <c r="G276" s="25" t="str" cm="1">
        <f t="array" ref="G276">IFERROR(_xlfn.XLOOKUP(Table57[[#This Row],[Code]],Table1[[#All],[Code]],Table1[[#All],[Time]],,0,-1),"")</f>
        <v/>
      </c>
      <c r="H276" s="23" t="str">
        <f>IFERROR(IF(Table57[[#This Row],[Out]]&gt;=Table57[[#This Row],[In]],Table57[[#This Row],[Out]]-Table57[[#This Row],[In]],(0.5+Table57[[#This Row],[Out]])-Table57[[#This Row],[In]]),"")</f>
        <v/>
      </c>
      <c r="I276" s="31" t="str">
        <f>IFERROR(IF(Table57[[#This Row],[In]]&gt;$C$2,Table57[[#This Row],[In]]-$C$2,""),"")</f>
        <v/>
      </c>
      <c r="J276" s="31" t="str">
        <f>IF(Table57[[#This Row],[Work_Hours]]=0,"",(IF(Table57[[#This Row],[Out]]&lt;$C$3,$C$3-Table57[[#This Row],[Out]],"")))</f>
        <v/>
      </c>
      <c r="K276" s="32" t="str">
        <f>IFERROR(Table57[[#This Row],[In]]+$C$1,"")</f>
        <v/>
      </c>
      <c r="L276" s="29"/>
      <c r="M276" s="31" t="str">
        <f>IF($C$2&gt;Table57[[#This Row],[In]],$C$2-Table57[[#This Row],[In]],"")</f>
        <v/>
      </c>
      <c r="N276" s="29" t="str">
        <f>IFERROR(IF(Table57[[#This Row],[Out]]&gt;$C$3,(Table57[[#This Row],[Out]])-($C$3),""),"")</f>
        <v/>
      </c>
    </row>
    <row r="277" spans="1:14" hidden="1" x14ac:dyDescent="0.25">
      <c r="A277" s="23" t="str">
        <f>Table57[[#This Row],[No.]]&amp;Table57[[#This Row],[Date]]</f>
        <v>00</v>
      </c>
      <c r="B277" s="22">
        <f>'Unique Dates'!A274</f>
        <v>0</v>
      </c>
      <c r="C277" s="22" t="e" cm="1">
        <f t="array" ref="C277">_xlfn.XLOOKUP(Table57[[#This Row],[No.]],Table2[[#All],[CODE]],Table2[[#All],[NAME]],,0,1)</f>
        <v>#N/A</v>
      </c>
      <c r="D277" s="6">
        <f>'Unique Dates'!B274</f>
        <v>0</v>
      </c>
      <c r="E277" t="str">
        <f>TEXT(Table57[[#This Row],[Date]],"dddd")</f>
        <v>Saturday</v>
      </c>
      <c r="F277" s="25" t="str" cm="1">
        <f t="array" ref="F277">IFERROR(_xlfn.XLOOKUP(Table57[[#This Row],[Code]],Table1[[#All],[Code]],Table1[[#All],[Time]],,0,1),"")</f>
        <v/>
      </c>
      <c r="G277" s="25" t="str" cm="1">
        <f t="array" ref="G277">IFERROR(_xlfn.XLOOKUP(Table57[[#This Row],[Code]],Table1[[#All],[Code]],Table1[[#All],[Time]],,0,-1),"")</f>
        <v/>
      </c>
      <c r="H277" s="23" t="str">
        <f>IFERROR(IF(Table57[[#This Row],[Out]]&gt;=Table57[[#This Row],[In]],Table57[[#This Row],[Out]]-Table57[[#This Row],[In]],(0.5+Table57[[#This Row],[Out]])-Table57[[#This Row],[In]]),"")</f>
        <v/>
      </c>
      <c r="I277" s="31" t="str">
        <f>IFERROR(IF(Table57[[#This Row],[In]]&gt;$C$2,Table57[[#This Row],[In]]-$C$2,""),"")</f>
        <v/>
      </c>
      <c r="J277" s="31" t="str">
        <f>IF(Table57[[#This Row],[Work_Hours]]=0,"",(IF(Table57[[#This Row],[Out]]&lt;$C$3,$C$3-Table57[[#This Row],[Out]],"")))</f>
        <v/>
      </c>
      <c r="K277" s="32" t="str">
        <f>IFERROR(Table57[[#This Row],[In]]+$C$1,"")</f>
        <v/>
      </c>
      <c r="L277" s="29"/>
      <c r="M277" s="31" t="str">
        <f>IF($C$2&gt;Table57[[#This Row],[In]],$C$2-Table57[[#This Row],[In]],"")</f>
        <v/>
      </c>
      <c r="N277" s="29" t="str">
        <f>IFERROR(IF(Table57[[#This Row],[Out]]&gt;$C$3,(Table57[[#This Row],[Out]])-($C$3),""),"")</f>
        <v/>
      </c>
    </row>
    <row r="278" spans="1:14" hidden="1" x14ac:dyDescent="0.25">
      <c r="A278" s="23" t="str">
        <f>Table57[[#This Row],[No.]]&amp;Table57[[#This Row],[Date]]</f>
        <v>00</v>
      </c>
      <c r="B278" s="22">
        <f>'Unique Dates'!A275</f>
        <v>0</v>
      </c>
      <c r="C278" s="22" t="e" cm="1">
        <f t="array" ref="C278">_xlfn.XLOOKUP(Table57[[#This Row],[No.]],Table2[[#All],[CODE]],Table2[[#All],[NAME]],,0,1)</f>
        <v>#N/A</v>
      </c>
      <c r="D278" s="6">
        <f>'Unique Dates'!B275</f>
        <v>0</v>
      </c>
      <c r="E278" t="str">
        <f>TEXT(Table57[[#This Row],[Date]],"dddd")</f>
        <v>Saturday</v>
      </c>
      <c r="F278" s="25" t="str" cm="1">
        <f t="array" ref="F278">IFERROR(_xlfn.XLOOKUP(Table57[[#This Row],[Code]],Table1[[#All],[Code]],Table1[[#All],[Time]],,0,1),"")</f>
        <v/>
      </c>
      <c r="G278" s="25" t="str" cm="1">
        <f t="array" ref="G278">IFERROR(_xlfn.XLOOKUP(Table57[[#This Row],[Code]],Table1[[#All],[Code]],Table1[[#All],[Time]],,0,-1),"")</f>
        <v/>
      </c>
      <c r="H278" s="23" t="str">
        <f>IFERROR(IF(Table57[[#This Row],[Out]]&gt;=Table57[[#This Row],[In]],Table57[[#This Row],[Out]]-Table57[[#This Row],[In]],(0.5+Table57[[#This Row],[Out]])-Table57[[#This Row],[In]]),"")</f>
        <v/>
      </c>
      <c r="I278" s="31" t="str">
        <f>IFERROR(IF(Table57[[#This Row],[In]]&gt;$C$2,Table57[[#This Row],[In]]-$C$2,""),"")</f>
        <v/>
      </c>
      <c r="J278" s="31" t="str">
        <f>IF(Table57[[#This Row],[Work_Hours]]=0,"",(IF(Table57[[#This Row],[Out]]&lt;$C$3,$C$3-Table57[[#This Row],[Out]],"")))</f>
        <v/>
      </c>
      <c r="K278" s="32" t="str">
        <f>IFERROR(Table57[[#This Row],[In]]+$C$1,"")</f>
        <v/>
      </c>
      <c r="L278" s="29"/>
      <c r="M278" s="31" t="str">
        <f>IF($C$2&gt;Table57[[#This Row],[In]],$C$2-Table57[[#This Row],[In]],"")</f>
        <v/>
      </c>
      <c r="N278" s="29" t="str">
        <f>IFERROR(IF(Table57[[#This Row],[Out]]&gt;$C$3,(Table57[[#This Row],[Out]])-($C$3),""),"")</f>
        <v/>
      </c>
    </row>
    <row r="279" spans="1:14" hidden="1" x14ac:dyDescent="0.25">
      <c r="A279" s="23" t="str">
        <f>Table57[[#This Row],[No.]]&amp;Table57[[#This Row],[Date]]</f>
        <v>00</v>
      </c>
      <c r="B279" s="22">
        <f>'Unique Dates'!A276</f>
        <v>0</v>
      </c>
      <c r="C279" s="22" t="e" cm="1">
        <f t="array" ref="C279">_xlfn.XLOOKUP(Table57[[#This Row],[No.]],Table2[[#All],[CODE]],Table2[[#All],[NAME]],,0,1)</f>
        <v>#N/A</v>
      </c>
      <c r="D279" s="6">
        <f>'Unique Dates'!B276</f>
        <v>0</v>
      </c>
      <c r="E279" t="str">
        <f>TEXT(Table57[[#This Row],[Date]],"dddd")</f>
        <v>Saturday</v>
      </c>
      <c r="F279" s="25" t="str" cm="1">
        <f t="array" ref="F279">IFERROR(_xlfn.XLOOKUP(Table57[[#This Row],[Code]],Table1[[#All],[Code]],Table1[[#All],[Time]],,0,1),"")</f>
        <v/>
      </c>
      <c r="G279" s="25" t="str" cm="1">
        <f t="array" ref="G279">IFERROR(_xlfn.XLOOKUP(Table57[[#This Row],[Code]],Table1[[#All],[Code]],Table1[[#All],[Time]],,0,-1),"")</f>
        <v/>
      </c>
      <c r="H279" s="23" t="str">
        <f>IFERROR(IF(Table57[[#This Row],[Out]]&gt;=Table57[[#This Row],[In]],Table57[[#This Row],[Out]]-Table57[[#This Row],[In]],(0.5+Table57[[#This Row],[Out]])-Table57[[#This Row],[In]]),"")</f>
        <v/>
      </c>
      <c r="I279" s="31" t="str">
        <f>IFERROR(IF(Table57[[#This Row],[In]]&gt;$C$2,Table57[[#This Row],[In]]-$C$2,""),"")</f>
        <v/>
      </c>
      <c r="J279" s="31" t="str">
        <f>IF(Table57[[#This Row],[Work_Hours]]=0,"",(IF(Table57[[#This Row],[Out]]&lt;$C$3,$C$3-Table57[[#This Row],[Out]],"")))</f>
        <v/>
      </c>
      <c r="K279" s="32" t="str">
        <f>IFERROR(Table57[[#This Row],[In]]+$C$1,"")</f>
        <v/>
      </c>
      <c r="L279" s="29"/>
      <c r="M279" s="31" t="str">
        <f>IF($C$2&gt;Table57[[#This Row],[In]],$C$2-Table57[[#This Row],[In]],"")</f>
        <v/>
      </c>
      <c r="N279" s="29" t="str">
        <f>IFERROR(IF(Table57[[#This Row],[Out]]&gt;$C$3,(Table57[[#This Row],[Out]])-($C$3),""),"")</f>
        <v/>
      </c>
    </row>
    <row r="280" spans="1:14" hidden="1" x14ac:dyDescent="0.25">
      <c r="A280" s="23" t="str">
        <f>Table57[[#This Row],[No.]]&amp;Table57[[#This Row],[Date]]</f>
        <v>00</v>
      </c>
      <c r="B280" s="22">
        <f>'Unique Dates'!A277</f>
        <v>0</v>
      </c>
      <c r="C280" s="22" t="e" cm="1">
        <f t="array" ref="C280">_xlfn.XLOOKUP(Table57[[#This Row],[No.]],Table2[[#All],[CODE]],Table2[[#All],[NAME]],,0,1)</f>
        <v>#N/A</v>
      </c>
      <c r="D280" s="6">
        <f>'Unique Dates'!B277</f>
        <v>0</v>
      </c>
      <c r="E280" t="str">
        <f>TEXT(Table57[[#This Row],[Date]],"dddd")</f>
        <v>Saturday</v>
      </c>
      <c r="F280" s="25" t="str" cm="1">
        <f t="array" ref="F280">IFERROR(_xlfn.XLOOKUP(Table57[[#This Row],[Code]],Table1[[#All],[Code]],Table1[[#All],[Time]],,0,1),"")</f>
        <v/>
      </c>
      <c r="G280" s="25" t="str" cm="1">
        <f t="array" ref="G280">IFERROR(_xlfn.XLOOKUP(Table57[[#This Row],[Code]],Table1[[#All],[Code]],Table1[[#All],[Time]],,0,-1),"")</f>
        <v/>
      </c>
      <c r="H280" s="23" t="str">
        <f>IFERROR(IF(Table57[[#This Row],[Out]]&gt;=Table57[[#This Row],[In]],Table57[[#This Row],[Out]]-Table57[[#This Row],[In]],(0.5+Table57[[#This Row],[Out]])-Table57[[#This Row],[In]]),"")</f>
        <v/>
      </c>
      <c r="I280" s="31" t="str">
        <f>IFERROR(IF(Table57[[#This Row],[In]]&gt;$C$2,Table57[[#This Row],[In]]-$C$2,""),"")</f>
        <v/>
      </c>
      <c r="J280" s="31" t="str">
        <f>IF(Table57[[#This Row],[Work_Hours]]=0,"",(IF(Table57[[#This Row],[Out]]&lt;$C$3,$C$3-Table57[[#This Row],[Out]],"")))</f>
        <v/>
      </c>
      <c r="K280" s="32" t="str">
        <f>IFERROR(Table57[[#This Row],[In]]+$C$1,"")</f>
        <v/>
      </c>
      <c r="L280" s="29"/>
      <c r="M280" s="31" t="str">
        <f>IF($C$2&gt;Table57[[#This Row],[In]],$C$2-Table57[[#This Row],[In]],"")</f>
        <v/>
      </c>
      <c r="N280" s="29" t="str">
        <f>IFERROR(IF(Table57[[#This Row],[Out]]&gt;$C$3,(Table57[[#This Row],[Out]])-($C$3),""),"")</f>
        <v/>
      </c>
    </row>
    <row r="281" spans="1:14" hidden="1" x14ac:dyDescent="0.25">
      <c r="A281" s="23" t="str">
        <f>Table57[[#This Row],[No.]]&amp;Table57[[#This Row],[Date]]</f>
        <v>00</v>
      </c>
      <c r="B281" s="22">
        <f>'Unique Dates'!A278</f>
        <v>0</v>
      </c>
      <c r="C281" s="22" t="e" cm="1">
        <f t="array" ref="C281">_xlfn.XLOOKUP(Table57[[#This Row],[No.]],Table2[[#All],[CODE]],Table2[[#All],[NAME]],,0,1)</f>
        <v>#N/A</v>
      </c>
      <c r="D281" s="6">
        <f>'Unique Dates'!B278</f>
        <v>0</v>
      </c>
      <c r="E281" t="str">
        <f>TEXT(Table57[[#This Row],[Date]],"dddd")</f>
        <v>Saturday</v>
      </c>
      <c r="F281" s="25" t="str" cm="1">
        <f t="array" ref="F281">IFERROR(_xlfn.XLOOKUP(Table57[[#This Row],[Code]],Table1[[#All],[Code]],Table1[[#All],[Time]],,0,1),"")</f>
        <v/>
      </c>
      <c r="G281" s="25" t="str" cm="1">
        <f t="array" ref="G281">IFERROR(_xlfn.XLOOKUP(Table57[[#This Row],[Code]],Table1[[#All],[Code]],Table1[[#All],[Time]],,0,-1),"")</f>
        <v/>
      </c>
      <c r="H281" s="23" t="str">
        <f>IFERROR(IF(Table57[[#This Row],[Out]]&gt;=Table57[[#This Row],[In]],Table57[[#This Row],[Out]]-Table57[[#This Row],[In]],(0.5+Table57[[#This Row],[Out]])-Table57[[#This Row],[In]]),"")</f>
        <v/>
      </c>
      <c r="I281" s="31" t="str">
        <f>IFERROR(IF(Table57[[#This Row],[In]]&gt;$C$2,Table57[[#This Row],[In]]-$C$2,""),"")</f>
        <v/>
      </c>
      <c r="J281" s="31" t="str">
        <f>IF(Table57[[#This Row],[Work_Hours]]=0,"",(IF(Table57[[#This Row],[Out]]&lt;$C$3,$C$3-Table57[[#This Row],[Out]],"")))</f>
        <v/>
      </c>
      <c r="K281" s="32" t="str">
        <f>IFERROR(Table57[[#This Row],[In]]+$C$1,"")</f>
        <v/>
      </c>
      <c r="L281" s="29"/>
      <c r="M281" s="31" t="str">
        <f>IF($C$2&gt;Table57[[#This Row],[In]],$C$2-Table57[[#This Row],[In]],"")</f>
        <v/>
      </c>
      <c r="N281" s="29" t="str">
        <f>IFERROR(IF(Table57[[#This Row],[Out]]&gt;$C$3,(Table57[[#This Row],[Out]])-($C$3),""),"")</f>
        <v/>
      </c>
    </row>
    <row r="282" spans="1:14" hidden="1" x14ac:dyDescent="0.25">
      <c r="A282" s="23" t="str">
        <f>Table57[[#This Row],[No.]]&amp;Table57[[#This Row],[Date]]</f>
        <v>00</v>
      </c>
      <c r="B282" s="22">
        <f>'Unique Dates'!A279</f>
        <v>0</v>
      </c>
      <c r="C282" s="22" t="e" cm="1">
        <f t="array" ref="C282">_xlfn.XLOOKUP(Table57[[#This Row],[No.]],Table2[[#All],[CODE]],Table2[[#All],[NAME]],,0,1)</f>
        <v>#N/A</v>
      </c>
      <c r="D282" s="6">
        <f>'Unique Dates'!B279</f>
        <v>0</v>
      </c>
      <c r="E282" t="str">
        <f>TEXT(Table57[[#This Row],[Date]],"dddd")</f>
        <v>Saturday</v>
      </c>
      <c r="F282" s="25" t="str" cm="1">
        <f t="array" ref="F282">IFERROR(_xlfn.XLOOKUP(Table57[[#This Row],[Code]],Table1[[#All],[Code]],Table1[[#All],[Time]],,0,1),"")</f>
        <v/>
      </c>
      <c r="G282" s="25" t="str" cm="1">
        <f t="array" ref="G282">IFERROR(_xlfn.XLOOKUP(Table57[[#This Row],[Code]],Table1[[#All],[Code]],Table1[[#All],[Time]],,0,-1),"")</f>
        <v/>
      </c>
      <c r="H282" s="23" t="str">
        <f>IFERROR(IF(Table57[[#This Row],[Out]]&gt;=Table57[[#This Row],[In]],Table57[[#This Row],[Out]]-Table57[[#This Row],[In]],(0.5+Table57[[#This Row],[Out]])-Table57[[#This Row],[In]]),"")</f>
        <v/>
      </c>
      <c r="I282" s="31" t="str">
        <f>IFERROR(IF(Table57[[#This Row],[In]]&gt;$C$2,Table57[[#This Row],[In]]-$C$2,""),"")</f>
        <v/>
      </c>
      <c r="J282" s="31" t="str">
        <f>IF(Table57[[#This Row],[Work_Hours]]=0,"",(IF(Table57[[#This Row],[Out]]&lt;$C$3,$C$3-Table57[[#This Row],[Out]],"")))</f>
        <v/>
      </c>
      <c r="K282" s="32" t="str">
        <f>IFERROR(Table57[[#This Row],[In]]+$C$1,"")</f>
        <v/>
      </c>
      <c r="L282" s="29"/>
      <c r="M282" s="31" t="str">
        <f>IF($C$2&gt;Table57[[#This Row],[In]],$C$2-Table57[[#This Row],[In]],"")</f>
        <v/>
      </c>
      <c r="N282" s="29" t="str">
        <f>IFERROR(IF(Table57[[#This Row],[Out]]&gt;$C$3,(Table57[[#This Row],[Out]])-($C$3),""),"")</f>
        <v/>
      </c>
    </row>
    <row r="283" spans="1:14" hidden="1" x14ac:dyDescent="0.25">
      <c r="A283" s="23" t="str">
        <f>Table57[[#This Row],[No.]]&amp;Table57[[#This Row],[Date]]</f>
        <v>00</v>
      </c>
      <c r="B283" s="22">
        <f>'Unique Dates'!A280</f>
        <v>0</v>
      </c>
      <c r="C283" s="22" t="e" cm="1">
        <f t="array" ref="C283">_xlfn.XLOOKUP(Table57[[#This Row],[No.]],Table2[[#All],[CODE]],Table2[[#All],[NAME]],,0,1)</f>
        <v>#N/A</v>
      </c>
      <c r="D283" s="6">
        <f>'Unique Dates'!B280</f>
        <v>0</v>
      </c>
      <c r="E283" t="str">
        <f>TEXT(Table57[[#This Row],[Date]],"dddd")</f>
        <v>Saturday</v>
      </c>
      <c r="F283" s="25" t="str" cm="1">
        <f t="array" ref="F283">IFERROR(_xlfn.XLOOKUP(Table57[[#This Row],[Code]],Table1[[#All],[Code]],Table1[[#All],[Time]],,0,1),"")</f>
        <v/>
      </c>
      <c r="G283" s="25" t="str" cm="1">
        <f t="array" ref="G283">IFERROR(_xlfn.XLOOKUP(Table57[[#This Row],[Code]],Table1[[#All],[Code]],Table1[[#All],[Time]],,0,-1),"")</f>
        <v/>
      </c>
      <c r="H283" s="23" t="str">
        <f>IFERROR(IF(Table57[[#This Row],[Out]]&gt;=Table57[[#This Row],[In]],Table57[[#This Row],[Out]]-Table57[[#This Row],[In]],(0.5+Table57[[#This Row],[Out]])-Table57[[#This Row],[In]]),"")</f>
        <v/>
      </c>
      <c r="I283" s="31" t="str">
        <f>IFERROR(IF(Table57[[#This Row],[In]]&gt;$C$2,Table57[[#This Row],[In]]-$C$2,""),"")</f>
        <v/>
      </c>
      <c r="J283" s="31" t="str">
        <f>IF(Table57[[#This Row],[Work_Hours]]=0,"",(IF(Table57[[#This Row],[Out]]&lt;$C$3,$C$3-Table57[[#This Row],[Out]],"")))</f>
        <v/>
      </c>
      <c r="K283" s="32" t="str">
        <f>IFERROR(Table57[[#This Row],[In]]+$C$1,"")</f>
        <v/>
      </c>
      <c r="L283" s="29"/>
      <c r="M283" s="31" t="str">
        <f>IF($C$2&gt;Table57[[#This Row],[In]],$C$2-Table57[[#This Row],[In]],"")</f>
        <v/>
      </c>
      <c r="N283" s="29" t="str">
        <f>IFERROR(IF(Table57[[#This Row],[Out]]&gt;$C$3,(Table57[[#This Row],[Out]])-($C$3),""),"")</f>
        <v/>
      </c>
    </row>
    <row r="284" spans="1:14" hidden="1" x14ac:dyDescent="0.25">
      <c r="A284" s="23" t="str">
        <f>Table57[[#This Row],[No.]]&amp;Table57[[#This Row],[Date]]</f>
        <v>00</v>
      </c>
      <c r="B284" s="22">
        <f>'Unique Dates'!A281</f>
        <v>0</v>
      </c>
      <c r="C284" s="22" t="e" cm="1">
        <f t="array" ref="C284">_xlfn.XLOOKUP(Table57[[#This Row],[No.]],Table2[[#All],[CODE]],Table2[[#All],[NAME]],,0,1)</f>
        <v>#N/A</v>
      </c>
      <c r="D284" s="6">
        <f>'Unique Dates'!B281</f>
        <v>0</v>
      </c>
      <c r="E284" t="str">
        <f>TEXT(Table57[[#This Row],[Date]],"dddd")</f>
        <v>Saturday</v>
      </c>
      <c r="F284" s="25" t="str" cm="1">
        <f t="array" ref="F284">IFERROR(_xlfn.XLOOKUP(Table57[[#This Row],[Code]],Table1[[#All],[Code]],Table1[[#All],[Time]],,0,1),"")</f>
        <v/>
      </c>
      <c r="G284" s="25" t="str" cm="1">
        <f t="array" ref="G284">IFERROR(_xlfn.XLOOKUP(Table57[[#This Row],[Code]],Table1[[#All],[Code]],Table1[[#All],[Time]],,0,-1),"")</f>
        <v/>
      </c>
      <c r="H284" s="23" t="str">
        <f>IFERROR(IF(Table57[[#This Row],[Out]]&gt;=Table57[[#This Row],[In]],Table57[[#This Row],[Out]]-Table57[[#This Row],[In]],(0.5+Table57[[#This Row],[Out]])-Table57[[#This Row],[In]]),"")</f>
        <v/>
      </c>
      <c r="I284" s="31" t="str">
        <f>IFERROR(IF(Table57[[#This Row],[In]]&gt;$C$2,Table57[[#This Row],[In]]-$C$2,""),"")</f>
        <v/>
      </c>
      <c r="J284" s="31" t="str">
        <f>IF(Table57[[#This Row],[Work_Hours]]=0,"",(IF(Table57[[#This Row],[Out]]&lt;$C$3,$C$3-Table57[[#This Row],[Out]],"")))</f>
        <v/>
      </c>
      <c r="K284" s="32" t="str">
        <f>IFERROR(Table57[[#This Row],[In]]+$C$1,"")</f>
        <v/>
      </c>
      <c r="L284" s="29"/>
      <c r="M284" s="31" t="str">
        <f>IF($C$2&gt;Table57[[#This Row],[In]],$C$2-Table57[[#This Row],[In]],"")</f>
        <v/>
      </c>
      <c r="N284" s="29" t="str">
        <f>IFERROR(IF(Table57[[#This Row],[Out]]&gt;$C$3,(Table57[[#This Row],[Out]])-($C$3),""),"")</f>
        <v/>
      </c>
    </row>
    <row r="285" spans="1:14" hidden="1" x14ac:dyDescent="0.25">
      <c r="A285" s="23" t="str">
        <f>Table57[[#This Row],[No.]]&amp;Table57[[#This Row],[Date]]</f>
        <v>00</v>
      </c>
      <c r="B285" s="22">
        <f>'Unique Dates'!A282</f>
        <v>0</v>
      </c>
      <c r="C285" s="22" t="e" cm="1">
        <f t="array" ref="C285">_xlfn.XLOOKUP(Table57[[#This Row],[No.]],Table2[[#All],[CODE]],Table2[[#All],[NAME]],,0,1)</f>
        <v>#N/A</v>
      </c>
      <c r="D285" s="6">
        <f>'Unique Dates'!B282</f>
        <v>0</v>
      </c>
      <c r="E285" t="str">
        <f>TEXT(Table57[[#This Row],[Date]],"dddd")</f>
        <v>Saturday</v>
      </c>
      <c r="F285" s="25" t="str" cm="1">
        <f t="array" ref="F285">IFERROR(_xlfn.XLOOKUP(Table57[[#This Row],[Code]],Table1[[#All],[Code]],Table1[[#All],[Time]],,0,1),"")</f>
        <v/>
      </c>
      <c r="G285" s="25" t="str" cm="1">
        <f t="array" ref="G285">IFERROR(_xlfn.XLOOKUP(Table57[[#This Row],[Code]],Table1[[#All],[Code]],Table1[[#All],[Time]],,0,-1),"")</f>
        <v/>
      </c>
      <c r="H285" s="23" t="str">
        <f>IFERROR(IF(Table57[[#This Row],[Out]]&gt;=Table57[[#This Row],[In]],Table57[[#This Row],[Out]]-Table57[[#This Row],[In]],(0.5+Table57[[#This Row],[Out]])-Table57[[#This Row],[In]]),"")</f>
        <v/>
      </c>
      <c r="I285" s="31" t="str">
        <f>IFERROR(IF(Table57[[#This Row],[In]]&gt;$C$2,Table57[[#This Row],[In]]-$C$2,""),"")</f>
        <v/>
      </c>
      <c r="J285" s="31" t="str">
        <f>IF(Table57[[#This Row],[Work_Hours]]=0,"",(IF(Table57[[#This Row],[Out]]&lt;$C$3,$C$3-Table57[[#This Row],[Out]],"")))</f>
        <v/>
      </c>
      <c r="K285" s="32" t="str">
        <f>IFERROR(Table57[[#This Row],[In]]+$C$1,"")</f>
        <v/>
      </c>
      <c r="L285" s="29"/>
      <c r="M285" s="31" t="str">
        <f>IF($C$2&gt;Table57[[#This Row],[In]],$C$2-Table57[[#This Row],[In]],"")</f>
        <v/>
      </c>
      <c r="N285" s="29" t="str">
        <f>IFERROR(IF(Table57[[#This Row],[Out]]&gt;$C$3,(Table57[[#This Row],[Out]])-($C$3),""),"")</f>
        <v/>
      </c>
    </row>
    <row r="286" spans="1:14" hidden="1" x14ac:dyDescent="0.25">
      <c r="A286" s="23" t="str">
        <f>Table57[[#This Row],[No.]]&amp;Table57[[#This Row],[Date]]</f>
        <v>00</v>
      </c>
      <c r="B286" s="22">
        <f>'Unique Dates'!A283</f>
        <v>0</v>
      </c>
      <c r="C286" s="22" t="e" cm="1">
        <f t="array" ref="C286">_xlfn.XLOOKUP(Table57[[#This Row],[No.]],Table2[[#All],[CODE]],Table2[[#All],[NAME]],,0,1)</f>
        <v>#N/A</v>
      </c>
      <c r="D286" s="6">
        <f>'Unique Dates'!B283</f>
        <v>0</v>
      </c>
      <c r="E286" t="str">
        <f>TEXT(Table57[[#This Row],[Date]],"dddd")</f>
        <v>Saturday</v>
      </c>
      <c r="F286" s="25" t="str" cm="1">
        <f t="array" ref="F286">IFERROR(_xlfn.XLOOKUP(Table57[[#This Row],[Code]],Table1[[#All],[Code]],Table1[[#All],[Time]],,0,1),"")</f>
        <v/>
      </c>
      <c r="G286" s="25" t="str" cm="1">
        <f t="array" ref="G286">IFERROR(_xlfn.XLOOKUP(Table57[[#This Row],[Code]],Table1[[#All],[Code]],Table1[[#All],[Time]],,0,-1),"")</f>
        <v/>
      </c>
      <c r="H286" s="23" t="str">
        <f>IFERROR(IF(Table57[[#This Row],[Out]]&gt;=Table57[[#This Row],[In]],Table57[[#This Row],[Out]]-Table57[[#This Row],[In]],(0.5+Table57[[#This Row],[Out]])-Table57[[#This Row],[In]]),"")</f>
        <v/>
      </c>
      <c r="I286" s="31" t="str">
        <f>IFERROR(IF(Table57[[#This Row],[In]]&gt;$C$2,Table57[[#This Row],[In]]-$C$2,""),"")</f>
        <v/>
      </c>
      <c r="J286" s="31" t="str">
        <f>IF(Table57[[#This Row],[Work_Hours]]=0,"",(IF(Table57[[#This Row],[Out]]&lt;$C$3,$C$3-Table57[[#This Row],[Out]],"")))</f>
        <v/>
      </c>
      <c r="K286" s="32" t="str">
        <f>IFERROR(Table57[[#This Row],[In]]+$C$1,"")</f>
        <v/>
      </c>
      <c r="L286" s="29"/>
      <c r="M286" s="31" t="str">
        <f>IF($C$2&gt;Table57[[#This Row],[In]],$C$2-Table57[[#This Row],[In]],"")</f>
        <v/>
      </c>
      <c r="N286" s="29" t="str">
        <f>IFERROR(IF(Table57[[#This Row],[Out]]&gt;$C$3,(Table57[[#This Row],[Out]])-($C$3),""),"")</f>
        <v/>
      </c>
    </row>
    <row r="287" spans="1:14" hidden="1" x14ac:dyDescent="0.25">
      <c r="A287" s="23" t="str">
        <f>Table57[[#This Row],[No.]]&amp;Table57[[#This Row],[Date]]</f>
        <v>00</v>
      </c>
      <c r="B287" s="22">
        <f>'Unique Dates'!A284</f>
        <v>0</v>
      </c>
      <c r="C287" s="22" t="e" cm="1">
        <f t="array" ref="C287">_xlfn.XLOOKUP(Table57[[#This Row],[No.]],Table2[[#All],[CODE]],Table2[[#All],[NAME]],,0,1)</f>
        <v>#N/A</v>
      </c>
      <c r="D287" s="6">
        <f>'Unique Dates'!B284</f>
        <v>0</v>
      </c>
      <c r="E287" t="str">
        <f>TEXT(Table57[[#This Row],[Date]],"dddd")</f>
        <v>Saturday</v>
      </c>
      <c r="F287" s="25" t="str" cm="1">
        <f t="array" ref="F287">IFERROR(_xlfn.XLOOKUP(Table57[[#This Row],[Code]],Table1[[#All],[Code]],Table1[[#All],[Time]],,0,1),"")</f>
        <v/>
      </c>
      <c r="G287" s="25" t="str" cm="1">
        <f t="array" ref="G287">IFERROR(_xlfn.XLOOKUP(Table57[[#This Row],[Code]],Table1[[#All],[Code]],Table1[[#All],[Time]],,0,-1),"")</f>
        <v/>
      </c>
      <c r="H287" s="23" t="str">
        <f>IFERROR(IF(Table57[[#This Row],[Out]]&gt;=Table57[[#This Row],[In]],Table57[[#This Row],[Out]]-Table57[[#This Row],[In]],(0.5+Table57[[#This Row],[Out]])-Table57[[#This Row],[In]]),"")</f>
        <v/>
      </c>
      <c r="I287" s="31" t="str">
        <f>IFERROR(IF(Table57[[#This Row],[In]]&gt;$C$2,Table57[[#This Row],[In]]-$C$2,""),"")</f>
        <v/>
      </c>
      <c r="J287" s="31" t="str">
        <f>IF(Table57[[#This Row],[Work_Hours]]=0,"",(IF(Table57[[#This Row],[Out]]&lt;$C$3,$C$3-Table57[[#This Row],[Out]],"")))</f>
        <v/>
      </c>
      <c r="K287" s="32" t="str">
        <f>IFERROR(Table57[[#This Row],[In]]+$C$1,"")</f>
        <v/>
      </c>
      <c r="L287" s="29"/>
      <c r="M287" s="31" t="str">
        <f>IF($C$2&gt;Table57[[#This Row],[In]],$C$2-Table57[[#This Row],[In]],"")</f>
        <v/>
      </c>
      <c r="N287" s="29" t="str">
        <f>IFERROR(IF(Table57[[#This Row],[Out]]&gt;$C$3,(Table57[[#This Row],[Out]])-($C$3),""),"")</f>
        <v/>
      </c>
    </row>
    <row r="288" spans="1:14" hidden="1" x14ac:dyDescent="0.25">
      <c r="A288" s="23" t="str">
        <f>Table57[[#This Row],[No.]]&amp;Table57[[#This Row],[Date]]</f>
        <v>00</v>
      </c>
      <c r="B288" s="22">
        <f>'Unique Dates'!A285</f>
        <v>0</v>
      </c>
      <c r="C288" s="22" t="e" cm="1">
        <f t="array" ref="C288">_xlfn.XLOOKUP(Table57[[#This Row],[No.]],Table2[[#All],[CODE]],Table2[[#All],[NAME]],,0,1)</f>
        <v>#N/A</v>
      </c>
      <c r="D288" s="6">
        <f>'Unique Dates'!B285</f>
        <v>0</v>
      </c>
      <c r="E288" t="str">
        <f>TEXT(Table57[[#This Row],[Date]],"dddd")</f>
        <v>Saturday</v>
      </c>
      <c r="F288" s="25" t="str" cm="1">
        <f t="array" ref="F288">IFERROR(_xlfn.XLOOKUP(Table57[[#This Row],[Code]],Table1[[#All],[Code]],Table1[[#All],[Time]],,0,1),"")</f>
        <v/>
      </c>
      <c r="G288" s="25" t="str" cm="1">
        <f t="array" ref="G288">IFERROR(_xlfn.XLOOKUP(Table57[[#This Row],[Code]],Table1[[#All],[Code]],Table1[[#All],[Time]],,0,-1),"")</f>
        <v/>
      </c>
      <c r="H288" s="23" t="str">
        <f>IFERROR(IF(Table57[[#This Row],[Out]]&gt;=Table57[[#This Row],[In]],Table57[[#This Row],[Out]]-Table57[[#This Row],[In]],(0.5+Table57[[#This Row],[Out]])-Table57[[#This Row],[In]]),"")</f>
        <v/>
      </c>
      <c r="I288" s="31" t="str">
        <f>IFERROR(IF(Table57[[#This Row],[In]]&gt;$C$2,Table57[[#This Row],[In]]-$C$2,""),"")</f>
        <v/>
      </c>
      <c r="J288" s="31" t="str">
        <f>IF(Table57[[#This Row],[Work_Hours]]=0,"",(IF(Table57[[#This Row],[Out]]&lt;$C$3,$C$3-Table57[[#This Row],[Out]],"")))</f>
        <v/>
      </c>
      <c r="K288" s="32" t="str">
        <f>IFERROR(Table57[[#This Row],[In]]+$C$1,"")</f>
        <v/>
      </c>
      <c r="L288" s="29"/>
      <c r="M288" s="31" t="str">
        <f>IF($C$2&gt;Table57[[#This Row],[In]],$C$2-Table57[[#This Row],[In]],"")</f>
        <v/>
      </c>
      <c r="N288" s="29" t="str">
        <f>IFERROR(IF(Table57[[#This Row],[Out]]&gt;$C$3,(Table57[[#This Row],[Out]])-($C$3),""),"")</f>
        <v/>
      </c>
    </row>
    <row r="289" spans="1:14" hidden="1" x14ac:dyDescent="0.25">
      <c r="A289" s="23" t="str">
        <f>Table57[[#This Row],[No.]]&amp;Table57[[#This Row],[Date]]</f>
        <v>00</v>
      </c>
      <c r="B289" s="22">
        <f>'Unique Dates'!A286</f>
        <v>0</v>
      </c>
      <c r="C289" s="22" t="e" cm="1">
        <f t="array" ref="C289">_xlfn.XLOOKUP(Table57[[#This Row],[No.]],Table2[[#All],[CODE]],Table2[[#All],[NAME]],,0,1)</f>
        <v>#N/A</v>
      </c>
      <c r="D289" s="6">
        <f>'Unique Dates'!B286</f>
        <v>0</v>
      </c>
      <c r="E289" t="str">
        <f>TEXT(Table57[[#This Row],[Date]],"dddd")</f>
        <v>Saturday</v>
      </c>
      <c r="F289" s="25" t="str" cm="1">
        <f t="array" ref="F289">IFERROR(_xlfn.XLOOKUP(Table57[[#This Row],[Code]],Table1[[#All],[Code]],Table1[[#All],[Time]],,0,1),"")</f>
        <v/>
      </c>
      <c r="G289" s="25" t="str" cm="1">
        <f t="array" ref="G289">IFERROR(_xlfn.XLOOKUP(Table57[[#This Row],[Code]],Table1[[#All],[Code]],Table1[[#All],[Time]],,0,-1),"")</f>
        <v/>
      </c>
      <c r="H289" s="23" t="str">
        <f>IFERROR(IF(Table57[[#This Row],[Out]]&gt;=Table57[[#This Row],[In]],Table57[[#This Row],[Out]]-Table57[[#This Row],[In]],(0.5+Table57[[#This Row],[Out]])-Table57[[#This Row],[In]]),"")</f>
        <v/>
      </c>
      <c r="I289" s="31" t="str">
        <f>IFERROR(IF(Table57[[#This Row],[In]]&gt;$C$2,Table57[[#This Row],[In]]-$C$2,""),"")</f>
        <v/>
      </c>
      <c r="J289" s="31" t="str">
        <f>IF(Table57[[#This Row],[Work_Hours]]=0,"",(IF(Table57[[#This Row],[Out]]&lt;$C$3,$C$3-Table57[[#This Row],[Out]],"")))</f>
        <v/>
      </c>
      <c r="K289" s="32" t="str">
        <f>IFERROR(Table57[[#This Row],[In]]+$C$1,"")</f>
        <v/>
      </c>
      <c r="L289" s="29"/>
      <c r="M289" s="31" t="str">
        <f>IF($C$2&gt;Table57[[#This Row],[In]],$C$2-Table57[[#This Row],[In]],"")</f>
        <v/>
      </c>
      <c r="N289" s="29" t="str">
        <f>IFERROR(IF(Table57[[#This Row],[Out]]&gt;$C$3,(Table57[[#This Row],[Out]])-($C$3),""),"")</f>
        <v/>
      </c>
    </row>
    <row r="290" spans="1:14" hidden="1" x14ac:dyDescent="0.25">
      <c r="A290" s="23" t="str">
        <f>Table57[[#This Row],[No.]]&amp;Table57[[#This Row],[Date]]</f>
        <v>00</v>
      </c>
      <c r="B290" s="22">
        <f>'Unique Dates'!A287</f>
        <v>0</v>
      </c>
      <c r="C290" s="22" t="e" cm="1">
        <f t="array" ref="C290">_xlfn.XLOOKUP(Table57[[#This Row],[No.]],Table2[[#All],[CODE]],Table2[[#All],[NAME]],,0,1)</f>
        <v>#N/A</v>
      </c>
      <c r="D290" s="6">
        <f>'Unique Dates'!B287</f>
        <v>0</v>
      </c>
      <c r="E290" t="str">
        <f>TEXT(Table57[[#This Row],[Date]],"dddd")</f>
        <v>Saturday</v>
      </c>
      <c r="F290" s="25" t="str" cm="1">
        <f t="array" ref="F290">IFERROR(_xlfn.XLOOKUP(Table57[[#This Row],[Code]],Table1[[#All],[Code]],Table1[[#All],[Time]],,0,1),"")</f>
        <v/>
      </c>
      <c r="G290" s="25" t="str" cm="1">
        <f t="array" ref="G290">IFERROR(_xlfn.XLOOKUP(Table57[[#This Row],[Code]],Table1[[#All],[Code]],Table1[[#All],[Time]],,0,-1),"")</f>
        <v/>
      </c>
      <c r="H290" s="23" t="str">
        <f>IFERROR(IF(Table57[[#This Row],[Out]]&gt;=Table57[[#This Row],[In]],Table57[[#This Row],[Out]]-Table57[[#This Row],[In]],(0.5+Table57[[#This Row],[Out]])-Table57[[#This Row],[In]]),"")</f>
        <v/>
      </c>
      <c r="I290" s="31" t="str">
        <f>IFERROR(IF(Table57[[#This Row],[In]]&gt;$C$2,Table57[[#This Row],[In]]-$C$2,""),"")</f>
        <v/>
      </c>
      <c r="J290" s="31" t="str">
        <f>IF(Table57[[#This Row],[Work_Hours]]=0,"",(IF(Table57[[#This Row],[Out]]&lt;$C$3,$C$3-Table57[[#This Row],[Out]],"")))</f>
        <v/>
      </c>
      <c r="K290" s="32" t="str">
        <f>IFERROR(Table57[[#This Row],[In]]+$C$1,"")</f>
        <v/>
      </c>
      <c r="L290" s="29"/>
      <c r="M290" s="31" t="str">
        <f>IF($C$2&gt;Table57[[#This Row],[In]],$C$2-Table57[[#This Row],[In]],"")</f>
        <v/>
      </c>
      <c r="N290" s="29" t="str">
        <f>IFERROR(IF(Table57[[#This Row],[Out]]&gt;$C$3,(Table57[[#This Row],[Out]])-($C$3),""),"")</f>
        <v/>
      </c>
    </row>
    <row r="291" spans="1:14" hidden="1" x14ac:dyDescent="0.25">
      <c r="A291" s="23" t="str">
        <f>Table57[[#This Row],[No.]]&amp;Table57[[#This Row],[Date]]</f>
        <v>00</v>
      </c>
      <c r="B291" s="22">
        <f>'Unique Dates'!A288</f>
        <v>0</v>
      </c>
      <c r="C291" s="22" t="e" cm="1">
        <f t="array" ref="C291">_xlfn.XLOOKUP(Table57[[#This Row],[No.]],Table2[[#All],[CODE]],Table2[[#All],[NAME]],,0,1)</f>
        <v>#N/A</v>
      </c>
      <c r="D291" s="6">
        <f>'Unique Dates'!B288</f>
        <v>0</v>
      </c>
      <c r="E291" t="str">
        <f>TEXT(Table57[[#This Row],[Date]],"dddd")</f>
        <v>Saturday</v>
      </c>
      <c r="F291" s="25" t="str" cm="1">
        <f t="array" ref="F291">IFERROR(_xlfn.XLOOKUP(Table57[[#This Row],[Code]],Table1[[#All],[Code]],Table1[[#All],[Time]],,0,1),"")</f>
        <v/>
      </c>
      <c r="G291" s="25" t="str" cm="1">
        <f t="array" ref="G291">IFERROR(_xlfn.XLOOKUP(Table57[[#This Row],[Code]],Table1[[#All],[Code]],Table1[[#All],[Time]],,0,-1),"")</f>
        <v/>
      </c>
      <c r="H291" s="23" t="str">
        <f>IFERROR(IF(Table57[[#This Row],[Out]]&gt;=Table57[[#This Row],[In]],Table57[[#This Row],[Out]]-Table57[[#This Row],[In]],(0.5+Table57[[#This Row],[Out]])-Table57[[#This Row],[In]]),"")</f>
        <v/>
      </c>
      <c r="I291" s="31" t="str">
        <f>IFERROR(IF(Table57[[#This Row],[In]]&gt;$C$2,Table57[[#This Row],[In]]-$C$2,""),"")</f>
        <v/>
      </c>
      <c r="J291" s="31" t="str">
        <f>IF(Table57[[#This Row],[Work_Hours]]=0,"",(IF(Table57[[#This Row],[Out]]&lt;$C$3,$C$3-Table57[[#This Row],[Out]],"")))</f>
        <v/>
      </c>
      <c r="K291" s="32" t="str">
        <f>IFERROR(Table57[[#This Row],[In]]+$C$1,"")</f>
        <v/>
      </c>
      <c r="L291" s="29"/>
      <c r="M291" s="31" t="str">
        <f>IF($C$2&gt;Table57[[#This Row],[In]],$C$2-Table57[[#This Row],[In]],"")</f>
        <v/>
      </c>
      <c r="N291" s="29" t="str">
        <f>IFERROR(IF(Table57[[#This Row],[Out]]&gt;$C$3,(Table57[[#This Row],[Out]])-($C$3),""),"")</f>
        <v/>
      </c>
    </row>
    <row r="292" spans="1:14" hidden="1" x14ac:dyDescent="0.25">
      <c r="A292" s="23" t="str">
        <f>Table57[[#This Row],[No.]]&amp;Table57[[#This Row],[Date]]</f>
        <v>00</v>
      </c>
      <c r="B292" s="22">
        <f>'Unique Dates'!A289</f>
        <v>0</v>
      </c>
      <c r="C292" s="22" t="e" cm="1">
        <f t="array" ref="C292">_xlfn.XLOOKUP(Table57[[#This Row],[No.]],Table2[[#All],[CODE]],Table2[[#All],[NAME]],,0,1)</f>
        <v>#N/A</v>
      </c>
      <c r="D292" s="6">
        <f>'Unique Dates'!B289</f>
        <v>0</v>
      </c>
      <c r="E292" t="str">
        <f>TEXT(Table57[[#This Row],[Date]],"dddd")</f>
        <v>Saturday</v>
      </c>
      <c r="F292" s="25" t="str" cm="1">
        <f t="array" ref="F292">IFERROR(_xlfn.XLOOKUP(Table57[[#This Row],[Code]],Table1[[#All],[Code]],Table1[[#All],[Time]],,0,1),"")</f>
        <v/>
      </c>
      <c r="G292" s="25" t="str" cm="1">
        <f t="array" ref="G292">IFERROR(_xlfn.XLOOKUP(Table57[[#This Row],[Code]],Table1[[#All],[Code]],Table1[[#All],[Time]],,0,-1),"")</f>
        <v/>
      </c>
      <c r="H292" s="23" t="str">
        <f>IFERROR(IF(Table57[[#This Row],[Out]]&gt;=Table57[[#This Row],[In]],Table57[[#This Row],[Out]]-Table57[[#This Row],[In]],(0.5+Table57[[#This Row],[Out]])-Table57[[#This Row],[In]]),"")</f>
        <v/>
      </c>
      <c r="I292" s="31" t="str">
        <f>IFERROR(IF(Table57[[#This Row],[In]]&gt;$C$2,Table57[[#This Row],[In]]-$C$2,""),"")</f>
        <v/>
      </c>
      <c r="J292" s="31" t="str">
        <f>IF(Table57[[#This Row],[Work_Hours]]=0,"",(IF(Table57[[#This Row],[Out]]&lt;$C$3,$C$3-Table57[[#This Row],[Out]],"")))</f>
        <v/>
      </c>
      <c r="K292" s="32" t="str">
        <f>IFERROR(Table57[[#This Row],[In]]+$C$1,"")</f>
        <v/>
      </c>
      <c r="L292" s="29"/>
      <c r="M292" s="31" t="str">
        <f>IF($C$2&gt;Table57[[#This Row],[In]],$C$2-Table57[[#This Row],[In]],"")</f>
        <v/>
      </c>
      <c r="N292" s="29" t="str">
        <f>IFERROR(IF(Table57[[#This Row],[Out]]&gt;$C$3,(Table57[[#This Row],[Out]])-($C$3),""),"")</f>
        <v/>
      </c>
    </row>
    <row r="293" spans="1:14" hidden="1" x14ac:dyDescent="0.25">
      <c r="A293" s="23" t="str">
        <f>Table57[[#This Row],[No.]]&amp;Table57[[#This Row],[Date]]</f>
        <v>00</v>
      </c>
      <c r="B293" s="22">
        <f>'Unique Dates'!A290</f>
        <v>0</v>
      </c>
      <c r="C293" s="22" t="e" cm="1">
        <f t="array" ref="C293">_xlfn.XLOOKUP(Table57[[#This Row],[No.]],Table2[[#All],[CODE]],Table2[[#All],[NAME]],,0,1)</f>
        <v>#N/A</v>
      </c>
      <c r="D293" s="6">
        <f>'Unique Dates'!B290</f>
        <v>0</v>
      </c>
      <c r="E293" t="str">
        <f>TEXT(Table57[[#This Row],[Date]],"dddd")</f>
        <v>Saturday</v>
      </c>
      <c r="F293" s="25" t="str" cm="1">
        <f t="array" ref="F293">IFERROR(_xlfn.XLOOKUP(Table57[[#This Row],[Code]],Table1[[#All],[Code]],Table1[[#All],[Time]],,0,1),"")</f>
        <v/>
      </c>
      <c r="G293" s="25" t="str" cm="1">
        <f t="array" ref="G293">IFERROR(_xlfn.XLOOKUP(Table57[[#This Row],[Code]],Table1[[#All],[Code]],Table1[[#All],[Time]],,0,-1),"")</f>
        <v/>
      </c>
      <c r="H293" s="23" t="str">
        <f>IFERROR(IF(Table57[[#This Row],[Out]]&gt;=Table57[[#This Row],[In]],Table57[[#This Row],[Out]]-Table57[[#This Row],[In]],(0.5+Table57[[#This Row],[Out]])-Table57[[#This Row],[In]]),"")</f>
        <v/>
      </c>
      <c r="I293" s="31" t="str">
        <f>IFERROR(IF(Table57[[#This Row],[In]]&gt;$C$2,Table57[[#This Row],[In]]-$C$2,""),"")</f>
        <v/>
      </c>
      <c r="J293" s="31" t="str">
        <f>IF(Table57[[#This Row],[Work_Hours]]=0,"",(IF(Table57[[#This Row],[Out]]&lt;$C$3,$C$3-Table57[[#This Row],[Out]],"")))</f>
        <v/>
      </c>
      <c r="K293" s="32" t="str">
        <f>IFERROR(Table57[[#This Row],[In]]+$C$1,"")</f>
        <v/>
      </c>
      <c r="L293" s="29"/>
      <c r="M293" s="31" t="str">
        <f>IF($C$2&gt;Table57[[#This Row],[In]],$C$2-Table57[[#This Row],[In]],"")</f>
        <v/>
      </c>
      <c r="N293" s="29" t="str">
        <f>IFERROR(IF(Table57[[#This Row],[Out]]&gt;$C$3,(Table57[[#This Row],[Out]])-($C$3),""),"")</f>
        <v/>
      </c>
    </row>
    <row r="294" spans="1:14" hidden="1" x14ac:dyDescent="0.25">
      <c r="A294" s="23" t="str">
        <f>Table57[[#This Row],[No.]]&amp;Table57[[#This Row],[Date]]</f>
        <v>00</v>
      </c>
      <c r="B294" s="22">
        <f>'Unique Dates'!A291</f>
        <v>0</v>
      </c>
      <c r="C294" s="22" t="e" cm="1">
        <f t="array" ref="C294">_xlfn.XLOOKUP(Table57[[#This Row],[No.]],Table2[[#All],[CODE]],Table2[[#All],[NAME]],,0,1)</f>
        <v>#N/A</v>
      </c>
      <c r="D294" s="6">
        <f>'Unique Dates'!B291</f>
        <v>0</v>
      </c>
      <c r="E294" t="str">
        <f>TEXT(Table57[[#This Row],[Date]],"dddd")</f>
        <v>Saturday</v>
      </c>
      <c r="F294" s="25" t="str" cm="1">
        <f t="array" ref="F294">IFERROR(_xlfn.XLOOKUP(Table57[[#This Row],[Code]],Table1[[#All],[Code]],Table1[[#All],[Time]],,0,1),"")</f>
        <v/>
      </c>
      <c r="G294" s="25" t="str" cm="1">
        <f t="array" ref="G294">IFERROR(_xlfn.XLOOKUP(Table57[[#This Row],[Code]],Table1[[#All],[Code]],Table1[[#All],[Time]],,0,-1),"")</f>
        <v/>
      </c>
      <c r="H294" s="23" t="str">
        <f>IFERROR(IF(Table57[[#This Row],[Out]]&gt;=Table57[[#This Row],[In]],Table57[[#This Row],[Out]]-Table57[[#This Row],[In]],(0.5+Table57[[#This Row],[Out]])-Table57[[#This Row],[In]]),"")</f>
        <v/>
      </c>
      <c r="I294" s="31" t="str">
        <f>IFERROR(IF(Table57[[#This Row],[In]]&gt;$C$2,Table57[[#This Row],[In]]-$C$2,""),"")</f>
        <v/>
      </c>
      <c r="J294" s="31" t="str">
        <f>IF(Table57[[#This Row],[Work_Hours]]=0,"",(IF(Table57[[#This Row],[Out]]&lt;$C$3,$C$3-Table57[[#This Row],[Out]],"")))</f>
        <v/>
      </c>
      <c r="K294" s="32" t="str">
        <f>IFERROR(Table57[[#This Row],[In]]+$C$1,"")</f>
        <v/>
      </c>
      <c r="L294" s="29"/>
      <c r="M294" s="31" t="str">
        <f>IF($C$2&gt;Table57[[#This Row],[In]],$C$2-Table57[[#This Row],[In]],"")</f>
        <v/>
      </c>
      <c r="N294" s="29" t="str">
        <f>IFERROR(IF(Table57[[#This Row],[Out]]&gt;$C$3,(Table57[[#This Row],[Out]])-($C$3),""),"")</f>
        <v/>
      </c>
    </row>
    <row r="295" spans="1:14" hidden="1" x14ac:dyDescent="0.25">
      <c r="A295" s="23" t="str">
        <f>Table57[[#This Row],[No.]]&amp;Table57[[#This Row],[Date]]</f>
        <v>00</v>
      </c>
      <c r="B295" s="22">
        <f>'Unique Dates'!A292</f>
        <v>0</v>
      </c>
      <c r="C295" s="22" t="e" cm="1">
        <f t="array" ref="C295">_xlfn.XLOOKUP(Table57[[#This Row],[No.]],Table2[[#All],[CODE]],Table2[[#All],[NAME]],,0,1)</f>
        <v>#N/A</v>
      </c>
      <c r="D295" s="6">
        <f>'Unique Dates'!B292</f>
        <v>0</v>
      </c>
      <c r="E295" t="str">
        <f>TEXT(Table57[[#This Row],[Date]],"dddd")</f>
        <v>Saturday</v>
      </c>
      <c r="F295" s="25" t="str" cm="1">
        <f t="array" ref="F295">IFERROR(_xlfn.XLOOKUP(Table57[[#This Row],[Code]],Table1[[#All],[Code]],Table1[[#All],[Time]],,0,1),"")</f>
        <v/>
      </c>
      <c r="G295" s="25" t="str" cm="1">
        <f t="array" ref="G295">IFERROR(_xlfn.XLOOKUP(Table57[[#This Row],[Code]],Table1[[#All],[Code]],Table1[[#All],[Time]],,0,-1),"")</f>
        <v/>
      </c>
      <c r="H295" s="23" t="str">
        <f>IFERROR(IF(Table57[[#This Row],[Out]]&gt;=Table57[[#This Row],[In]],Table57[[#This Row],[Out]]-Table57[[#This Row],[In]],(0.5+Table57[[#This Row],[Out]])-Table57[[#This Row],[In]]),"")</f>
        <v/>
      </c>
      <c r="I295" s="31" t="str">
        <f>IFERROR(IF(Table57[[#This Row],[In]]&gt;$C$2,Table57[[#This Row],[In]]-$C$2,""),"")</f>
        <v/>
      </c>
      <c r="J295" s="31" t="str">
        <f>IF(Table57[[#This Row],[Work_Hours]]=0,"",(IF(Table57[[#This Row],[Out]]&lt;$C$3,$C$3-Table57[[#This Row],[Out]],"")))</f>
        <v/>
      </c>
      <c r="K295" s="32" t="str">
        <f>IFERROR(Table57[[#This Row],[In]]+$C$1,"")</f>
        <v/>
      </c>
      <c r="L295" s="29"/>
      <c r="M295" s="31" t="str">
        <f>IF($C$2&gt;Table57[[#This Row],[In]],$C$2-Table57[[#This Row],[In]],"")</f>
        <v/>
      </c>
      <c r="N295" s="29" t="str">
        <f>IFERROR(IF(Table57[[#This Row],[Out]]&gt;$C$3,(Table57[[#This Row],[Out]])-($C$3),""),"")</f>
        <v/>
      </c>
    </row>
    <row r="296" spans="1:14" hidden="1" x14ac:dyDescent="0.25">
      <c r="A296" s="23" t="str">
        <f>Table57[[#This Row],[No.]]&amp;Table57[[#This Row],[Date]]</f>
        <v>00</v>
      </c>
      <c r="B296" s="22">
        <f>'Unique Dates'!A293</f>
        <v>0</v>
      </c>
      <c r="C296" s="22" t="e" cm="1">
        <f t="array" ref="C296">_xlfn.XLOOKUP(Table57[[#This Row],[No.]],Table2[[#All],[CODE]],Table2[[#All],[NAME]],,0,1)</f>
        <v>#N/A</v>
      </c>
      <c r="D296" s="6">
        <f>'Unique Dates'!B293</f>
        <v>0</v>
      </c>
      <c r="E296" t="str">
        <f>TEXT(Table57[[#This Row],[Date]],"dddd")</f>
        <v>Saturday</v>
      </c>
      <c r="F296" s="25" t="str" cm="1">
        <f t="array" ref="F296">IFERROR(_xlfn.XLOOKUP(Table57[[#This Row],[Code]],Table1[[#All],[Code]],Table1[[#All],[Time]],,0,1),"")</f>
        <v/>
      </c>
      <c r="G296" s="25" t="str" cm="1">
        <f t="array" ref="G296">IFERROR(_xlfn.XLOOKUP(Table57[[#This Row],[Code]],Table1[[#All],[Code]],Table1[[#All],[Time]],,0,-1),"")</f>
        <v/>
      </c>
      <c r="H296" s="23" t="str">
        <f>IFERROR(IF(Table57[[#This Row],[Out]]&gt;=Table57[[#This Row],[In]],Table57[[#This Row],[Out]]-Table57[[#This Row],[In]],(0.5+Table57[[#This Row],[Out]])-Table57[[#This Row],[In]]),"")</f>
        <v/>
      </c>
      <c r="I296" s="31" t="str">
        <f>IFERROR(IF(Table57[[#This Row],[In]]&gt;$C$2,Table57[[#This Row],[In]]-$C$2,""),"")</f>
        <v/>
      </c>
      <c r="J296" s="31" t="str">
        <f>IF(Table57[[#This Row],[Work_Hours]]=0,"",(IF(Table57[[#This Row],[Out]]&lt;$C$3,$C$3-Table57[[#This Row],[Out]],"")))</f>
        <v/>
      </c>
      <c r="K296" s="32" t="str">
        <f>IFERROR(Table57[[#This Row],[In]]+$C$1,"")</f>
        <v/>
      </c>
      <c r="L296" s="29"/>
      <c r="M296" s="31" t="str">
        <f>IF($C$2&gt;Table57[[#This Row],[In]],$C$2-Table57[[#This Row],[In]],"")</f>
        <v/>
      </c>
      <c r="N296" s="29" t="str">
        <f>IFERROR(IF(Table57[[#This Row],[Out]]&gt;$C$3,(Table57[[#This Row],[Out]])-($C$3),""),"")</f>
        <v/>
      </c>
    </row>
    <row r="297" spans="1:14" hidden="1" x14ac:dyDescent="0.25">
      <c r="A297" s="23" t="str">
        <f>Table57[[#This Row],[No.]]&amp;Table57[[#This Row],[Date]]</f>
        <v>00</v>
      </c>
      <c r="B297" s="22">
        <f>'Unique Dates'!A294</f>
        <v>0</v>
      </c>
      <c r="C297" s="22" t="e" cm="1">
        <f t="array" ref="C297">_xlfn.XLOOKUP(Table57[[#This Row],[No.]],Table2[[#All],[CODE]],Table2[[#All],[NAME]],,0,1)</f>
        <v>#N/A</v>
      </c>
      <c r="D297" s="6">
        <f>'Unique Dates'!B294</f>
        <v>0</v>
      </c>
      <c r="E297" t="str">
        <f>TEXT(Table57[[#This Row],[Date]],"dddd")</f>
        <v>Saturday</v>
      </c>
      <c r="F297" s="25" t="str" cm="1">
        <f t="array" ref="F297">IFERROR(_xlfn.XLOOKUP(Table57[[#This Row],[Code]],Table1[[#All],[Code]],Table1[[#All],[Time]],,0,1),"")</f>
        <v/>
      </c>
      <c r="G297" s="25" t="str" cm="1">
        <f t="array" ref="G297">IFERROR(_xlfn.XLOOKUP(Table57[[#This Row],[Code]],Table1[[#All],[Code]],Table1[[#All],[Time]],,0,-1),"")</f>
        <v/>
      </c>
      <c r="H297" s="23" t="str">
        <f>IFERROR(IF(Table57[[#This Row],[Out]]&gt;=Table57[[#This Row],[In]],Table57[[#This Row],[Out]]-Table57[[#This Row],[In]],(0.5+Table57[[#This Row],[Out]])-Table57[[#This Row],[In]]),"")</f>
        <v/>
      </c>
      <c r="I297" s="31" t="str">
        <f>IFERROR(IF(Table57[[#This Row],[In]]&gt;$C$2,Table57[[#This Row],[In]]-$C$2,""),"")</f>
        <v/>
      </c>
      <c r="J297" s="31" t="str">
        <f>IF(Table57[[#This Row],[Work_Hours]]=0,"",(IF(Table57[[#This Row],[Out]]&lt;$C$3,$C$3-Table57[[#This Row],[Out]],"")))</f>
        <v/>
      </c>
      <c r="K297" s="32" t="str">
        <f>IFERROR(Table57[[#This Row],[In]]+$C$1,"")</f>
        <v/>
      </c>
      <c r="L297" s="29"/>
      <c r="M297" s="31" t="str">
        <f>IF($C$2&gt;Table57[[#This Row],[In]],$C$2-Table57[[#This Row],[In]],"")</f>
        <v/>
      </c>
      <c r="N297" s="29" t="str">
        <f>IFERROR(IF(Table57[[#This Row],[Out]]&gt;$C$3,(Table57[[#This Row],[Out]])-($C$3),""),"")</f>
        <v/>
      </c>
    </row>
    <row r="298" spans="1:14" hidden="1" x14ac:dyDescent="0.25">
      <c r="A298" s="23" t="str">
        <f>Table57[[#This Row],[No.]]&amp;Table57[[#This Row],[Date]]</f>
        <v>00</v>
      </c>
      <c r="B298" s="22">
        <f>'Unique Dates'!A295</f>
        <v>0</v>
      </c>
      <c r="C298" s="22" t="e" cm="1">
        <f t="array" ref="C298">_xlfn.XLOOKUP(Table57[[#This Row],[No.]],Table2[[#All],[CODE]],Table2[[#All],[NAME]],,0,1)</f>
        <v>#N/A</v>
      </c>
      <c r="D298" s="6">
        <f>'Unique Dates'!B295</f>
        <v>0</v>
      </c>
      <c r="E298" t="str">
        <f>TEXT(Table57[[#This Row],[Date]],"dddd")</f>
        <v>Saturday</v>
      </c>
      <c r="F298" s="25" t="str" cm="1">
        <f t="array" ref="F298">IFERROR(_xlfn.XLOOKUP(Table57[[#This Row],[Code]],Table1[[#All],[Code]],Table1[[#All],[Time]],,0,1),"")</f>
        <v/>
      </c>
      <c r="G298" s="25" t="str" cm="1">
        <f t="array" ref="G298">IFERROR(_xlfn.XLOOKUP(Table57[[#This Row],[Code]],Table1[[#All],[Code]],Table1[[#All],[Time]],,0,-1),"")</f>
        <v/>
      </c>
      <c r="H298" s="23" t="str">
        <f>IFERROR(IF(Table57[[#This Row],[Out]]&gt;=Table57[[#This Row],[In]],Table57[[#This Row],[Out]]-Table57[[#This Row],[In]],(0.5+Table57[[#This Row],[Out]])-Table57[[#This Row],[In]]),"")</f>
        <v/>
      </c>
      <c r="I298" s="31" t="str">
        <f>IFERROR(IF(Table57[[#This Row],[In]]&gt;$C$2,Table57[[#This Row],[In]]-$C$2,""),"")</f>
        <v/>
      </c>
      <c r="J298" s="31" t="str">
        <f>IF(Table57[[#This Row],[Work_Hours]]=0,"",(IF(Table57[[#This Row],[Out]]&lt;$C$3,$C$3-Table57[[#This Row],[Out]],"")))</f>
        <v/>
      </c>
      <c r="K298" s="32" t="str">
        <f>IFERROR(Table57[[#This Row],[In]]+$C$1,"")</f>
        <v/>
      </c>
      <c r="L298" s="29"/>
      <c r="M298" s="31" t="str">
        <f>IF($C$2&gt;Table57[[#This Row],[In]],$C$2-Table57[[#This Row],[In]],"")</f>
        <v/>
      </c>
      <c r="N298" s="29" t="str">
        <f>IFERROR(IF(Table57[[#This Row],[Out]]&gt;$C$3,(Table57[[#This Row],[Out]])-($C$3),""),"")</f>
        <v/>
      </c>
    </row>
    <row r="299" spans="1:14" hidden="1" x14ac:dyDescent="0.25">
      <c r="A299" s="23" t="str">
        <f>Table57[[#This Row],[No.]]&amp;Table57[[#This Row],[Date]]</f>
        <v>00</v>
      </c>
      <c r="B299" s="22">
        <f>'Unique Dates'!A296</f>
        <v>0</v>
      </c>
      <c r="C299" s="22" t="e" cm="1">
        <f t="array" ref="C299">_xlfn.XLOOKUP(Table57[[#This Row],[No.]],Table2[[#All],[CODE]],Table2[[#All],[NAME]],,0,1)</f>
        <v>#N/A</v>
      </c>
      <c r="D299" s="6">
        <f>'Unique Dates'!B296</f>
        <v>0</v>
      </c>
      <c r="E299" t="str">
        <f>TEXT(Table57[[#This Row],[Date]],"dddd")</f>
        <v>Saturday</v>
      </c>
      <c r="F299" s="25" t="str" cm="1">
        <f t="array" ref="F299">IFERROR(_xlfn.XLOOKUP(Table57[[#This Row],[Code]],Table1[[#All],[Code]],Table1[[#All],[Time]],,0,1),"")</f>
        <v/>
      </c>
      <c r="G299" s="25" t="str" cm="1">
        <f t="array" ref="G299">IFERROR(_xlfn.XLOOKUP(Table57[[#This Row],[Code]],Table1[[#All],[Code]],Table1[[#All],[Time]],,0,-1),"")</f>
        <v/>
      </c>
      <c r="H299" s="23" t="str">
        <f>IFERROR(IF(Table57[[#This Row],[Out]]&gt;=Table57[[#This Row],[In]],Table57[[#This Row],[Out]]-Table57[[#This Row],[In]],(0.5+Table57[[#This Row],[Out]])-Table57[[#This Row],[In]]),"")</f>
        <v/>
      </c>
      <c r="I299" s="31" t="str">
        <f>IFERROR(IF(Table57[[#This Row],[In]]&gt;$C$2,Table57[[#This Row],[In]]-$C$2,""),"")</f>
        <v/>
      </c>
      <c r="J299" s="31" t="str">
        <f>IF(Table57[[#This Row],[Work_Hours]]=0,"",(IF(Table57[[#This Row],[Out]]&lt;$C$3,$C$3-Table57[[#This Row],[Out]],"")))</f>
        <v/>
      </c>
      <c r="K299" s="32" t="str">
        <f>IFERROR(Table57[[#This Row],[In]]+$C$1,"")</f>
        <v/>
      </c>
      <c r="L299" s="29"/>
      <c r="M299" s="31" t="str">
        <f>IF($C$2&gt;Table57[[#This Row],[In]],$C$2-Table57[[#This Row],[In]],"")</f>
        <v/>
      </c>
      <c r="N299" s="29" t="str">
        <f>IFERROR(IF(Table57[[#This Row],[Out]]&gt;$C$3,(Table57[[#This Row],[Out]])-($C$3),""),"")</f>
        <v/>
      </c>
    </row>
    <row r="300" spans="1:14" hidden="1" x14ac:dyDescent="0.25">
      <c r="A300" s="23" t="str">
        <f>Table57[[#This Row],[No.]]&amp;Table57[[#This Row],[Date]]</f>
        <v>00</v>
      </c>
      <c r="B300" s="22">
        <f>'Unique Dates'!A297</f>
        <v>0</v>
      </c>
      <c r="C300" s="22" t="e" cm="1">
        <f t="array" ref="C300">_xlfn.XLOOKUP(Table57[[#This Row],[No.]],Table2[[#All],[CODE]],Table2[[#All],[NAME]],,0,1)</f>
        <v>#N/A</v>
      </c>
      <c r="D300" s="6">
        <f>'Unique Dates'!B297</f>
        <v>0</v>
      </c>
      <c r="E300" t="str">
        <f>TEXT(Table57[[#This Row],[Date]],"dddd")</f>
        <v>Saturday</v>
      </c>
      <c r="F300" s="25" t="str" cm="1">
        <f t="array" ref="F300">IFERROR(_xlfn.XLOOKUP(Table57[[#This Row],[Code]],Table1[[#All],[Code]],Table1[[#All],[Time]],,0,1),"")</f>
        <v/>
      </c>
      <c r="G300" s="25" t="str" cm="1">
        <f t="array" ref="G300">IFERROR(_xlfn.XLOOKUP(Table57[[#This Row],[Code]],Table1[[#All],[Code]],Table1[[#All],[Time]],,0,-1),"")</f>
        <v/>
      </c>
      <c r="H300" s="23" t="str">
        <f>IFERROR(IF(Table57[[#This Row],[Out]]&gt;=Table57[[#This Row],[In]],Table57[[#This Row],[Out]]-Table57[[#This Row],[In]],(0.5+Table57[[#This Row],[Out]])-Table57[[#This Row],[In]]),"")</f>
        <v/>
      </c>
      <c r="I300" s="31" t="str">
        <f>IFERROR(IF(Table57[[#This Row],[In]]&gt;$C$2,Table57[[#This Row],[In]]-$C$2,""),"")</f>
        <v/>
      </c>
      <c r="J300" s="31" t="str">
        <f>IF(Table57[[#This Row],[Work_Hours]]=0,"",(IF(Table57[[#This Row],[Out]]&lt;$C$3,$C$3-Table57[[#This Row],[Out]],"")))</f>
        <v/>
      </c>
      <c r="K300" s="32" t="str">
        <f>IFERROR(Table57[[#This Row],[In]]+$C$1,"")</f>
        <v/>
      </c>
      <c r="L300" s="29"/>
      <c r="M300" s="31" t="str">
        <f>IF($C$2&gt;Table57[[#This Row],[In]],$C$2-Table57[[#This Row],[In]],"")</f>
        <v/>
      </c>
      <c r="N300" s="29" t="str">
        <f>IFERROR(IF(Table57[[#This Row],[Out]]&gt;$C$3,(Table57[[#This Row],[Out]])-($C$3),""),"")</f>
        <v/>
      </c>
    </row>
    <row r="301" spans="1:14" hidden="1" x14ac:dyDescent="0.25">
      <c r="A301" s="23" t="str">
        <f>Table57[[#This Row],[No.]]&amp;Table57[[#This Row],[Date]]</f>
        <v>00</v>
      </c>
      <c r="B301" s="22">
        <f>'Unique Dates'!A298</f>
        <v>0</v>
      </c>
      <c r="C301" s="22" t="e" cm="1">
        <f t="array" ref="C301">_xlfn.XLOOKUP(Table57[[#This Row],[No.]],Table2[[#All],[CODE]],Table2[[#All],[NAME]],,0,1)</f>
        <v>#N/A</v>
      </c>
      <c r="D301" s="6">
        <f>'Unique Dates'!B298</f>
        <v>0</v>
      </c>
      <c r="E301" t="str">
        <f>TEXT(Table57[[#This Row],[Date]],"dddd")</f>
        <v>Saturday</v>
      </c>
      <c r="F301" s="25" t="str" cm="1">
        <f t="array" ref="F301">IFERROR(_xlfn.XLOOKUP(Table57[[#This Row],[Code]],Table1[[#All],[Code]],Table1[[#All],[Time]],,0,1),"")</f>
        <v/>
      </c>
      <c r="G301" s="25" t="str" cm="1">
        <f t="array" ref="G301">IFERROR(_xlfn.XLOOKUP(Table57[[#This Row],[Code]],Table1[[#All],[Code]],Table1[[#All],[Time]],,0,-1),"")</f>
        <v/>
      </c>
      <c r="H301" s="23" t="str">
        <f>IFERROR(IF(Table57[[#This Row],[Out]]&gt;=Table57[[#This Row],[In]],Table57[[#This Row],[Out]]-Table57[[#This Row],[In]],(0.5+Table57[[#This Row],[Out]])-Table57[[#This Row],[In]]),"")</f>
        <v/>
      </c>
      <c r="I301" s="31" t="str">
        <f>IFERROR(IF(Table57[[#This Row],[In]]&gt;$C$2,Table57[[#This Row],[In]]-$C$2,""),"")</f>
        <v/>
      </c>
      <c r="J301" s="31" t="str">
        <f>IF(Table57[[#This Row],[Work_Hours]]=0,"",(IF(Table57[[#This Row],[Out]]&lt;$C$3,$C$3-Table57[[#This Row],[Out]],"")))</f>
        <v/>
      </c>
      <c r="K301" s="32" t="str">
        <f>IFERROR(Table57[[#This Row],[In]]+$C$1,"")</f>
        <v/>
      </c>
      <c r="L301" s="29"/>
      <c r="M301" s="31" t="str">
        <f>IF($C$2&gt;Table57[[#This Row],[In]],$C$2-Table57[[#This Row],[In]],"")</f>
        <v/>
      </c>
      <c r="N301" s="29" t="str">
        <f>IFERROR(IF(Table57[[#This Row],[Out]]&gt;$C$3,(Table57[[#This Row],[Out]])-($C$3),""),"")</f>
        <v/>
      </c>
    </row>
    <row r="302" spans="1:14" hidden="1" x14ac:dyDescent="0.25">
      <c r="A302" s="23" t="str">
        <f>Table57[[#This Row],[No.]]&amp;Table57[[#This Row],[Date]]</f>
        <v>00</v>
      </c>
      <c r="B302" s="22">
        <f>'Unique Dates'!A299</f>
        <v>0</v>
      </c>
      <c r="C302" s="22" t="e" cm="1">
        <f t="array" ref="C302">_xlfn.XLOOKUP(Table57[[#This Row],[No.]],Table2[[#All],[CODE]],Table2[[#All],[NAME]],,0,1)</f>
        <v>#N/A</v>
      </c>
      <c r="D302" s="6">
        <f>'Unique Dates'!B299</f>
        <v>0</v>
      </c>
      <c r="E302" t="str">
        <f>TEXT(Table57[[#This Row],[Date]],"dddd")</f>
        <v>Saturday</v>
      </c>
      <c r="F302" s="25" t="str" cm="1">
        <f t="array" ref="F302">IFERROR(_xlfn.XLOOKUP(Table57[[#This Row],[Code]],Table1[[#All],[Code]],Table1[[#All],[Time]],,0,1),"")</f>
        <v/>
      </c>
      <c r="G302" s="25" t="str" cm="1">
        <f t="array" ref="G302">IFERROR(_xlfn.XLOOKUP(Table57[[#This Row],[Code]],Table1[[#All],[Code]],Table1[[#All],[Time]],,0,-1),"")</f>
        <v/>
      </c>
      <c r="H302" s="23" t="str">
        <f>IFERROR(IF(Table57[[#This Row],[Out]]&gt;=Table57[[#This Row],[In]],Table57[[#This Row],[Out]]-Table57[[#This Row],[In]],(0.5+Table57[[#This Row],[Out]])-Table57[[#This Row],[In]]),"")</f>
        <v/>
      </c>
      <c r="I302" s="31" t="str">
        <f>IFERROR(IF(Table57[[#This Row],[In]]&gt;$C$2,Table57[[#This Row],[In]]-$C$2,""),"")</f>
        <v/>
      </c>
      <c r="J302" s="31" t="str">
        <f>IF(Table57[[#This Row],[Work_Hours]]=0,"",(IF(Table57[[#This Row],[Out]]&lt;$C$3,$C$3-Table57[[#This Row],[Out]],"")))</f>
        <v/>
      </c>
      <c r="K302" s="32" t="str">
        <f>IFERROR(Table57[[#This Row],[In]]+$C$1,"")</f>
        <v/>
      </c>
      <c r="L302" s="29"/>
      <c r="M302" s="31" t="str">
        <f>IF($C$2&gt;Table57[[#This Row],[In]],$C$2-Table57[[#This Row],[In]],"")</f>
        <v/>
      </c>
      <c r="N302" s="29" t="str">
        <f>IFERROR(IF(Table57[[#This Row],[Out]]&gt;$C$3,(Table57[[#This Row],[Out]])-($C$3),""),"")</f>
        <v/>
      </c>
    </row>
    <row r="303" spans="1:14" hidden="1" x14ac:dyDescent="0.25">
      <c r="A303" s="23" t="str">
        <f>Table57[[#This Row],[No.]]&amp;Table57[[#This Row],[Date]]</f>
        <v>00</v>
      </c>
      <c r="B303" s="22">
        <f>'Unique Dates'!A300</f>
        <v>0</v>
      </c>
      <c r="C303" s="22" t="e" cm="1">
        <f t="array" ref="C303">_xlfn.XLOOKUP(Table57[[#This Row],[No.]],Table2[[#All],[CODE]],Table2[[#All],[NAME]],,0,1)</f>
        <v>#N/A</v>
      </c>
      <c r="D303" s="6">
        <f>'Unique Dates'!B300</f>
        <v>0</v>
      </c>
      <c r="E303" t="str">
        <f>TEXT(Table57[[#This Row],[Date]],"dddd")</f>
        <v>Saturday</v>
      </c>
      <c r="F303" s="25" t="str" cm="1">
        <f t="array" ref="F303">IFERROR(_xlfn.XLOOKUP(Table57[[#This Row],[Code]],Table1[[#All],[Code]],Table1[[#All],[Time]],,0,1),"")</f>
        <v/>
      </c>
      <c r="G303" s="25" t="str" cm="1">
        <f t="array" ref="G303">IFERROR(_xlfn.XLOOKUP(Table57[[#This Row],[Code]],Table1[[#All],[Code]],Table1[[#All],[Time]],,0,-1),"")</f>
        <v/>
      </c>
      <c r="H303" s="23" t="str">
        <f>IFERROR(IF(Table57[[#This Row],[Out]]&gt;=Table57[[#This Row],[In]],Table57[[#This Row],[Out]]-Table57[[#This Row],[In]],(0.5+Table57[[#This Row],[Out]])-Table57[[#This Row],[In]]),"")</f>
        <v/>
      </c>
      <c r="I303" s="31" t="str">
        <f>IFERROR(IF(Table57[[#This Row],[In]]&gt;$C$2,Table57[[#This Row],[In]]-$C$2,""),"")</f>
        <v/>
      </c>
      <c r="J303" s="31" t="str">
        <f>IF(Table57[[#This Row],[Work_Hours]]=0,"",(IF(Table57[[#This Row],[Out]]&lt;$C$3,$C$3-Table57[[#This Row],[Out]],"")))</f>
        <v/>
      </c>
      <c r="K303" s="32" t="str">
        <f>IFERROR(Table57[[#This Row],[In]]+$C$1,"")</f>
        <v/>
      </c>
      <c r="L303" s="29"/>
      <c r="M303" s="31" t="str">
        <f>IF($C$2&gt;Table57[[#This Row],[In]],$C$2-Table57[[#This Row],[In]],"")</f>
        <v/>
      </c>
      <c r="N303" s="29" t="str">
        <f>IFERROR(IF(Table57[[#This Row],[Out]]&gt;$C$3,(Table57[[#This Row],[Out]])-($C$3),""),"")</f>
        <v/>
      </c>
    </row>
    <row r="304" spans="1:14" hidden="1" x14ac:dyDescent="0.25">
      <c r="A304" s="23" t="str">
        <f>Table57[[#This Row],[No.]]&amp;Table57[[#This Row],[Date]]</f>
        <v>00</v>
      </c>
      <c r="B304" s="22">
        <f>'Unique Dates'!A301</f>
        <v>0</v>
      </c>
      <c r="C304" s="22" t="e" cm="1">
        <f t="array" ref="C304">_xlfn.XLOOKUP(Table57[[#This Row],[No.]],Table2[[#All],[CODE]],Table2[[#All],[NAME]],,0,1)</f>
        <v>#N/A</v>
      </c>
      <c r="D304" s="6">
        <f>'Unique Dates'!B301</f>
        <v>0</v>
      </c>
      <c r="E304" t="str">
        <f>TEXT(Table57[[#This Row],[Date]],"dddd")</f>
        <v>Saturday</v>
      </c>
      <c r="F304" s="25" t="str" cm="1">
        <f t="array" ref="F304">IFERROR(_xlfn.XLOOKUP(Table57[[#This Row],[Code]],Table1[[#All],[Code]],Table1[[#All],[Time]],,0,1),"")</f>
        <v/>
      </c>
      <c r="G304" s="25" t="str" cm="1">
        <f t="array" ref="G304">IFERROR(_xlfn.XLOOKUP(Table57[[#This Row],[Code]],Table1[[#All],[Code]],Table1[[#All],[Time]],,0,-1),"")</f>
        <v/>
      </c>
      <c r="H304" s="23" t="str">
        <f>IFERROR(IF(Table57[[#This Row],[Out]]&gt;=Table57[[#This Row],[In]],Table57[[#This Row],[Out]]-Table57[[#This Row],[In]],(0.5+Table57[[#This Row],[Out]])-Table57[[#This Row],[In]]),"")</f>
        <v/>
      </c>
      <c r="I304" s="31" t="str">
        <f>IFERROR(IF(Table57[[#This Row],[In]]&gt;$C$2,Table57[[#This Row],[In]]-$C$2,""),"")</f>
        <v/>
      </c>
      <c r="J304" s="31" t="str">
        <f>IF(Table57[[#This Row],[Work_Hours]]=0,"",(IF(Table57[[#This Row],[Out]]&lt;$C$3,$C$3-Table57[[#This Row],[Out]],"")))</f>
        <v/>
      </c>
      <c r="K304" s="32" t="str">
        <f>IFERROR(Table57[[#This Row],[In]]+$C$1,"")</f>
        <v/>
      </c>
      <c r="L304" s="29"/>
      <c r="M304" s="31" t="str">
        <f>IF($C$2&gt;Table57[[#This Row],[In]],$C$2-Table57[[#This Row],[In]],"")</f>
        <v/>
      </c>
      <c r="N304" s="29" t="str">
        <f>IFERROR(IF(Table57[[#This Row],[Out]]&gt;$C$3,(Table57[[#This Row],[Out]])-($C$3),""),"")</f>
        <v/>
      </c>
    </row>
    <row r="305" spans="1:14" hidden="1" x14ac:dyDescent="0.25">
      <c r="A305" s="23" t="str">
        <f>Table57[[#This Row],[No.]]&amp;Table57[[#This Row],[Date]]</f>
        <v>00</v>
      </c>
      <c r="B305" s="22">
        <f>'Unique Dates'!A302</f>
        <v>0</v>
      </c>
      <c r="C305" s="22" t="e" cm="1">
        <f t="array" ref="C305">_xlfn.XLOOKUP(Table57[[#This Row],[No.]],Table2[[#All],[CODE]],Table2[[#All],[NAME]],,0,1)</f>
        <v>#N/A</v>
      </c>
      <c r="D305" s="6">
        <f>'Unique Dates'!B302</f>
        <v>0</v>
      </c>
      <c r="E305" t="str">
        <f>TEXT(Table57[[#This Row],[Date]],"dddd")</f>
        <v>Saturday</v>
      </c>
      <c r="F305" s="25" t="str" cm="1">
        <f t="array" ref="F305">IFERROR(_xlfn.XLOOKUP(Table57[[#This Row],[Code]],Table1[[#All],[Code]],Table1[[#All],[Time]],,0,1),"")</f>
        <v/>
      </c>
      <c r="G305" s="25" t="str" cm="1">
        <f t="array" ref="G305">IFERROR(_xlfn.XLOOKUP(Table57[[#This Row],[Code]],Table1[[#All],[Code]],Table1[[#All],[Time]],,0,-1),"")</f>
        <v/>
      </c>
      <c r="H305" s="23" t="str">
        <f>IFERROR(IF(Table57[[#This Row],[Out]]&gt;=Table57[[#This Row],[In]],Table57[[#This Row],[Out]]-Table57[[#This Row],[In]],(0.5+Table57[[#This Row],[Out]])-Table57[[#This Row],[In]]),"")</f>
        <v/>
      </c>
      <c r="I305" s="31" t="str">
        <f>IFERROR(IF(Table57[[#This Row],[In]]&gt;$C$2,Table57[[#This Row],[In]]-$C$2,""),"")</f>
        <v/>
      </c>
      <c r="J305" s="31" t="str">
        <f>IF(Table57[[#This Row],[Work_Hours]]=0,"",(IF(Table57[[#This Row],[Out]]&lt;$C$3,$C$3-Table57[[#This Row],[Out]],"")))</f>
        <v/>
      </c>
      <c r="K305" s="32" t="str">
        <f>IFERROR(Table57[[#This Row],[In]]+$C$1,"")</f>
        <v/>
      </c>
      <c r="L305" s="29"/>
      <c r="M305" s="31" t="str">
        <f>IF($C$2&gt;Table57[[#This Row],[In]],$C$2-Table57[[#This Row],[In]],"")</f>
        <v/>
      </c>
      <c r="N305" s="29" t="str">
        <f>IFERROR(IF(Table57[[#This Row],[Out]]&gt;$C$3,(Table57[[#This Row],[Out]])-($C$3),""),"")</f>
        <v/>
      </c>
    </row>
    <row r="306" spans="1:14" hidden="1" x14ac:dyDescent="0.25">
      <c r="A306" s="23" t="str">
        <f>Table57[[#This Row],[No.]]&amp;Table57[[#This Row],[Date]]</f>
        <v>00</v>
      </c>
      <c r="B306" s="22">
        <f>'Unique Dates'!A303</f>
        <v>0</v>
      </c>
      <c r="C306" s="22" t="e" cm="1">
        <f t="array" ref="C306">_xlfn.XLOOKUP(Table57[[#This Row],[No.]],Table2[[#All],[CODE]],Table2[[#All],[NAME]],,0,1)</f>
        <v>#N/A</v>
      </c>
      <c r="D306" s="6">
        <f>'Unique Dates'!B303</f>
        <v>0</v>
      </c>
      <c r="E306" t="str">
        <f>TEXT(Table57[[#This Row],[Date]],"dddd")</f>
        <v>Saturday</v>
      </c>
      <c r="F306" s="25" t="str" cm="1">
        <f t="array" ref="F306">IFERROR(_xlfn.XLOOKUP(Table57[[#This Row],[Code]],Table1[[#All],[Code]],Table1[[#All],[Time]],,0,1),"")</f>
        <v/>
      </c>
      <c r="G306" s="25" t="str" cm="1">
        <f t="array" ref="G306">IFERROR(_xlfn.XLOOKUP(Table57[[#This Row],[Code]],Table1[[#All],[Code]],Table1[[#All],[Time]],,0,-1),"")</f>
        <v/>
      </c>
      <c r="H306" s="23" t="str">
        <f>IFERROR(IF(Table57[[#This Row],[Out]]&gt;=Table57[[#This Row],[In]],Table57[[#This Row],[Out]]-Table57[[#This Row],[In]],(0.5+Table57[[#This Row],[Out]])-Table57[[#This Row],[In]]),"")</f>
        <v/>
      </c>
      <c r="I306" s="31" t="str">
        <f>IFERROR(IF(Table57[[#This Row],[In]]&gt;$C$2,Table57[[#This Row],[In]]-$C$2,""),"")</f>
        <v/>
      </c>
      <c r="J306" s="31" t="str">
        <f>IF(Table57[[#This Row],[Work_Hours]]=0,"",(IF(Table57[[#This Row],[Out]]&lt;$C$3,$C$3-Table57[[#This Row],[Out]],"")))</f>
        <v/>
      </c>
      <c r="K306" s="32" t="str">
        <f>IFERROR(Table57[[#This Row],[In]]+$C$1,"")</f>
        <v/>
      </c>
      <c r="L306" s="29"/>
      <c r="M306" s="31" t="str">
        <f>IF($C$2&gt;Table57[[#This Row],[In]],$C$2-Table57[[#This Row],[In]],"")</f>
        <v/>
      </c>
      <c r="N306" s="29" t="str">
        <f>IFERROR(IF(Table57[[#This Row],[Out]]&gt;$C$3,(Table57[[#This Row],[Out]])-($C$3),""),"")</f>
        <v/>
      </c>
    </row>
    <row r="307" spans="1:14" hidden="1" x14ac:dyDescent="0.25">
      <c r="A307" s="23" t="str">
        <f>Table57[[#This Row],[No.]]&amp;Table57[[#This Row],[Date]]</f>
        <v>00</v>
      </c>
      <c r="B307" s="22">
        <f>'Unique Dates'!A304</f>
        <v>0</v>
      </c>
      <c r="C307" s="22" t="e" cm="1">
        <f t="array" ref="C307">_xlfn.XLOOKUP(Table57[[#This Row],[No.]],Table2[[#All],[CODE]],Table2[[#All],[NAME]],,0,1)</f>
        <v>#N/A</v>
      </c>
      <c r="D307" s="6">
        <f>'Unique Dates'!B304</f>
        <v>0</v>
      </c>
      <c r="E307" t="str">
        <f>TEXT(Table57[[#This Row],[Date]],"dddd")</f>
        <v>Saturday</v>
      </c>
      <c r="F307" s="25" t="str" cm="1">
        <f t="array" ref="F307">IFERROR(_xlfn.XLOOKUP(Table57[[#This Row],[Code]],Table1[[#All],[Code]],Table1[[#All],[Time]],,0,1),"")</f>
        <v/>
      </c>
      <c r="G307" s="25" t="str" cm="1">
        <f t="array" ref="G307">IFERROR(_xlfn.XLOOKUP(Table57[[#This Row],[Code]],Table1[[#All],[Code]],Table1[[#All],[Time]],,0,-1),"")</f>
        <v/>
      </c>
      <c r="H307" s="23" t="str">
        <f>IFERROR(IF(Table57[[#This Row],[Out]]&gt;=Table57[[#This Row],[In]],Table57[[#This Row],[Out]]-Table57[[#This Row],[In]],(0.5+Table57[[#This Row],[Out]])-Table57[[#This Row],[In]]),"")</f>
        <v/>
      </c>
      <c r="I307" s="31" t="str">
        <f>IFERROR(IF(Table57[[#This Row],[In]]&gt;$C$2,Table57[[#This Row],[In]]-$C$2,""),"")</f>
        <v/>
      </c>
      <c r="J307" s="31" t="str">
        <f>IF(Table57[[#This Row],[Work_Hours]]=0,"",(IF(Table57[[#This Row],[Out]]&lt;$C$3,$C$3-Table57[[#This Row],[Out]],"")))</f>
        <v/>
      </c>
      <c r="K307" s="32" t="str">
        <f>IFERROR(Table57[[#This Row],[In]]+$C$1,"")</f>
        <v/>
      </c>
      <c r="L307" s="29"/>
      <c r="M307" s="31" t="str">
        <f>IF($C$2&gt;Table57[[#This Row],[In]],$C$2-Table57[[#This Row],[In]],"")</f>
        <v/>
      </c>
      <c r="N307" s="29" t="str">
        <f>IFERROR(IF(Table57[[#This Row],[Out]]&gt;$C$3,(Table57[[#This Row],[Out]])-($C$3),""),"")</f>
        <v/>
      </c>
    </row>
    <row r="308" spans="1:14" hidden="1" x14ac:dyDescent="0.25">
      <c r="A308" s="23" t="str">
        <f>Table57[[#This Row],[No.]]&amp;Table57[[#This Row],[Date]]</f>
        <v>00</v>
      </c>
      <c r="B308" s="22">
        <f>'Unique Dates'!A305</f>
        <v>0</v>
      </c>
      <c r="C308" s="22" t="e" cm="1">
        <f t="array" ref="C308">_xlfn.XLOOKUP(Table57[[#This Row],[No.]],Table2[[#All],[CODE]],Table2[[#All],[NAME]],,0,1)</f>
        <v>#N/A</v>
      </c>
      <c r="D308" s="6">
        <f>'Unique Dates'!B305</f>
        <v>0</v>
      </c>
      <c r="E308" t="str">
        <f>TEXT(Table57[[#This Row],[Date]],"dddd")</f>
        <v>Saturday</v>
      </c>
      <c r="F308" s="25" t="str" cm="1">
        <f t="array" ref="F308">IFERROR(_xlfn.XLOOKUP(Table57[[#This Row],[Code]],Table1[[#All],[Code]],Table1[[#All],[Time]],,0,1),"")</f>
        <v/>
      </c>
      <c r="G308" s="25" t="str" cm="1">
        <f t="array" ref="G308">IFERROR(_xlfn.XLOOKUP(Table57[[#This Row],[Code]],Table1[[#All],[Code]],Table1[[#All],[Time]],,0,-1),"")</f>
        <v/>
      </c>
      <c r="H308" s="23" t="str">
        <f>IFERROR(IF(Table57[[#This Row],[Out]]&gt;=Table57[[#This Row],[In]],Table57[[#This Row],[Out]]-Table57[[#This Row],[In]],(0.5+Table57[[#This Row],[Out]])-Table57[[#This Row],[In]]),"")</f>
        <v/>
      </c>
      <c r="I308" s="31" t="str">
        <f>IFERROR(IF(Table57[[#This Row],[In]]&gt;$C$2,Table57[[#This Row],[In]]-$C$2,""),"")</f>
        <v/>
      </c>
      <c r="J308" s="31" t="str">
        <f>IF(Table57[[#This Row],[Work_Hours]]=0,"",(IF(Table57[[#This Row],[Out]]&lt;$C$3,$C$3-Table57[[#This Row],[Out]],"")))</f>
        <v/>
      </c>
      <c r="K308" s="32" t="str">
        <f>IFERROR(Table57[[#This Row],[In]]+$C$1,"")</f>
        <v/>
      </c>
      <c r="L308" s="29"/>
      <c r="M308" s="31" t="str">
        <f>IF($C$2&gt;Table57[[#This Row],[In]],$C$2-Table57[[#This Row],[In]],"")</f>
        <v/>
      </c>
      <c r="N308" s="29" t="str">
        <f>IFERROR(IF(Table57[[#This Row],[Out]]&gt;$C$3,(Table57[[#This Row],[Out]])-($C$3),""),"")</f>
        <v/>
      </c>
    </row>
    <row r="309" spans="1:14" hidden="1" x14ac:dyDescent="0.25">
      <c r="A309" s="23" t="str">
        <f>Table57[[#This Row],[No.]]&amp;Table57[[#This Row],[Date]]</f>
        <v>00</v>
      </c>
      <c r="B309" s="22">
        <f>'Unique Dates'!A306</f>
        <v>0</v>
      </c>
      <c r="C309" s="22" t="e" cm="1">
        <f t="array" ref="C309">_xlfn.XLOOKUP(Table57[[#This Row],[No.]],Table2[[#All],[CODE]],Table2[[#All],[NAME]],,0,1)</f>
        <v>#N/A</v>
      </c>
      <c r="D309" s="6">
        <f>'Unique Dates'!B306</f>
        <v>0</v>
      </c>
      <c r="E309" t="str">
        <f>TEXT(Table57[[#This Row],[Date]],"dddd")</f>
        <v>Saturday</v>
      </c>
      <c r="F309" s="25" t="str" cm="1">
        <f t="array" ref="F309">IFERROR(_xlfn.XLOOKUP(Table57[[#This Row],[Code]],Table1[[#All],[Code]],Table1[[#All],[Time]],,0,1),"")</f>
        <v/>
      </c>
      <c r="G309" s="25" t="str" cm="1">
        <f t="array" ref="G309">IFERROR(_xlfn.XLOOKUP(Table57[[#This Row],[Code]],Table1[[#All],[Code]],Table1[[#All],[Time]],,0,-1),"")</f>
        <v/>
      </c>
      <c r="H309" s="23" t="str">
        <f>IFERROR(IF(Table57[[#This Row],[Out]]&gt;=Table57[[#This Row],[In]],Table57[[#This Row],[Out]]-Table57[[#This Row],[In]],(0.5+Table57[[#This Row],[Out]])-Table57[[#This Row],[In]]),"")</f>
        <v/>
      </c>
      <c r="I309" s="31" t="str">
        <f>IFERROR(IF(Table57[[#This Row],[In]]&gt;$C$2,Table57[[#This Row],[In]]-$C$2,""),"")</f>
        <v/>
      </c>
      <c r="J309" s="31" t="str">
        <f>IF(Table57[[#This Row],[Work_Hours]]=0,"",(IF(Table57[[#This Row],[Out]]&lt;$C$3,$C$3-Table57[[#This Row],[Out]],"")))</f>
        <v/>
      </c>
      <c r="K309" s="32" t="str">
        <f>IFERROR(Table57[[#This Row],[In]]+$C$1,"")</f>
        <v/>
      </c>
      <c r="L309" s="29"/>
      <c r="M309" s="31" t="str">
        <f>IF($C$2&gt;Table57[[#This Row],[In]],$C$2-Table57[[#This Row],[In]],"")</f>
        <v/>
      </c>
      <c r="N309" s="29" t="str">
        <f>IFERROR(IF(Table57[[#This Row],[Out]]&gt;$C$3,(Table57[[#This Row],[Out]])-($C$3),""),"")</f>
        <v/>
      </c>
    </row>
    <row r="310" spans="1:14" hidden="1" x14ac:dyDescent="0.25">
      <c r="A310" s="23" t="str">
        <f>Table57[[#This Row],[No.]]&amp;Table57[[#This Row],[Date]]</f>
        <v>00</v>
      </c>
      <c r="B310" s="22">
        <f>'Unique Dates'!A307</f>
        <v>0</v>
      </c>
      <c r="C310" s="22" t="e" cm="1">
        <f t="array" ref="C310">_xlfn.XLOOKUP(Table57[[#This Row],[No.]],Table2[[#All],[CODE]],Table2[[#All],[NAME]],,0,1)</f>
        <v>#N/A</v>
      </c>
      <c r="D310" s="6">
        <f>'Unique Dates'!B307</f>
        <v>0</v>
      </c>
      <c r="E310" t="str">
        <f>TEXT(Table57[[#This Row],[Date]],"dddd")</f>
        <v>Saturday</v>
      </c>
      <c r="F310" s="25" t="str" cm="1">
        <f t="array" ref="F310">IFERROR(_xlfn.XLOOKUP(Table57[[#This Row],[Code]],Table1[[#All],[Code]],Table1[[#All],[Time]],,0,1),"")</f>
        <v/>
      </c>
      <c r="G310" s="25" t="str" cm="1">
        <f t="array" ref="G310">IFERROR(_xlfn.XLOOKUP(Table57[[#This Row],[Code]],Table1[[#All],[Code]],Table1[[#All],[Time]],,0,-1),"")</f>
        <v/>
      </c>
      <c r="H310" s="23" t="str">
        <f>IFERROR(IF(Table57[[#This Row],[Out]]&gt;=Table57[[#This Row],[In]],Table57[[#This Row],[Out]]-Table57[[#This Row],[In]],(0.5+Table57[[#This Row],[Out]])-Table57[[#This Row],[In]]),"")</f>
        <v/>
      </c>
      <c r="I310" s="31" t="str">
        <f>IFERROR(IF(Table57[[#This Row],[In]]&gt;$C$2,Table57[[#This Row],[In]]-$C$2,""),"")</f>
        <v/>
      </c>
      <c r="J310" s="31" t="str">
        <f>IF(Table57[[#This Row],[Work_Hours]]=0,"",(IF(Table57[[#This Row],[Out]]&lt;$C$3,$C$3-Table57[[#This Row],[Out]],"")))</f>
        <v/>
      </c>
      <c r="K310" s="32" t="str">
        <f>IFERROR(Table57[[#This Row],[In]]+$C$1,"")</f>
        <v/>
      </c>
      <c r="L310" s="29"/>
      <c r="M310" s="31" t="str">
        <f>IF($C$2&gt;Table57[[#This Row],[In]],$C$2-Table57[[#This Row],[In]],"")</f>
        <v/>
      </c>
      <c r="N310" s="29" t="str">
        <f>IFERROR(IF(Table57[[#This Row],[Out]]&gt;$C$3,(Table57[[#This Row],[Out]])-($C$3),""),"")</f>
        <v/>
      </c>
    </row>
    <row r="311" spans="1:14" hidden="1" x14ac:dyDescent="0.25">
      <c r="A311" s="23" t="str">
        <f>Table57[[#This Row],[No.]]&amp;Table57[[#This Row],[Date]]</f>
        <v>00</v>
      </c>
      <c r="B311" s="22">
        <f>'Unique Dates'!A308</f>
        <v>0</v>
      </c>
      <c r="C311" s="22" t="e" cm="1">
        <f t="array" ref="C311">_xlfn.XLOOKUP(Table57[[#This Row],[No.]],Table2[[#All],[CODE]],Table2[[#All],[NAME]],,0,1)</f>
        <v>#N/A</v>
      </c>
      <c r="D311" s="6">
        <f>'Unique Dates'!B308</f>
        <v>0</v>
      </c>
      <c r="E311" t="str">
        <f>TEXT(Table57[[#This Row],[Date]],"dddd")</f>
        <v>Saturday</v>
      </c>
      <c r="F311" s="25" t="str" cm="1">
        <f t="array" ref="F311">IFERROR(_xlfn.XLOOKUP(Table57[[#This Row],[Code]],Table1[[#All],[Code]],Table1[[#All],[Time]],,0,1),"")</f>
        <v/>
      </c>
      <c r="G311" s="25" t="str" cm="1">
        <f t="array" ref="G311">IFERROR(_xlfn.XLOOKUP(Table57[[#This Row],[Code]],Table1[[#All],[Code]],Table1[[#All],[Time]],,0,-1),"")</f>
        <v/>
      </c>
      <c r="H311" s="23" t="str">
        <f>IFERROR(IF(Table57[[#This Row],[Out]]&gt;=Table57[[#This Row],[In]],Table57[[#This Row],[Out]]-Table57[[#This Row],[In]],(0.5+Table57[[#This Row],[Out]])-Table57[[#This Row],[In]]),"")</f>
        <v/>
      </c>
      <c r="I311" s="31" t="str">
        <f>IFERROR(IF(Table57[[#This Row],[In]]&gt;$C$2,Table57[[#This Row],[In]]-$C$2,""),"")</f>
        <v/>
      </c>
      <c r="J311" s="31" t="str">
        <f>IF(Table57[[#This Row],[Work_Hours]]=0,"",(IF(Table57[[#This Row],[Out]]&lt;$C$3,$C$3-Table57[[#This Row],[Out]],"")))</f>
        <v/>
      </c>
      <c r="K311" s="32" t="str">
        <f>IFERROR(Table57[[#This Row],[In]]+$C$1,"")</f>
        <v/>
      </c>
      <c r="L311" s="29"/>
      <c r="M311" s="31" t="str">
        <f>IF($C$2&gt;Table57[[#This Row],[In]],$C$2-Table57[[#This Row],[In]],"")</f>
        <v/>
      </c>
      <c r="N311" s="29" t="str">
        <f>IFERROR(IF(Table57[[#This Row],[Out]]&gt;$C$3,(Table57[[#This Row],[Out]])-($C$3),""),"")</f>
        <v/>
      </c>
    </row>
    <row r="312" spans="1:14" hidden="1" x14ac:dyDescent="0.25">
      <c r="A312" s="23" t="str">
        <f>Table57[[#This Row],[No.]]&amp;Table57[[#This Row],[Date]]</f>
        <v>00</v>
      </c>
      <c r="B312" s="22">
        <f>'Unique Dates'!A309</f>
        <v>0</v>
      </c>
      <c r="C312" s="22" t="e" cm="1">
        <f t="array" ref="C312">_xlfn.XLOOKUP(Table57[[#This Row],[No.]],Table2[[#All],[CODE]],Table2[[#All],[NAME]],,0,1)</f>
        <v>#N/A</v>
      </c>
      <c r="D312" s="6">
        <f>'Unique Dates'!B309</f>
        <v>0</v>
      </c>
      <c r="E312" t="str">
        <f>TEXT(Table57[[#This Row],[Date]],"dddd")</f>
        <v>Saturday</v>
      </c>
      <c r="F312" s="25" t="str" cm="1">
        <f t="array" ref="F312">IFERROR(_xlfn.XLOOKUP(Table57[[#This Row],[Code]],Table1[[#All],[Code]],Table1[[#All],[Time]],,0,1),"")</f>
        <v/>
      </c>
      <c r="G312" s="25" t="str" cm="1">
        <f t="array" ref="G312">IFERROR(_xlfn.XLOOKUP(Table57[[#This Row],[Code]],Table1[[#All],[Code]],Table1[[#All],[Time]],,0,-1),"")</f>
        <v/>
      </c>
      <c r="H312" s="23" t="str">
        <f>IFERROR(IF(Table57[[#This Row],[Out]]&gt;=Table57[[#This Row],[In]],Table57[[#This Row],[Out]]-Table57[[#This Row],[In]],(0.5+Table57[[#This Row],[Out]])-Table57[[#This Row],[In]]),"")</f>
        <v/>
      </c>
      <c r="I312" s="31" t="str">
        <f>IFERROR(IF(Table57[[#This Row],[In]]&gt;$C$2,Table57[[#This Row],[In]]-$C$2,""),"")</f>
        <v/>
      </c>
      <c r="J312" s="31" t="str">
        <f>IF(Table57[[#This Row],[Work_Hours]]=0,"",(IF(Table57[[#This Row],[Out]]&lt;$C$3,$C$3-Table57[[#This Row],[Out]],"")))</f>
        <v/>
      </c>
      <c r="K312" s="32" t="str">
        <f>IFERROR(Table57[[#This Row],[In]]+$C$1,"")</f>
        <v/>
      </c>
      <c r="L312" s="29"/>
      <c r="M312" s="31" t="str">
        <f>IF($C$2&gt;Table57[[#This Row],[In]],$C$2-Table57[[#This Row],[In]],"")</f>
        <v/>
      </c>
      <c r="N312" s="29" t="str">
        <f>IFERROR(IF(Table57[[#This Row],[Out]]&gt;$C$3,(Table57[[#This Row],[Out]])-($C$3),""),"")</f>
        <v/>
      </c>
    </row>
    <row r="313" spans="1:14" hidden="1" x14ac:dyDescent="0.25">
      <c r="A313" s="23" t="str">
        <f>Table57[[#This Row],[No.]]&amp;Table57[[#This Row],[Date]]</f>
        <v>00</v>
      </c>
      <c r="B313" s="22">
        <f>'Unique Dates'!A310</f>
        <v>0</v>
      </c>
      <c r="C313" s="22" t="e" cm="1">
        <f t="array" ref="C313">_xlfn.XLOOKUP(Table57[[#This Row],[No.]],Table2[[#All],[CODE]],Table2[[#All],[NAME]],,0,1)</f>
        <v>#N/A</v>
      </c>
      <c r="D313" s="6">
        <f>'Unique Dates'!B310</f>
        <v>0</v>
      </c>
      <c r="E313" t="str">
        <f>TEXT(Table57[[#This Row],[Date]],"dddd")</f>
        <v>Saturday</v>
      </c>
      <c r="F313" s="25" t="str" cm="1">
        <f t="array" ref="F313">IFERROR(_xlfn.XLOOKUP(Table57[[#This Row],[Code]],Table1[[#All],[Code]],Table1[[#All],[Time]],,0,1),"")</f>
        <v/>
      </c>
      <c r="G313" s="25" t="str" cm="1">
        <f t="array" ref="G313">IFERROR(_xlfn.XLOOKUP(Table57[[#This Row],[Code]],Table1[[#All],[Code]],Table1[[#All],[Time]],,0,-1),"")</f>
        <v/>
      </c>
      <c r="H313" s="23" t="str">
        <f>IFERROR(IF(Table57[[#This Row],[Out]]&gt;=Table57[[#This Row],[In]],Table57[[#This Row],[Out]]-Table57[[#This Row],[In]],(0.5+Table57[[#This Row],[Out]])-Table57[[#This Row],[In]]),"")</f>
        <v/>
      </c>
      <c r="I313" s="31" t="str">
        <f>IFERROR(IF(Table57[[#This Row],[In]]&gt;$C$2,Table57[[#This Row],[In]]-$C$2,""),"")</f>
        <v/>
      </c>
      <c r="J313" s="31" t="str">
        <f>IF(Table57[[#This Row],[Work_Hours]]=0,"",(IF(Table57[[#This Row],[Out]]&lt;$C$3,$C$3-Table57[[#This Row],[Out]],"")))</f>
        <v/>
      </c>
      <c r="K313" s="32" t="str">
        <f>IFERROR(Table57[[#This Row],[In]]+$C$1,"")</f>
        <v/>
      </c>
      <c r="L313" s="29"/>
      <c r="M313" s="31" t="str">
        <f>IF($C$2&gt;Table57[[#This Row],[In]],$C$2-Table57[[#This Row],[In]],"")</f>
        <v/>
      </c>
      <c r="N313" s="29" t="str">
        <f>IFERROR(IF(Table57[[#This Row],[Out]]&gt;$C$3,(Table57[[#This Row],[Out]])-($C$3),""),"")</f>
        <v/>
      </c>
    </row>
    <row r="314" spans="1:14" hidden="1" x14ac:dyDescent="0.25">
      <c r="A314" s="23" t="str">
        <f>Table57[[#This Row],[No.]]&amp;Table57[[#This Row],[Date]]</f>
        <v>00</v>
      </c>
      <c r="B314" s="22">
        <f>'Unique Dates'!A311</f>
        <v>0</v>
      </c>
      <c r="C314" s="22" t="e" cm="1">
        <f t="array" ref="C314">_xlfn.XLOOKUP(Table57[[#This Row],[No.]],Table2[[#All],[CODE]],Table2[[#All],[NAME]],,0,1)</f>
        <v>#N/A</v>
      </c>
      <c r="D314" s="6">
        <f>'Unique Dates'!B311</f>
        <v>0</v>
      </c>
      <c r="E314" t="str">
        <f>TEXT(Table57[[#This Row],[Date]],"dddd")</f>
        <v>Saturday</v>
      </c>
      <c r="F314" s="25" t="str" cm="1">
        <f t="array" ref="F314">IFERROR(_xlfn.XLOOKUP(Table57[[#This Row],[Code]],Table1[[#All],[Code]],Table1[[#All],[Time]],,0,1),"")</f>
        <v/>
      </c>
      <c r="G314" s="25" t="str" cm="1">
        <f t="array" ref="G314">IFERROR(_xlfn.XLOOKUP(Table57[[#This Row],[Code]],Table1[[#All],[Code]],Table1[[#All],[Time]],,0,-1),"")</f>
        <v/>
      </c>
      <c r="H314" s="23" t="str">
        <f>IFERROR(IF(Table57[[#This Row],[Out]]&gt;=Table57[[#This Row],[In]],Table57[[#This Row],[Out]]-Table57[[#This Row],[In]],(0.5+Table57[[#This Row],[Out]])-Table57[[#This Row],[In]]),"")</f>
        <v/>
      </c>
      <c r="I314" s="31" t="str">
        <f>IFERROR(IF(Table57[[#This Row],[In]]&gt;$C$2,Table57[[#This Row],[In]]-$C$2,""),"")</f>
        <v/>
      </c>
      <c r="J314" s="31" t="str">
        <f>IF(Table57[[#This Row],[Work_Hours]]=0,"",(IF(Table57[[#This Row],[Out]]&lt;$C$3,$C$3-Table57[[#This Row],[Out]],"")))</f>
        <v/>
      </c>
      <c r="K314" s="32" t="str">
        <f>IFERROR(Table57[[#This Row],[In]]+$C$1,"")</f>
        <v/>
      </c>
      <c r="L314" s="29"/>
      <c r="M314" s="31" t="str">
        <f>IF($C$2&gt;Table57[[#This Row],[In]],$C$2-Table57[[#This Row],[In]],"")</f>
        <v/>
      </c>
      <c r="N314" s="29" t="str">
        <f>IFERROR(IF(Table57[[#This Row],[Out]]&gt;$C$3,(Table57[[#This Row],[Out]])-($C$3),""),"")</f>
        <v/>
      </c>
    </row>
    <row r="315" spans="1:14" hidden="1" x14ac:dyDescent="0.25">
      <c r="A315" s="23" t="str">
        <f>Table57[[#This Row],[No.]]&amp;Table57[[#This Row],[Date]]</f>
        <v>00</v>
      </c>
      <c r="B315" s="22">
        <f>'Unique Dates'!A312</f>
        <v>0</v>
      </c>
      <c r="C315" s="22" t="e" cm="1">
        <f t="array" ref="C315">_xlfn.XLOOKUP(Table57[[#This Row],[No.]],Table2[[#All],[CODE]],Table2[[#All],[NAME]],,0,1)</f>
        <v>#N/A</v>
      </c>
      <c r="D315" s="6">
        <f>'Unique Dates'!B312</f>
        <v>0</v>
      </c>
      <c r="E315" t="str">
        <f>TEXT(Table57[[#This Row],[Date]],"dddd")</f>
        <v>Saturday</v>
      </c>
      <c r="F315" s="25" t="str" cm="1">
        <f t="array" ref="F315">IFERROR(_xlfn.XLOOKUP(Table57[[#This Row],[Code]],Table1[[#All],[Code]],Table1[[#All],[Time]],,0,1),"")</f>
        <v/>
      </c>
      <c r="G315" s="25" t="str" cm="1">
        <f t="array" ref="G315">IFERROR(_xlfn.XLOOKUP(Table57[[#This Row],[Code]],Table1[[#All],[Code]],Table1[[#All],[Time]],,0,-1),"")</f>
        <v/>
      </c>
      <c r="H315" s="23" t="str">
        <f>IFERROR(IF(Table57[[#This Row],[Out]]&gt;=Table57[[#This Row],[In]],Table57[[#This Row],[Out]]-Table57[[#This Row],[In]],(0.5+Table57[[#This Row],[Out]])-Table57[[#This Row],[In]]),"")</f>
        <v/>
      </c>
      <c r="I315" s="31" t="str">
        <f>IFERROR(IF(Table57[[#This Row],[In]]&gt;$C$2,Table57[[#This Row],[In]]-$C$2,""),"")</f>
        <v/>
      </c>
      <c r="J315" s="31" t="str">
        <f>IF(Table57[[#This Row],[Work_Hours]]=0,"",(IF(Table57[[#This Row],[Out]]&lt;$C$3,$C$3-Table57[[#This Row],[Out]],"")))</f>
        <v/>
      </c>
      <c r="K315" s="32" t="str">
        <f>IFERROR(Table57[[#This Row],[In]]+$C$1,"")</f>
        <v/>
      </c>
      <c r="L315" s="29"/>
      <c r="M315" s="31" t="str">
        <f>IF($C$2&gt;Table57[[#This Row],[In]],$C$2-Table57[[#This Row],[In]],"")</f>
        <v/>
      </c>
      <c r="N315" s="29" t="str">
        <f>IFERROR(IF(Table57[[#This Row],[Out]]&gt;$C$3,(Table57[[#This Row],[Out]])-($C$3),""),"")</f>
        <v/>
      </c>
    </row>
    <row r="316" spans="1:14" hidden="1" x14ac:dyDescent="0.25">
      <c r="A316" s="23" t="str">
        <f>Table57[[#This Row],[No.]]&amp;Table57[[#This Row],[Date]]</f>
        <v>00</v>
      </c>
      <c r="B316" s="22">
        <f>'Unique Dates'!A313</f>
        <v>0</v>
      </c>
      <c r="C316" s="22" t="e" cm="1">
        <f t="array" ref="C316">_xlfn.XLOOKUP(Table57[[#This Row],[No.]],Table2[[#All],[CODE]],Table2[[#All],[NAME]],,0,1)</f>
        <v>#N/A</v>
      </c>
      <c r="D316" s="6">
        <f>'Unique Dates'!B313</f>
        <v>0</v>
      </c>
      <c r="E316" t="str">
        <f>TEXT(Table57[[#This Row],[Date]],"dddd")</f>
        <v>Saturday</v>
      </c>
      <c r="F316" s="25" t="str" cm="1">
        <f t="array" ref="F316">IFERROR(_xlfn.XLOOKUP(Table57[[#This Row],[Code]],Table1[[#All],[Code]],Table1[[#All],[Time]],,0,1),"")</f>
        <v/>
      </c>
      <c r="G316" s="25" t="str" cm="1">
        <f t="array" ref="G316">IFERROR(_xlfn.XLOOKUP(Table57[[#This Row],[Code]],Table1[[#All],[Code]],Table1[[#All],[Time]],,0,-1),"")</f>
        <v/>
      </c>
      <c r="H316" s="23" t="str">
        <f>IFERROR(IF(Table57[[#This Row],[Out]]&gt;=Table57[[#This Row],[In]],Table57[[#This Row],[Out]]-Table57[[#This Row],[In]],(0.5+Table57[[#This Row],[Out]])-Table57[[#This Row],[In]]),"")</f>
        <v/>
      </c>
      <c r="I316" s="31" t="str">
        <f>IFERROR(IF(Table57[[#This Row],[In]]&gt;$C$2,Table57[[#This Row],[In]]-$C$2,""),"")</f>
        <v/>
      </c>
      <c r="J316" s="31" t="str">
        <f>IF(Table57[[#This Row],[Work_Hours]]=0,"",(IF(Table57[[#This Row],[Out]]&lt;$C$3,$C$3-Table57[[#This Row],[Out]],"")))</f>
        <v/>
      </c>
      <c r="K316" s="32" t="str">
        <f>IFERROR(Table57[[#This Row],[In]]+$C$1,"")</f>
        <v/>
      </c>
      <c r="L316" s="29"/>
      <c r="M316" s="31" t="str">
        <f>IF($C$2&gt;Table57[[#This Row],[In]],$C$2-Table57[[#This Row],[In]],"")</f>
        <v/>
      </c>
      <c r="N316" s="29" t="str">
        <f>IFERROR(IF(Table57[[#This Row],[Out]]&gt;$C$3,(Table57[[#This Row],[Out]])-($C$3),""),"")</f>
        <v/>
      </c>
    </row>
    <row r="317" spans="1:14" hidden="1" x14ac:dyDescent="0.25">
      <c r="A317" s="23" t="str">
        <f>Table57[[#This Row],[No.]]&amp;Table57[[#This Row],[Date]]</f>
        <v>00</v>
      </c>
      <c r="B317" s="22">
        <f>'Unique Dates'!A314</f>
        <v>0</v>
      </c>
      <c r="C317" s="22" t="e" cm="1">
        <f t="array" ref="C317">_xlfn.XLOOKUP(Table57[[#This Row],[No.]],Table2[[#All],[CODE]],Table2[[#All],[NAME]],,0,1)</f>
        <v>#N/A</v>
      </c>
      <c r="D317" s="6">
        <f>'Unique Dates'!B314</f>
        <v>0</v>
      </c>
      <c r="E317" t="str">
        <f>TEXT(Table57[[#This Row],[Date]],"dddd")</f>
        <v>Saturday</v>
      </c>
      <c r="F317" s="25" t="str" cm="1">
        <f t="array" ref="F317">IFERROR(_xlfn.XLOOKUP(Table57[[#This Row],[Code]],Table1[[#All],[Code]],Table1[[#All],[Time]],,0,1),"")</f>
        <v/>
      </c>
      <c r="G317" s="25" t="str" cm="1">
        <f t="array" ref="G317">IFERROR(_xlfn.XLOOKUP(Table57[[#This Row],[Code]],Table1[[#All],[Code]],Table1[[#All],[Time]],,0,-1),"")</f>
        <v/>
      </c>
      <c r="H317" s="23" t="str">
        <f>IFERROR(IF(Table57[[#This Row],[Out]]&gt;=Table57[[#This Row],[In]],Table57[[#This Row],[Out]]-Table57[[#This Row],[In]],(0.5+Table57[[#This Row],[Out]])-Table57[[#This Row],[In]]),"")</f>
        <v/>
      </c>
      <c r="I317" s="31" t="str">
        <f>IFERROR(IF(Table57[[#This Row],[In]]&gt;$C$2,Table57[[#This Row],[In]]-$C$2,""),"")</f>
        <v/>
      </c>
      <c r="J317" s="31" t="str">
        <f>IF(Table57[[#This Row],[Work_Hours]]=0,"",(IF(Table57[[#This Row],[Out]]&lt;$C$3,$C$3-Table57[[#This Row],[Out]],"")))</f>
        <v/>
      </c>
      <c r="K317" s="32" t="str">
        <f>IFERROR(Table57[[#This Row],[In]]+$C$1,"")</f>
        <v/>
      </c>
      <c r="L317" s="29"/>
      <c r="M317" s="31" t="str">
        <f>IF($C$2&gt;Table57[[#This Row],[In]],$C$2-Table57[[#This Row],[In]],"")</f>
        <v/>
      </c>
      <c r="N317" s="29" t="str">
        <f>IFERROR(IF(Table57[[#This Row],[Out]]&gt;$C$3,(Table57[[#This Row],[Out]])-($C$3),""),"")</f>
        <v/>
      </c>
    </row>
    <row r="318" spans="1:14" hidden="1" x14ac:dyDescent="0.25">
      <c r="A318" s="23" t="str">
        <f>Table57[[#This Row],[No.]]&amp;Table57[[#This Row],[Date]]</f>
        <v>00</v>
      </c>
      <c r="B318" s="22">
        <f>'Unique Dates'!A315</f>
        <v>0</v>
      </c>
      <c r="C318" s="22" t="e" cm="1">
        <f t="array" ref="C318">_xlfn.XLOOKUP(Table57[[#This Row],[No.]],Table2[[#All],[CODE]],Table2[[#All],[NAME]],,0,1)</f>
        <v>#N/A</v>
      </c>
      <c r="D318" s="6">
        <f>'Unique Dates'!B315</f>
        <v>0</v>
      </c>
      <c r="E318" t="str">
        <f>TEXT(Table57[[#This Row],[Date]],"dddd")</f>
        <v>Saturday</v>
      </c>
      <c r="F318" s="25" t="str" cm="1">
        <f t="array" ref="F318">IFERROR(_xlfn.XLOOKUP(Table57[[#This Row],[Code]],Table1[[#All],[Code]],Table1[[#All],[Time]],,0,1),"")</f>
        <v/>
      </c>
      <c r="G318" s="25" t="str" cm="1">
        <f t="array" ref="G318">IFERROR(_xlfn.XLOOKUP(Table57[[#This Row],[Code]],Table1[[#All],[Code]],Table1[[#All],[Time]],,0,-1),"")</f>
        <v/>
      </c>
      <c r="H318" s="23" t="str">
        <f>IFERROR(IF(Table57[[#This Row],[Out]]&gt;=Table57[[#This Row],[In]],Table57[[#This Row],[Out]]-Table57[[#This Row],[In]],(0.5+Table57[[#This Row],[Out]])-Table57[[#This Row],[In]]),"")</f>
        <v/>
      </c>
      <c r="I318" s="31" t="str">
        <f>IFERROR(IF(Table57[[#This Row],[In]]&gt;$C$2,Table57[[#This Row],[In]]-$C$2,""),"")</f>
        <v/>
      </c>
      <c r="J318" s="31" t="str">
        <f>IF(Table57[[#This Row],[Work_Hours]]=0,"",(IF(Table57[[#This Row],[Out]]&lt;$C$3,$C$3-Table57[[#This Row],[Out]],"")))</f>
        <v/>
      </c>
      <c r="K318" s="32" t="str">
        <f>IFERROR(Table57[[#This Row],[In]]+$C$1,"")</f>
        <v/>
      </c>
      <c r="L318" s="29"/>
      <c r="M318" s="31" t="str">
        <f>IF($C$2&gt;Table57[[#This Row],[In]],$C$2-Table57[[#This Row],[In]],"")</f>
        <v/>
      </c>
      <c r="N318" s="29" t="str">
        <f>IFERROR(IF(Table57[[#This Row],[Out]]&gt;$C$3,(Table57[[#This Row],[Out]])-($C$3),""),"")</f>
        <v/>
      </c>
    </row>
    <row r="319" spans="1:14" hidden="1" x14ac:dyDescent="0.25">
      <c r="A319" s="23" t="str">
        <f>Table57[[#This Row],[No.]]&amp;Table57[[#This Row],[Date]]</f>
        <v>00</v>
      </c>
      <c r="B319" s="22">
        <f>'Unique Dates'!A316</f>
        <v>0</v>
      </c>
      <c r="C319" s="22" t="e" cm="1">
        <f t="array" ref="C319">_xlfn.XLOOKUP(Table57[[#This Row],[No.]],Table2[[#All],[CODE]],Table2[[#All],[NAME]],,0,1)</f>
        <v>#N/A</v>
      </c>
      <c r="D319" s="6">
        <f>'Unique Dates'!B316</f>
        <v>0</v>
      </c>
      <c r="E319" t="str">
        <f>TEXT(Table57[[#This Row],[Date]],"dddd")</f>
        <v>Saturday</v>
      </c>
      <c r="F319" s="25" t="str" cm="1">
        <f t="array" ref="F319">IFERROR(_xlfn.XLOOKUP(Table57[[#This Row],[Code]],Table1[[#All],[Code]],Table1[[#All],[Time]],,0,1),"")</f>
        <v/>
      </c>
      <c r="G319" s="25" t="str" cm="1">
        <f t="array" ref="G319">IFERROR(_xlfn.XLOOKUP(Table57[[#This Row],[Code]],Table1[[#All],[Code]],Table1[[#All],[Time]],,0,-1),"")</f>
        <v/>
      </c>
      <c r="H319" s="23" t="str">
        <f>IFERROR(IF(Table57[[#This Row],[Out]]&gt;=Table57[[#This Row],[In]],Table57[[#This Row],[Out]]-Table57[[#This Row],[In]],(0.5+Table57[[#This Row],[Out]])-Table57[[#This Row],[In]]),"")</f>
        <v/>
      </c>
      <c r="I319" s="31" t="str">
        <f>IFERROR(IF(Table57[[#This Row],[In]]&gt;$C$2,Table57[[#This Row],[In]]-$C$2,""),"")</f>
        <v/>
      </c>
      <c r="J319" s="31" t="str">
        <f>IF(Table57[[#This Row],[Work_Hours]]=0,"",(IF(Table57[[#This Row],[Out]]&lt;$C$3,$C$3-Table57[[#This Row],[Out]],"")))</f>
        <v/>
      </c>
      <c r="K319" s="32" t="str">
        <f>IFERROR(Table57[[#This Row],[In]]+$C$1,"")</f>
        <v/>
      </c>
      <c r="L319" s="29"/>
      <c r="M319" s="31" t="str">
        <f>IF($C$2&gt;Table57[[#This Row],[In]],$C$2-Table57[[#This Row],[In]],"")</f>
        <v/>
      </c>
      <c r="N319" s="29" t="str">
        <f>IFERROR(IF(Table57[[#This Row],[Out]]&gt;$C$3,(Table57[[#This Row],[Out]])-($C$3),""),"")</f>
        <v/>
      </c>
    </row>
    <row r="320" spans="1:14" hidden="1" x14ac:dyDescent="0.25">
      <c r="A320" s="23" t="str">
        <f>Table57[[#This Row],[No.]]&amp;Table57[[#This Row],[Date]]</f>
        <v>00</v>
      </c>
      <c r="B320" s="22">
        <f>'Unique Dates'!A317</f>
        <v>0</v>
      </c>
      <c r="C320" s="22" t="e" cm="1">
        <f t="array" ref="C320">_xlfn.XLOOKUP(Table57[[#This Row],[No.]],Table2[[#All],[CODE]],Table2[[#All],[NAME]],,0,1)</f>
        <v>#N/A</v>
      </c>
      <c r="D320" s="6">
        <f>'Unique Dates'!B317</f>
        <v>0</v>
      </c>
      <c r="E320" t="str">
        <f>TEXT(Table57[[#This Row],[Date]],"dddd")</f>
        <v>Saturday</v>
      </c>
      <c r="F320" s="25" t="str" cm="1">
        <f t="array" ref="F320">IFERROR(_xlfn.XLOOKUP(Table57[[#This Row],[Code]],Table1[[#All],[Code]],Table1[[#All],[Time]],,0,1),"")</f>
        <v/>
      </c>
      <c r="G320" s="25" t="str" cm="1">
        <f t="array" ref="G320">IFERROR(_xlfn.XLOOKUP(Table57[[#This Row],[Code]],Table1[[#All],[Code]],Table1[[#All],[Time]],,0,-1),"")</f>
        <v/>
      </c>
      <c r="H320" s="23" t="str">
        <f>IFERROR(IF(Table57[[#This Row],[Out]]&gt;=Table57[[#This Row],[In]],Table57[[#This Row],[Out]]-Table57[[#This Row],[In]],(0.5+Table57[[#This Row],[Out]])-Table57[[#This Row],[In]]),"")</f>
        <v/>
      </c>
      <c r="I320" s="31" t="str">
        <f>IFERROR(IF(Table57[[#This Row],[In]]&gt;$C$2,Table57[[#This Row],[In]]-$C$2,""),"")</f>
        <v/>
      </c>
      <c r="J320" s="31" t="str">
        <f>IF(Table57[[#This Row],[Work_Hours]]=0,"",(IF(Table57[[#This Row],[Out]]&lt;$C$3,$C$3-Table57[[#This Row],[Out]],"")))</f>
        <v/>
      </c>
      <c r="K320" s="32" t="str">
        <f>IFERROR(Table57[[#This Row],[In]]+$C$1,"")</f>
        <v/>
      </c>
      <c r="L320" s="29"/>
      <c r="M320" s="31" t="str">
        <f>IF($C$2&gt;Table57[[#This Row],[In]],$C$2-Table57[[#This Row],[In]],"")</f>
        <v/>
      </c>
      <c r="N320" s="29" t="str">
        <f>IFERROR(IF(Table57[[#This Row],[Out]]&gt;$C$3,(Table57[[#This Row],[Out]])-($C$3),""),"")</f>
        <v/>
      </c>
    </row>
    <row r="321" spans="1:14" hidden="1" x14ac:dyDescent="0.25">
      <c r="A321" s="23" t="str">
        <f>Table57[[#This Row],[No.]]&amp;Table57[[#This Row],[Date]]</f>
        <v>00</v>
      </c>
      <c r="B321" s="22">
        <f>'Unique Dates'!A318</f>
        <v>0</v>
      </c>
      <c r="C321" s="22" t="e" cm="1">
        <f t="array" ref="C321">_xlfn.XLOOKUP(Table57[[#This Row],[No.]],Table2[[#All],[CODE]],Table2[[#All],[NAME]],,0,1)</f>
        <v>#N/A</v>
      </c>
      <c r="D321" s="6">
        <f>'Unique Dates'!B318</f>
        <v>0</v>
      </c>
      <c r="E321" t="str">
        <f>TEXT(Table57[[#This Row],[Date]],"dddd")</f>
        <v>Saturday</v>
      </c>
      <c r="F321" s="25" t="str" cm="1">
        <f t="array" ref="F321">IFERROR(_xlfn.XLOOKUP(Table57[[#This Row],[Code]],Table1[[#All],[Code]],Table1[[#All],[Time]],,0,1),"")</f>
        <v/>
      </c>
      <c r="G321" s="25" t="str" cm="1">
        <f t="array" ref="G321">IFERROR(_xlfn.XLOOKUP(Table57[[#This Row],[Code]],Table1[[#All],[Code]],Table1[[#All],[Time]],,0,-1),"")</f>
        <v/>
      </c>
      <c r="H321" s="23" t="str">
        <f>IFERROR(IF(Table57[[#This Row],[Out]]&gt;=Table57[[#This Row],[In]],Table57[[#This Row],[Out]]-Table57[[#This Row],[In]],(0.5+Table57[[#This Row],[Out]])-Table57[[#This Row],[In]]),"")</f>
        <v/>
      </c>
      <c r="I321" s="31" t="str">
        <f>IFERROR(IF(Table57[[#This Row],[In]]&gt;$C$2,Table57[[#This Row],[In]]-$C$2,""),"")</f>
        <v/>
      </c>
      <c r="J321" s="31" t="str">
        <f>IF(Table57[[#This Row],[Work_Hours]]=0,"",(IF(Table57[[#This Row],[Out]]&lt;$C$3,$C$3-Table57[[#This Row],[Out]],"")))</f>
        <v/>
      </c>
      <c r="K321" s="32" t="str">
        <f>IFERROR(Table57[[#This Row],[In]]+$C$1,"")</f>
        <v/>
      </c>
      <c r="L321" s="29"/>
      <c r="M321" s="31" t="str">
        <f>IF($C$2&gt;Table57[[#This Row],[In]],$C$2-Table57[[#This Row],[In]],"")</f>
        <v/>
      </c>
      <c r="N321" s="29" t="str">
        <f>IFERROR(IF(Table57[[#This Row],[Out]]&gt;$C$3,(Table57[[#This Row],[Out]])-($C$3),""),"")</f>
        <v/>
      </c>
    </row>
    <row r="322" spans="1:14" hidden="1" x14ac:dyDescent="0.25">
      <c r="A322" s="23" t="str">
        <f>Table57[[#This Row],[No.]]&amp;Table57[[#This Row],[Date]]</f>
        <v>00</v>
      </c>
      <c r="B322" s="22">
        <f>'Unique Dates'!A319</f>
        <v>0</v>
      </c>
      <c r="C322" s="22" t="e" cm="1">
        <f t="array" ref="C322">_xlfn.XLOOKUP(Table57[[#This Row],[No.]],Table2[[#All],[CODE]],Table2[[#All],[NAME]],,0,1)</f>
        <v>#N/A</v>
      </c>
      <c r="D322" s="6">
        <f>'Unique Dates'!B319</f>
        <v>0</v>
      </c>
      <c r="E322" t="str">
        <f>TEXT(Table57[[#This Row],[Date]],"dddd")</f>
        <v>Saturday</v>
      </c>
      <c r="F322" s="25" t="str" cm="1">
        <f t="array" ref="F322">IFERROR(_xlfn.XLOOKUP(Table57[[#This Row],[Code]],Table1[[#All],[Code]],Table1[[#All],[Time]],,0,1),"")</f>
        <v/>
      </c>
      <c r="G322" s="25" t="str" cm="1">
        <f t="array" ref="G322">IFERROR(_xlfn.XLOOKUP(Table57[[#This Row],[Code]],Table1[[#All],[Code]],Table1[[#All],[Time]],,0,-1),"")</f>
        <v/>
      </c>
      <c r="H322" s="23" t="str">
        <f>IFERROR(IF(Table57[[#This Row],[Out]]&gt;=Table57[[#This Row],[In]],Table57[[#This Row],[Out]]-Table57[[#This Row],[In]],(0.5+Table57[[#This Row],[Out]])-Table57[[#This Row],[In]]),"")</f>
        <v/>
      </c>
      <c r="I322" s="31" t="str">
        <f>IFERROR(IF(Table57[[#This Row],[In]]&gt;$C$2,Table57[[#This Row],[In]]-$C$2,""),"")</f>
        <v/>
      </c>
      <c r="J322" s="31" t="str">
        <f>IF(Table57[[#This Row],[Work_Hours]]=0,"",(IF(Table57[[#This Row],[Out]]&lt;$C$3,$C$3-Table57[[#This Row],[Out]],"")))</f>
        <v/>
      </c>
      <c r="K322" s="32" t="str">
        <f>IFERROR(Table57[[#This Row],[In]]+$C$1,"")</f>
        <v/>
      </c>
      <c r="L322" s="29"/>
      <c r="M322" s="31" t="str">
        <f>IF($C$2&gt;Table57[[#This Row],[In]],$C$2-Table57[[#This Row],[In]],"")</f>
        <v/>
      </c>
      <c r="N322" s="29" t="str">
        <f>IFERROR(IF(Table57[[#This Row],[Out]]&gt;$C$3,(Table57[[#This Row],[Out]])-($C$3),""),"")</f>
        <v/>
      </c>
    </row>
    <row r="323" spans="1:14" hidden="1" x14ac:dyDescent="0.25">
      <c r="A323" s="23" t="str">
        <f>Table57[[#This Row],[No.]]&amp;Table57[[#This Row],[Date]]</f>
        <v>00</v>
      </c>
      <c r="B323" s="22">
        <f>'Unique Dates'!A320</f>
        <v>0</v>
      </c>
      <c r="C323" s="22" t="e" cm="1">
        <f t="array" ref="C323">_xlfn.XLOOKUP(Table57[[#This Row],[No.]],Table2[[#All],[CODE]],Table2[[#All],[NAME]],,0,1)</f>
        <v>#N/A</v>
      </c>
      <c r="D323" s="6">
        <f>'Unique Dates'!B320</f>
        <v>0</v>
      </c>
      <c r="E323" t="str">
        <f>TEXT(Table57[[#This Row],[Date]],"dddd")</f>
        <v>Saturday</v>
      </c>
      <c r="F323" s="25" t="str" cm="1">
        <f t="array" ref="F323">IFERROR(_xlfn.XLOOKUP(Table57[[#This Row],[Code]],Table1[[#All],[Code]],Table1[[#All],[Time]],,0,1),"")</f>
        <v/>
      </c>
      <c r="G323" s="25" t="str" cm="1">
        <f t="array" ref="G323">IFERROR(_xlfn.XLOOKUP(Table57[[#This Row],[Code]],Table1[[#All],[Code]],Table1[[#All],[Time]],,0,-1),"")</f>
        <v/>
      </c>
      <c r="H323" s="23" t="str">
        <f>IFERROR(IF(Table57[[#This Row],[Out]]&gt;=Table57[[#This Row],[In]],Table57[[#This Row],[Out]]-Table57[[#This Row],[In]],(0.5+Table57[[#This Row],[Out]])-Table57[[#This Row],[In]]),"")</f>
        <v/>
      </c>
      <c r="I323" s="31" t="str">
        <f>IFERROR(IF(Table57[[#This Row],[In]]&gt;$C$2,Table57[[#This Row],[In]]-$C$2,""),"")</f>
        <v/>
      </c>
      <c r="J323" s="31" t="str">
        <f>IF(Table57[[#This Row],[Work_Hours]]=0,"",(IF(Table57[[#This Row],[Out]]&lt;$C$3,$C$3-Table57[[#This Row],[Out]],"")))</f>
        <v/>
      </c>
      <c r="K323" s="32" t="str">
        <f>IFERROR(Table57[[#This Row],[In]]+$C$1,"")</f>
        <v/>
      </c>
      <c r="L323" s="29"/>
      <c r="M323" s="31" t="str">
        <f>IF($C$2&gt;Table57[[#This Row],[In]],$C$2-Table57[[#This Row],[In]],"")</f>
        <v/>
      </c>
      <c r="N323" s="29" t="str">
        <f>IFERROR(IF(Table57[[#This Row],[Out]]&gt;$C$3,(Table57[[#This Row],[Out]])-($C$3),""),"")</f>
        <v/>
      </c>
    </row>
    <row r="324" spans="1:14" hidden="1" x14ac:dyDescent="0.25">
      <c r="A324" s="23" t="str">
        <f>Table57[[#This Row],[No.]]&amp;Table57[[#This Row],[Date]]</f>
        <v>00</v>
      </c>
      <c r="B324" s="22">
        <f>'Unique Dates'!A321</f>
        <v>0</v>
      </c>
      <c r="C324" s="22" t="e" cm="1">
        <f t="array" ref="C324">_xlfn.XLOOKUP(Table57[[#This Row],[No.]],Table2[[#All],[CODE]],Table2[[#All],[NAME]],,0,1)</f>
        <v>#N/A</v>
      </c>
      <c r="D324" s="6">
        <f>'Unique Dates'!B321</f>
        <v>0</v>
      </c>
      <c r="E324" t="str">
        <f>TEXT(Table57[[#This Row],[Date]],"dddd")</f>
        <v>Saturday</v>
      </c>
      <c r="F324" s="25" t="str" cm="1">
        <f t="array" ref="F324">IFERROR(_xlfn.XLOOKUP(Table57[[#This Row],[Code]],Table1[[#All],[Code]],Table1[[#All],[Time]],,0,1),"")</f>
        <v/>
      </c>
      <c r="G324" s="25" t="str" cm="1">
        <f t="array" ref="G324">IFERROR(_xlfn.XLOOKUP(Table57[[#This Row],[Code]],Table1[[#All],[Code]],Table1[[#All],[Time]],,0,-1),"")</f>
        <v/>
      </c>
      <c r="H324" s="23" t="str">
        <f>IFERROR(IF(Table57[[#This Row],[Out]]&gt;=Table57[[#This Row],[In]],Table57[[#This Row],[Out]]-Table57[[#This Row],[In]],(0.5+Table57[[#This Row],[Out]])-Table57[[#This Row],[In]]),"")</f>
        <v/>
      </c>
      <c r="I324" s="31" t="str">
        <f>IFERROR(IF(Table57[[#This Row],[In]]&gt;$C$2,Table57[[#This Row],[In]]-$C$2,""),"")</f>
        <v/>
      </c>
      <c r="J324" s="31" t="str">
        <f>IF(Table57[[#This Row],[Work_Hours]]=0,"",(IF(Table57[[#This Row],[Out]]&lt;$C$3,$C$3-Table57[[#This Row],[Out]],"")))</f>
        <v/>
      </c>
      <c r="K324" s="32" t="str">
        <f>IFERROR(Table57[[#This Row],[In]]+$C$1,"")</f>
        <v/>
      </c>
      <c r="L324" s="29"/>
      <c r="M324" s="31" t="str">
        <f>IF($C$2&gt;Table57[[#This Row],[In]],$C$2-Table57[[#This Row],[In]],"")</f>
        <v/>
      </c>
      <c r="N324" s="29" t="str">
        <f>IFERROR(IF(Table57[[#This Row],[Out]]&gt;$C$3,(Table57[[#This Row],[Out]])-($C$3),""),"")</f>
        <v/>
      </c>
    </row>
    <row r="325" spans="1:14" hidden="1" x14ac:dyDescent="0.25">
      <c r="A325" s="23" t="str">
        <f>Table57[[#This Row],[No.]]&amp;Table57[[#This Row],[Date]]</f>
        <v>00</v>
      </c>
      <c r="B325" s="22">
        <f>'Unique Dates'!A322</f>
        <v>0</v>
      </c>
      <c r="C325" s="22" t="e" cm="1">
        <f t="array" ref="C325">_xlfn.XLOOKUP(Table57[[#This Row],[No.]],Table2[[#All],[CODE]],Table2[[#All],[NAME]],,0,1)</f>
        <v>#N/A</v>
      </c>
      <c r="D325" s="6">
        <f>'Unique Dates'!B322</f>
        <v>0</v>
      </c>
      <c r="E325" t="str">
        <f>TEXT(Table57[[#This Row],[Date]],"dddd")</f>
        <v>Saturday</v>
      </c>
      <c r="F325" s="25" t="str" cm="1">
        <f t="array" ref="F325">IFERROR(_xlfn.XLOOKUP(Table57[[#This Row],[Code]],Table1[[#All],[Code]],Table1[[#All],[Time]],,0,1),"")</f>
        <v/>
      </c>
      <c r="G325" s="25" t="str" cm="1">
        <f t="array" ref="G325">IFERROR(_xlfn.XLOOKUP(Table57[[#This Row],[Code]],Table1[[#All],[Code]],Table1[[#All],[Time]],,0,-1),"")</f>
        <v/>
      </c>
      <c r="H325" s="23" t="str">
        <f>IFERROR(IF(Table57[[#This Row],[Out]]&gt;=Table57[[#This Row],[In]],Table57[[#This Row],[Out]]-Table57[[#This Row],[In]],(0.5+Table57[[#This Row],[Out]])-Table57[[#This Row],[In]]),"")</f>
        <v/>
      </c>
      <c r="I325" s="31" t="str">
        <f>IFERROR(IF(Table57[[#This Row],[In]]&gt;$C$2,Table57[[#This Row],[In]]-$C$2,""),"")</f>
        <v/>
      </c>
      <c r="J325" s="31" t="str">
        <f>IF(Table57[[#This Row],[Work_Hours]]=0,"",(IF(Table57[[#This Row],[Out]]&lt;$C$3,$C$3-Table57[[#This Row],[Out]],"")))</f>
        <v/>
      </c>
      <c r="K325" s="32" t="str">
        <f>IFERROR(Table57[[#This Row],[In]]+$C$1,"")</f>
        <v/>
      </c>
      <c r="L325" s="29"/>
      <c r="M325" s="31" t="str">
        <f>IF($C$2&gt;Table57[[#This Row],[In]],$C$2-Table57[[#This Row],[In]],"")</f>
        <v/>
      </c>
      <c r="N325" s="29" t="str">
        <f>IFERROR(IF(Table57[[#This Row],[Out]]&gt;$C$3,(Table57[[#This Row],[Out]])-($C$3),""),"")</f>
        <v/>
      </c>
    </row>
    <row r="326" spans="1:14" hidden="1" x14ac:dyDescent="0.25">
      <c r="A326" s="23" t="str">
        <f>Table57[[#This Row],[No.]]&amp;Table57[[#This Row],[Date]]</f>
        <v>00</v>
      </c>
      <c r="B326" s="22">
        <f>'Unique Dates'!A323</f>
        <v>0</v>
      </c>
      <c r="C326" s="22" t="e" cm="1">
        <f t="array" ref="C326">_xlfn.XLOOKUP(Table57[[#This Row],[No.]],Table2[[#All],[CODE]],Table2[[#All],[NAME]],,0,1)</f>
        <v>#N/A</v>
      </c>
      <c r="D326" s="6">
        <f>'Unique Dates'!B323</f>
        <v>0</v>
      </c>
      <c r="E326" t="str">
        <f>TEXT(Table57[[#This Row],[Date]],"dddd")</f>
        <v>Saturday</v>
      </c>
      <c r="F326" s="25" t="str" cm="1">
        <f t="array" ref="F326">IFERROR(_xlfn.XLOOKUP(Table57[[#This Row],[Code]],Table1[[#All],[Code]],Table1[[#All],[Time]],,0,1),"")</f>
        <v/>
      </c>
      <c r="G326" s="25" t="str" cm="1">
        <f t="array" ref="G326">IFERROR(_xlfn.XLOOKUP(Table57[[#This Row],[Code]],Table1[[#All],[Code]],Table1[[#All],[Time]],,0,-1),"")</f>
        <v/>
      </c>
      <c r="H326" s="23" t="str">
        <f>IFERROR(IF(Table57[[#This Row],[Out]]&gt;=Table57[[#This Row],[In]],Table57[[#This Row],[Out]]-Table57[[#This Row],[In]],(0.5+Table57[[#This Row],[Out]])-Table57[[#This Row],[In]]),"")</f>
        <v/>
      </c>
      <c r="I326" s="31" t="str">
        <f>IFERROR(IF(Table57[[#This Row],[In]]&gt;$C$2,Table57[[#This Row],[In]]-$C$2,""),"")</f>
        <v/>
      </c>
      <c r="J326" s="31" t="str">
        <f>IF(Table57[[#This Row],[Work_Hours]]=0,"",(IF(Table57[[#This Row],[Out]]&lt;$C$3,$C$3-Table57[[#This Row],[Out]],"")))</f>
        <v/>
      </c>
      <c r="K326" s="32" t="str">
        <f>IFERROR(Table57[[#This Row],[In]]+$C$1,"")</f>
        <v/>
      </c>
      <c r="L326" s="29"/>
      <c r="M326" s="31" t="str">
        <f>IF($C$2&gt;Table57[[#This Row],[In]],$C$2-Table57[[#This Row],[In]],"")</f>
        <v/>
      </c>
      <c r="N326" s="29" t="str">
        <f>IFERROR(IF(Table57[[#This Row],[Out]]&gt;$C$3,(Table57[[#This Row],[Out]])-($C$3),""),"")</f>
        <v/>
      </c>
    </row>
    <row r="327" spans="1:14" hidden="1" x14ac:dyDescent="0.25">
      <c r="A327" s="23" t="str">
        <f>Table57[[#This Row],[No.]]&amp;Table57[[#This Row],[Date]]</f>
        <v>00</v>
      </c>
      <c r="B327" s="22">
        <f>'Unique Dates'!A324</f>
        <v>0</v>
      </c>
      <c r="C327" s="22" t="e" cm="1">
        <f t="array" ref="C327">_xlfn.XLOOKUP(Table57[[#This Row],[No.]],Table2[[#All],[CODE]],Table2[[#All],[NAME]],,0,1)</f>
        <v>#N/A</v>
      </c>
      <c r="D327" s="6">
        <f>'Unique Dates'!B324</f>
        <v>0</v>
      </c>
      <c r="E327" t="str">
        <f>TEXT(Table57[[#This Row],[Date]],"dddd")</f>
        <v>Saturday</v>
      </c>
      <c r="F327" s="25" t="str" cm="1">
        <f t="array" ref="F327">IFERROR(_xlfn.XLOOKUP(Table57[[#This Row],[Code]],Table1[[#All],[Code]],Table1[[#All],[Time]],,0,1),"")</f>
        <v/>
      </c>
      <c r="G327" s="25" t="str" cm="1">
        <f t="array" ref="G327">IFERROR(_xlfn.XLOOKUP(Table57[[#This Row],[Code]],Table1[[#All],[Code]],Table1[[#All],[Time]],,0,-1),"")</f>
        <v/>
      </c>
      <c r="H327" s="23" t="str">
        <f>IFERROR(IF(Table57[[#This Row],[Out]]&gt;=Table57[[#This Row],[In]],Table57[[#This Row],[Out]]-Table57[[#This Row],[In]],(0.5+Table57[[#This Row],[Out]])-Table57[[#This Row],[In]]),"")</f>
        <v/>
      </c>
      <c r="I327" s="31" t="str">
        <f>IFERROR(IF(Table57[[#This Row],[In]]&gt;$C$2,Table57[[#This Row],[In]]-$C$2,""),"")</f>
        <v/>
      </c>
      <c r="J327" s="31" t="str">
        <f>IF(Table57[[#This Row],[Work_Hours]]=0,"",(IF(Table57[[#This Row],[Out]]&lt;$C$3,$C$3-Table57[[#This Row],[Out]],"")))</f>
        <v/>
      </c>
      <c r="K327" s="32" t="str">
        <f>IFERROR(Table57[[#This Row],[In]]+$C$1,"")</f>
        <v/>
      </c>
      <c r="L327" s="29"/>
      <c r="M327" s="31" t="str">
        <f>IF($C$2&gt;Table57[[#This Row],[In]],$C$2-Table57[[#This Row],[In]],"")</f>
        <v/>
      </c>
      <c r="N327" s="29" t="str">
        <f>IFERROR(IF(Table57[[#This Row],[Out]]&gt;$C$3,(Table57[[#This Row],[Out]])-($C$3),""),"")</f>
        <v/>
      </c>
    </row>
    <row r="328" spans="1:14" hidden="1" x14ac:dyDescent="0.25">
      <c r="A328" s="23" t="str">
        <f>Table57[[#This Row],[No.]]&amp;Table57[[#This Row],[Date]]</f>
        <v>00</v>
      </c>
      <c r="B328" s="22">
        <f>'Unique Dates'!A325</f>
        <v>0</v>
      </c>
      <c r="C328" s="22" t="e" cm="1">
        <f t="array" ref="C328">_xlfn.XLOOKUP(Table57[[#This Row],[No.]],Table2[[#All],[CODE]],Table2[[#All],[NAME]],,0,1)</f>
        <v>#N/A</v>
      </c>
      <c r="D328" s="6">
        <f>'Unique Dates'!B325</f>
        <v>0</v>
      </c>
      <c r="E328" t="str">
        <f>TEXT(Table57[[#This Row],[Date]],"dddd")</f>
        <v>Saturday</v>
      </c>
      <c r="F328" s="25" t="str" cm="1">
        <f t="array" ref="F328">IFERROR(_xlfn.XLOOKUP(Table57[[#This Row],[Code]],Table1[[#All],[Code]],Table1[[#All],[Time]],,0,1),"")</f>
        <v/>
      </c>
      <c r="G328" s="25" t="str" cm="1">
        <f t="array" ref="G328">IFERROR(_xlfn.XLOOKUP(Table57[[#This Row],[Code]],Table1[[#All],[Code]],Table1[[#All],[Time]],,0,-1),"")</f>
        <v/>
      </c>
      <c r="H328" s="23" t="str">
        <f>IFERROR(IF(Table57[[#This Row],[Out]]&gt;=Table57[[#This Row],[In]],Table57[[#This Row],[Out]]-Table57[[#This Row],[In]],(0.5+Table57[[#This Row],[Out]])-Table57[[#This Row],[In]]),"")</f>
        <v/>
      </c>
      <c r="I328" s="31" t="str">
        <f>IFERROR(IF(Table57[[#This Row],[In]]&gt;$C$2,Table57[[#This Row],[In]]-$C$2,""),"")</f>
        <v/>
      </c>
      <c r="J328" s="31" t="str">
        <f>IF(Table57[[#This Row],[Work_Hours]]=0,"",(IF(Table57[[#This Row],[Out]]&lt;$C$3,$C$3-Table57[[#This Row],[Out]],"")))</f>
        <v/>
      </c>
      <c r="K328" s="32" t="str">
        <f>IFERROR(Table57[[#This Row],[In]]+$C$1,"")</f>
        <v/>
      </c>
      <c r="L328" s="29"/>
      <c r="M328" s="31" t="str">
        <f>IF($C$2&gt;Table57[[#This Row],[In]],$C$2-Table57[[#This Row],[In]],"")</f>
        <v/>
      </c>
      <c r="N328" s="29" t="str">
        <f>IFERROR(IF(Table57[[#This Row],[Out]]&gt;$C$3,(Table57[[#This Row],[Out]])-($C$3),""),"")</f>
        <v/>
      </c>
    </row>
    <row r="329" spans="1:14" hidden="1" x14ac:dyDescent="0.25">
      <c r="A329" s="23" t="str">
        <f>Table57[[#This Row],[No.]]&amp;Table57[[#This Row],[Date]]</f>
        <v>00</v>
      </c>
      <c r="B329" s="22">
        <f>'Unique Dates'!A326</f>
        <v>0</v>
      </c>
      <c r="C329" s="22" t="e" cm="1">
        <f t="array" ref="C329">_xlfn.XLOOKUP(Table57[[#This Row],[No.]],Table2[[#All],[CODE]],Table2[[#All],[NAME]],,0,1)</f>
        <v>#N/A</v>
      </c>
      <c r="D329" s="6">
        <f>'Unique Dates'!B326</f>
        <v>0</v>
      </c>
      <c r="E329" t="str">
        <f>TEXT(Table57[[#This Row],[Date]],"dddd")</f>
        <v>Saturday</v>
      </c>
      <c r="F329" s="25" t="str" cm="1">
        <f t="array" ref="F329">IFERROR(_xlfn.XLOOKUP(Table57[[#This Row],[Code]],Table1[[#All],[Code]],Table1[[#All],[Time]],,0,1),"")</f>
        <v/>
      </c>
      <c r="G329" s="25" t="str" cm="1">
        <f t="array" ref="G329">IFERROR(_xlfn.XLOOKUP(Table57[[#This Row],[Code]],Table1[[#All],[Code]],Table1[[#All],[Time]],,0,-1),"")</f>
        <v/>
      </c>
      <c r="H329" s="23" t="str">
        <f>IFERROR(IF(Table57[[#This Row],[Out]]&gt;=Table57[[#This Row],[In]],Table57[[#This Row],[Out]]-Table57[[#This Row],[In]],(0.5+Table57[[#This Row],[Out]])-Table57[[#This Row],[In]]),"")</f>
        <v/>
      </c>
      <c r="I329" s="31" t="str">
        <f>IFERROR(IF(Table57[[#This Row],[In]]&gt;$C$2,Table57[[#This Row],[In]]-$C$2,""),"")</f>
        <v/>
      </c>
      <c r="J329" s="31" t="str">
        <f>IF(Table57[[#This Row],[Work_Hours]]=0,"",(IF(Table57[[#This Row],[Out]]&lt;$C$3,$C$3-Table57[[#This Row],[Out]],"")))</f>
        <v/>
      </c>
      <c r="K329" s="32" t="str">
        <f>IFERROR(Table57[[#This Row],[In]]+$C$1,"")</f>
        <v/>
      </c>
      <c r="L329" s="29"/>
      <c r="M329" s="31" t="str">
        <f>IF($C$2&gt;Table57[[#This Row],[In]],$C$2-Table57[[#This Row],[In]],"")</f>
        <v/>
      </c>
      <c r="N329" s="29" t="str">
        <f>IFERROR(IF(Table57[[#This Row],[Out]]&gt;$C$3,(Table57[[#This Row],[Out]])-($C$3),""),"")</f>
        <v/>
      </c>
    </row>
    <row r="330" spans="1:14" hidden="1" x14ac:dyDescent="0.25">
      <c r="A330" s="23" t="str">
        <f>Table57[[#This Row],[No.]]&amp;Table57[[#This Row],[Date]]</f>
        <v>00</v>
      </c>
      <c r="B330" s="22">
        <f>'Unique Dates'!A327</f>
        <v>0</v>
      </c>
      <c r="C330" s="22" t="e" cm="1">
        <f t="array" ref="C330">_xlfn.XLOOKUP(Table57[[#This Row],[No.]],Table2[[#All],[CODE]],Table2[[#All],[NAME]],,0,1)</f>
        <v>#N/A</v>
      </c>
      <c r="D330" s="6">
        <f>'Unique Dates'!B327</f>
        <v>0</v>
      </c>
      <c r="E330" t="str">
        <f>TEXT(Table57[[#This Row],[Date]],"dddd")</f>
        <v>Saturday</v>
      </c>
      <c r="F330" s="25" t="str" cm="1">
        <f t="array" ref="F330">IFERROR(_xlfn.XLOOKUP(Table57[[#This Row],[Code]],Table1[[#All],[Code]],Table1[[#All],[Time]],,0,1),"")</f>
        <v/>
      </c>
      <c r="G330" s="25" t="str" cm="1">
        <f t="array" ref="G330">IFERROR(_xlfn.XLOOKUP(Table57[[#This Row],[Code]],Table1[[#All],[Code]],Table1[[#All],[Time]],,0,-1),"")</f>
        <v/>
      </c>
      <c r="H330" s="23" t="str">
        <f>IFERROR(IF(Table57[[#This Row],[Out]]&gt;=Table57[[#This Row],[In]],Table57[[#This Row],[Out]]-Table57[[#This Row],[In]],(0.5+Table57[[#This Row],[Out]])-Table57[[#This Row],[In]]),"")</f>
        <v/>
      </c>
      <c r="I330" s="31" t="str">
        <f>IFERROR(IF(Table57[[#This Row],[In]]&gt;$C$2,Table57[[#This Row],[In]]-$C$2,""),"")</f>
        <v/>
      </c>
      <c r="J330" s="31" t="str">
        <f>IF(Table57[[#This Row],[Work_Hours]]=0,"",(IF(Table57[[#This Row],[Out]]&lt;$C$3,$C$3-Table57[[#This Row],[Out]],"")))</f>
        <v/>
      </c>
      <c r="K330" s="32" t="str">
        <f>IFERROR(Table57[[#This Row],[In]]+$C$1,"")</f>
        <v/>
      </c>
      <c r="L330" s="29"/>
      <c r="M330" s="31" t="str">
        <f>IF($C$2&gt;Table57[[#This Row],[In]],$C$2-Table57[[#This Row],[In]],"")</f>
        <v/>
      </c>
      <c r="N330" s="29" t="str">
        <f>IFERROR(IF(Table57[[#This Row],[Out]]&gt;$C$3,(Table57[[#This Row],[Out]])-($C$3),""),"")</f>
        <v/>
      </c>
    </row>
    <row r="331" spans="1:14" hidden="1" x14ac:dyDescent="0.25">
      <c r="A331" s="23" t="str">
        <f>Table57[[#This Row],[No.]]&amp;Table57[[#This Row],[Date]]</f>
        <v>00</v>
      </c>
      <c r="B331" s="22">
        <f>'Unique Dates'!A328</f>
        <v>0</v>
      </c>
      <c r="C331" s="22" t="e" cm="1">
        <f t="array" ref="C331">_xlfn.XLOOKUP(Table57[[#This Row],[No.]],Table2[[#All],[CODE]],Table2[[#All],[NAME]],,0,1)</f>
        <v>#N/A</v>
      </c>
      <c r="D331" s="6">
        <f>'Unique Dates'!B328</f>
        <v>0</v>
      </c>
      <c r="E331" t="str">
        <f>TEXT(Table57[[#This Row],[Date]],"dddd")</f>
        <v>Saturday</v>
      </c>
      <c r="F331" s="25" t="str" cm="1">
        <f t="array" ref="F331">IFERROR(_xlfn.XLOOKUP(Table57[[#This Row],[Code]],Table1[[#All],[Code]],Table1[[#All],[Time]],,0,1),"")</f>
        <v/>
      </c>
      <c r="G331" s="25" t="str" cm="1">
        <f t="array" ref="G331">IFERROR(_xlfn.XLOOKUP(Table57[[#This Row],[Code]],Table1[[#All],[Code]],Table1[[#All],[Time]],,0,-1),"")</f>
        <v/>
      </c>
      <c r="H331" s="23" t="str">
        <f>IFERROR(IF(Table57[[#This Row],[Out]]&gt;=Table57[[#This Row],[In]],Table57[[#This Row],[Out]]-Table57[[#This Row],[In]],(0.5+Table57[[#This Row],[Out]])-Table57[[#This Row],[In]]),"")</f>
        <v/>
      </c>
      <c r="I331" s="31" t="str">
        <f>IFERROR(IF(Table57[[#This Row],[In]]&gt;$C$2,Table57[[#This Row],[In]]-$C$2,""),"")</f>
        <v/>
      </c>
      <c r="J331" s="31" t="str">
        <f>IF(Table57[[#This Row],[Work_Hours]]=0,"",(IF(Table57[[#This Row],[Out]]&lt;$C$3,$C$3-Table57[[#This Row],[Out]],"")))</f>
        <v/>
      </c>
      <c r="K331" s="32" t="str">
        <f>IFERROR(Table57[[#This Row],[In]]+$C$1,"")</f>
        <v/>
      </c>
      <c r="L331" s="29"/>
      <c r="M331" s="31" t="str">
        <f>IF($C$2&gt;Table57[[#This Row],[In]],$C$2-Table57[[#This Row],[In]],"")</f>
        <v/>
      </c>
      <c r="N331" s="29" t="str">
        <f>IFERROR(IF(Table57[[#This Row],[Out]]&gt;$C$3,(Table57[[#This Row],[Out]])-($C$3),""),"")</f>
        <v/>
      </c>
    </row>
    <row r="332" spans="1:14" hidden="1" x14ac:dyDescent="0.25">
      <c r="A332" s="23" t="str">
        <f>Table57[[#This Row],[No.]]&amp;Table57[[#This Row],[Date]]</f>
        <v>00</v>
      </c>
      <c r="B332" s="22">
        <f>'Unique Dates'!A329</f>
        <v>0</v>
      </c>
      <c r="C332" s="22" t="e" cm="1">
        <f t="array" ref="C332">_xlfn.XLOOKUP(Table57[[#This Row],[No.]],Table2[[#All],[CODE]],Table2[[#All],[NAME]],,0,1)</f>
        <v>#N/A</v>
      </c>
      <c r="D332" s="6">
        <f>'Unique Dates'!B329</f>
        <v>0</v>
      </c>
      <c r="E332" t="str">
        <f>TEXT(Table57[[#This Row],[Date]],"dddd")</f>
        <v>Saturday</v>
      </c>
      <c r="F332" s="25" t="str" cm="1">
        <f t="array" ref="F332">IFERROR(_xlfn.XLOOKUP(Table57[[#This Row],[Code]],Table1[[#All],[Code]],Table1[[#All],[Time]],,0,1),"")</f>
        <v/>
      </c>
      <c r="G332" s="25" t="str" cm="1">
        <f t="array" ref="G332">IFERROR(_xlfn.XLOOKUP(Table57[[#This Row],[Code]],Table1[[#All],[Code]],Table1[[#All],[Time]],,0,-1),"")</f>
        <v/>
      </c>
      <c r="H332" s="23" t="str">
        <f>IFERROR(IF(Table57[[#This Row],[Out]]&gt;=Table57[[#This Row],[In]],Table57[[#This Row],[Out]]-Table57[[#This Row],[In]],(0.5+Table57[[#This Row],[Out]])-Table57[[#This Row],[In]]),"")</f>
        <v/>
      </c>
      <c r="I332" s="31" t="str">
        <f>IFERROR(IF(Table57[[#This Row],[In]]&gt;$C$2,Table57[[#This Row],[In]]-$C$2,""),"")</f>
        <v/>
      </c>
      <c r="J332" s="31" t="str">
        <f>IF(Table57[[#This Row],[Work_Hours]]=0,"",(IF(Table57[[#This Row],[Out]]&lt;$C$3,$C$3-Table57[[#This Row],[Out]],"")))</f>
        <v/>
      </c>
      <c r="K332" s="32" t="str">
        <f>IFERROR(Table57[[#This Row],[In]]+$C$1,"")</f>
        <v/>
      </c>
      <c r="L332" s="29"/>
      <c r="M332" s="31" t="str">
        <f>IF($C$2&gt;Table57[[#This Row],[In]],$C$2-Table57[[#This Row],[In]],"")</f>
        <v/>
      </c>
      <c r="N332" s="29" t="str">
        <f>IFERROR(IF(Table57[[#This Row],[Out]]&gt;$C$3,(Table57[[#This Row],[Out]])-($C$3),""),"")</f>
        <v/>
      </c>
    </row>
    <row r="333" spans="1:14" hidden="1" x14ac:dyDescent="0.25">
      <c r="A333" s="23" t="str">
        <f>Table57[[#This Row],[No.]]&amp;Table57[[#This Row],[Date]]</f>
        <v>00</v>
      </c>
      <c r="B333" s="22">
        <f>'Unique Dates'!A330</f>
        <v>0</v>
      </c>
      <c r="C333" s="22" t="e" cm="1">
        <f t="array" ref="C333">_xlfn.XLOOKUP(Table57[[#This Row],[No.]],Table2[[#All],[CODE]],Table2[[#All],[NAME]],,0,1)</f>
        <v>#N/A</v>
      </c>
      <c r="D333" s="6">
        <f>'Unique Dates'!B330</f>
        <v>0</v>
      </c>
      <c r="E333" t="str">
        <f>TEXT(Table57[[#This Row],[Date]],"dddd")</f>
        <v>Saturday</v>
      </c>
      <c r="F333" s="25" t="str" cm="1">
        <f t="array" ref="F333">IFERROR(_xlfn.XLOOKUP(Table57[[#This Row],[Code]],Table1[[#All],[Code]],Table1[[#All],[Time]],,0,1),"")</f>
        <v/>
      </c>
      <c r="G333" s="25" t="str" cm="1">
        <f t="array" ref="G333">IFERROR(_xlfn.XLOOKUP(Table57[[#This Row],[Code]],Table1[[#All],[Code]],Table1[[#All],[Time]],,0,-1),"")</f>
        <v/>
      </c>
      <c r="H333" s="23" t="str">
        <f>IFERROR(IF(Table57[[#This Row],[Out]]&gt;=Table57[[#This Row],[In]],Table57[[#This Row],[Out]]-Table57[[#This Row],[In]],(0.5+Table57[[#This Row],[Out]])-Table57[[#This Row],[In]]),"")</f>
        <v/>
      </c>
      <c r="I333" s="31" t="str">
        <f>IFERROR(IF(Table57[[#This Row],[In]]&gt;$C$2,Table57[[#This Row],[In]]-$C$2,""),"")</f>
        <v/>
      </c>
      <c r="J333" s="31" t="str">
        <f>IF(Table57[[#This Row],[Work_Hours]]=0,"",(IF(Table57[[#This Row],[Out]]&lt;$C$3,$C$3-Table57[[#This Row],[Out]],"")))</f>
        <v/>
      </c>
      <c r="K333" s="32" t="str">
        <f>IFERROR(Table57[[#This Row],[In]]+$C$1,"")</f>
        <v/>
      </c>
      <c r="L333" s="29"/>
      <c r="M333" s="31" t="str">
        <f>IF($C$2&gt;Table57[[#This Row],[In]],$C$2-Table57[[#This Row],[In]],"")</f>
        <v/>
      </c>
      <c r="N333" s="29" t="str">
        <f>IFERROR(IF(Table57[[#This Row],[Out]]&gt;$C$3,(Table57[[#This Row],[Out]])-($C$3),""),"")</f>
        <v/>
      </c>
    </row>
    <row r="334" spans="1:14" hidden="1" x14ac:dyDescent="0.25">
      <c r="A334" s="23" t="str">
        <f>Table57[[#This Row],[No.]]&amp;Table57[[#This Row],[Date]]</f>
        <v>00</v>
      </c>
      <c r="B334" s="22">
        <f>'Unique Dates'!A331</f>
        <v>0</v>
      </c>
      <c r="C334" s="22" t="e" cm="1">
        <f t="array" ref="C334">_xlfn.XLOOKUP(Table57[[#This Row],[No.]],Table2[[#All],[CODE]],Table2[[#All],[NAME]],,0,1)</f>
        <v>#N/A</v>
      </c>
      <c r="D334" s="6">
        <f>'Unique Dates'!B331</f>
        <v>0</v>
      </c>
      <c r="E334" t="str">
        <f>TEXT(Table57[[#This Row],[Date]],"dddd")</f>
        <v>Saturday</v>
      </c>
      <c r="F334" s="25" t="str" cm="1">
        <f t="array" ref="F334">IFERROR(_xlfn.XLOOKUP(Table57[[#This Row],[Code]],Table1[[#All],[Code]],Table1[[#All],[Time]],,0,1),"")</f>
        <v/>
      </c>
      <c r="G334" s="25" t="str" cm="1">
        <f t="array" ref="G334">IFERROR(_xlfn.XLOOKUP(Table57[[#This Row],[Code]],Table1[[#All],[Code]],Table1[[#All],[Time]],,0,-1),"")</f>
        <v/>
      </c>
      <c r="H334" s="23" t="str">
        <f>IFERROR(IF(Table57[[#This Row],[Out]]&gt;=Table57[[#This Row],[In]],Table57[[#This Row],[Out]]-Table57[[#This Row],[In]],(0.5+Table57[[#This Row],[Out]])-Table57[[#This Row],[In]]),"")</f>
        <v/>
      </c>
      <c r="I334" s="31" t="str">
        <f>IFERROR(IF(Table57[[#This Row],[In]]&gt;$C$2,Table57[[#This Row],[In]]-$C$2,""),"")</f>
        <v/>
      </c>
      <c r="J334" s="31" t="str">
        <f>IF(Table57[[#This Row],[Work_Hours]]=0,"",(IF(Table57[[#This Row],[Out]]&lt;$C$3,$C$3-Table57[[#This Row],[Out]],"")))</f>
        <v/>
      </c>
      <c r="K334" s="32" t="str">
        <f>IFERROR(Table57[[#This Row],[In]]+$C$1,"")</f>
        <v/>
      </c>
      <c r="L334" s="29"/>
      <c r="M334" s="31" t="str">
        <f>IF($C$2&gt;Table57[[#This Row],[In]],$C$2-Table57[[#This Row],[In]],"")</f>
        <v/>
      </c>
      <c r="N334" s="29" t="str">
        <f>IFERROR(IF(Table57[[#This Row],[Out]]&gt;$C$3,(Table57[[#This Row],[Out]])-($C$3),""),"")</f>
        <v/>
      </c>
    </row>
    <row r="335" spans="1:14" hidden="1" x14ac:dyDescent="0.25">
      <c r="A335" s="23" t="str">
        <f>Table57[[#This Row],[No.]]&amp;Table57[[#This Row],[Date]]</f>
        <v>00</v>
      </c>
      <c r="B335" s="22">
        <f>'Unique Dates'!A332</f>
        <v>0</v>
      </c>
      <c r="C335" s="22" t="e" cm="1">
        <f t="array" ref="C335">_xlfn.XLOOKUP(Table57[[#This Row],[No.]],Table2[[#All],[CODE]],Table2[[#All],[NAME]],,0,1)</f>
        <v>#N/A</v>
      </c>
      <c r="D335" s="6">
        <f>'Unique Dates'!B332</f>
        <v>0</v>
      </c>
      <c r="E335" t="str">
        <f>TEXT(Table57[[#This Row],[Date]],"dddd")</f>
        <v>Saturday</v>
      </c>
      <c r="F335" s="25" t="str" cm="1">
        <f t="array" ref="F335">IFERROR(_xlfn.XLOOKUP(Table57[[#This Row],[Code]],Table1[[#All],[Code]],Table1[[#All],[Time]],,0,1),"")</f>
        <v/>
      </c>
      <c r="G335" s="25" t="str" cm="1">
        <f t="array" ref="G335">IFERROR(_xlfn.XLOOKUP(Table57[[#This Row],[Code]],Table1[[#All],[Code]],Table1[[#All],[Time]],,0,-1),"")</f>
        <v/>
      </c>
      <c r="H335" s="23" t="str">
        <f>IFERROR(IF(Table57[[#This Row],[Out]]&gt;=Table57[[#This Row],[In]],Table57[[#This Row],[Out]]-Table57[[#This Row],[In]],(0.5+Table57[[#This Row],[Out]])-Table57[[#This Row],[In]]),"")</f>
        <v/>
      </c>
      <c r="I335" s="31" t="str">
        <f>IFERROR(IF(Table57[[#This Row],[In]]&gt;$C$2,Table57[[#This Row],[In]]-$C$2,""),"")</f>
        <v/>
      </c>
      <c r="J335" s="31" t="str">
        <f>IF(Table57[[#This Row],[Work_Hours]]=0,"",(IF(Table57[[#This Row],[Out]]&lt;$C$3,$C$3-Table57[[#This Row],[Out]],"")))</f>
        <v/>
      </c>
      <c r="K335" s="32" t="str">
        <f>IFERROR(Table57[[#This Row],[In]]+$C$1,"")</f>
        <v/>
      </c>
      <c r="L335" s="29"/>
      <c r="M335" s="31" t="str">
        <f>IF($C$2&gt;Table57[[#This Row],[In]],$C$2-Table57[[#This Row],[In]],"")</f>
        <v/>
      </c>
      <c r="N335" s="29" t="str">
        <f>IFERROR(IF(Table57[[#This Row],[Out]]&gt;$C$3,(Table57[[#This Row],[Out]])-($C$3),""),"")</f>
        <v/>
      </c>
    </row>
    <row r="336" spans="1:14" hidden="1" x14ac:dyDescent="0.25">
      <c r="A336" s="23" t="str">
        <f>Table57[[#This Row],[No.]]&amp;Table57[[#This Row],[Date]]</f>
        <v>00</v>
      </c>
      <c r="B336" s="22">
        <f>'Unique Dates'!A333</f>
        <v>0</v>
      </c>
      <c r="C336" s="22" t="e" cm="1">
        <f t="array" ref="C336">_xlfn.XLOOKUP(Table57[[#This Row],[No.]],Table2[[#All],[CODE]],Table2[[#All],[NAME]],,0,1)</f>
        <v>#N/A</v>
      </c>
      <c r="D336" s="6">
        <f>'Unique Dates'!B333</f>
        <v>0</v>
      </c>
      <c r="E336" t="str">
        <f>TEXT(Table57[[#This Row],[Date]],"dddd")</f>
        <v>Saturday</v>
      </c>
      <c r="F336" s="25" t="str" cm="1">
        <f t="array" ref="F336">IFERROR(_xlfn.XLOOKUP(Table57[[#This Row],[Code]],Table1[[#All],[Code]],Table1[[#All],[Time]],,0,1),"")</f>
        <v/>
      </c>
      <c r="G336" s="25" t="str" cm="1">
        <f t="array" ref="G336">IFERROR(_xlfn.XLOOKUP(Table57[[#This Row],[Code]],Table1[[#All],[Code]],Table1[[#All],[Time]],,0,-1),"")</f>
        <v/>
      </c>
      <c r="H336" s="23" t="str">
        <f>IFERROR(IF(Table57[[#This Row],[Out]]&gt;=Table57[[#This Row],[In]],Table57[[#This Row],[Out]]-Table57[[#This Row],[In]],(0.5+Table57[[#This Row],[Out]])-Table57[[#This Row],[In]]),"")</f>
        <v/>
      </c>
      <c r="I336" s="31" t="str">
        <f>IFERROR(IF(Table57[[#This Row],[In]]&gt;$C$2,Table57[[#This Row],[In]]-$C$2,""),"")</f>
        <v/>
      </c>
      <c r="J336" s="31" t="str">
        <f>IF(Table57[[#This Row],[Work_Hours]]=0,"",(IF(Table57[[#This Row],[Out]]&lt;$C$3,$C$3-Table57[[#This Row],[Out]],"")))</f>
        <v/>
      </c>
      <c r="K336" s="32" t="str">
        <f>IFERROR(Table57[[#This Row],[In]]+$C$1,"")</f>
        <v/>
      </c>
      <c r="L336" s="29"/>
      <c r="M336" s="31" t="str">
        <f>IF($C$2&gt;Table57[[#This Row],[In]],$C$2-Table57[[#This Row],[In]],"")</f>
        <v/>
      </c>
      <c r="N336" s="29" t="str">
        <f>IFERROR(IF(Table57[[#This Row],[Out]]&gt;$C$3,(Table57[[#This Row],[Out]])-($C$3),""),"")</f>
        <v/>
      </c>
    </row>
    <row r="337" spans="1:14" hidden="1" x14ac:dyDescent="0.25">
      <c r="A337" s="23" t="str">
        <f>Table57[[#This Row],[No.]]&amp;Table57[[#This Row],[Date]]</f>
        <v>00</v>
      </c>
      <c r="B337" s="22">
        <f>'Unique Dates'!A334</f>
        <v>0</v>
      </c>
      <c r="C337" s="22" t="e" cm="1">
        <f t="array" ref="C337">_xlfn.XLOOKUP(Table57[[#This Row],[No.]],Table2[[#All],[CODE]],Table2[[#All],[NAME]],,0,1)</f>
        <v>#N/A</v>
      </c>
      <c r="D337" s="6">
        <f>'Unique Dates'!B334</f>
        <v>0</v>
      </c>
      <c r="E337" t="str">
        <f>TEXT(Table57[[#This Row],[Date]],"dddd")</f>
        <v>Saturday</v>
      </c>
      <c r="F337" s="25" t="str" cm="1">
        <f t="array" ref="F337">IFERROR(_xlfn.XLOOKUP(Table57[[#This Row],[Code]],Table1[[#All],[Code]],Table1[[#All],[Time]],,0,1),"")</f>
        <v/>
      </c>
      <c r="G337" s="25" t="str" cm="1">
        <f t="array" ref="G337">IFERROR(_xlfn.XLOOKUP(Table57[[#This Row],[Code]],Table1[[#All],[Code]],Table1[[#All],[Time]],,0,-1),"")</f>
        <v/>
      </c>
      <c r="H337" s="23" t="str">
        <f>IFERROR(IF(Table57[[#This Row],[Out]]&gt;=Table57[[#This Row],[In]],Table57[[#This Row],[Out]]-Table57[[#This Row],[In]],(0.5+Table57[[#This Row],[Out]])-Table57[[#This Row],[In]]),"")</f>
        <v/>
      </c>
      <c r="I337" s="31" t="str">
        <f>IFERROR(IF(Table57[[#This Row],[In]]&gt;$C$2,Table57[[#This Row],[In]]-$C$2,""),"")</f>
        <v/>
      </c>
      <c r="J337" s="31" t="str">
        <f>IF(Table57[[#This Row],[Work_Hours]]=0,"",(IF(Table57[[#This Row],[Out]]&lt;$C$3,$C$3-Table57[[#This Row],[Out]],"")))</f>
        <v/>
      </c>
      <c r="K337" s="32" t="str">
        <f>IFERROR(Table57[[#This Row],[In]]+$C$1,"")</f>
        <v/>
      </c>
      <c r="L337" s="29"/>
      <c r="M337" s="31" t="str">
        <f>IF($C$2&gt;Table57[[#This Row],[In]],$C$2-Table57[[#This Row],[In]],"")</f>
        <v/>
      </c>
      <c r="N337" s="29" t="str">
        <f>IFERROR(IF(Table57[[#This Row],[Out]]&gt;$C$3,(Table57[[#This Row],[Out]])-($C$3),""),"")</f>
        <v/>
      </c>
    </row>
    <row r="338" spans="1:14" hidden="1" x14ac:dyDescent="0.25">
      <c r="A338" s="23" t="str">
        <f>Table57[[#This Row],[No.]]&amp;Table57[[#This Row],[Date]]</f>
        <v>00</v>
      </c>
      <c r="B338" s="22">
        <f>'Unique Dates'!A335</f>
        <v>0</v>
      </c>
      <c r="C338" s="22" t="e" cm="1">
        <f t="array" ref="C338">_xlfn.XLOOKUP(Table57[[#This Row],[No.]],Table2[[#All],[CODE]],Table2[[#All],[NAME]],,0,1)</f>
        <v>#N/A</v>
      </c>
      <c r="D338" s="6">
        <f>'Unique Dates'!B335</f>
        <v>0</v>
      </c>
      <c r="E338" t="str">
        <f>TEXT(Table57[[#This Row],[Date]],"dddd")</f>
        <v>Saturday</v>
      </c>
      <c r="F338" s="25" t="str" cm="1">
        <f t="array" ref="F338">IFERROR(_xlfn.XLOOKUP(Table57[[#This Row],[Code]],Table1[[#All],[Code]],Table1[[#All],[Time]],,0,1),"")</f>
        <v/>
      </c>
      <c r="G338" s="25" t="str" cm="1">
        <f t="array" ref="G338">IFERROR(_xlfn.XLOOKUP(Table57[[#This Row],[Code]],Table1[[#All],[Code]],Table1[[#All],[Time]],,0,-1),"")</f>
        <v/>
      </c>
      <c r="H338" s="23" t="str">
        <f>IFERROR(IF(Table57[[#This Row],[Out]]&gt;=Table57[[#This Row],[In]],Table57[[#This Row],[Out]]-Table57[[#This Row],[In]],(0.5+Table57[[#This Row],[Out]])-Table57[[#This Row],[In]]),"")</f>
        <v/>
      </c>
      <c r="I338" s="31" t="str">
        <f>IFERROR(IF(Table57[[#This Row],[In]]&gt;$C$2,Table57[[#This Row],[In]]-$C$2,""),"")</f>
        <v/>
      </c>
      <c r="J338" s="31" t="str">
        <f>IF(Table57[[#This Row],[Work_Hours]]=0,"",(IF(Table57[[#This Row],[Out]]&lt;$C$3,$C$3-Table57[[#This Row],[Out]],"")))</f>
        <v/>
      </c>
      <c r="K338" s="32" t="str">
        <f>IFERROR(Table57[[#This Row],[In]]+$C$1,"")</f>
        <v/>
      </c>
      <c r="L338" s="29"/>
      <c r="M338" s="31" t="str">
        <f>IF($C$2&gt;Table57[[#This Row],[In]],$C$2-Table57[[#This Row],[In]],"")</f>
        <v/>
      </c>
      <c r="N338" s="29" t="str">
        <f>IFERROR(IF(Table57[[#This Row],[Out]]&gt;$C$3,(Table57[[#This Row],[Out]])-($C$3),""),"")</f>
        <v/>
      </c>
    </row>
    <row r="339" spans="1:14" hidden="1" x14ac:dyDescent="0.25">
      <c r="A339" s="23" t="str">
        <f>Table57[[#This Row],[No.]]&amp;Table57[[#This Row],[Date]]</f>
        <v>00</v>
      </c>
      <c r="B339" s="22">
        <f>'Unique Dates'!A336</f>
        <v>0</v>
      </c>
      <c r="C339" s="22" t="e" cm="1">
        <f t="array" ref="C339">_xlfn.XLOOKUP(Table57[[#This Row],[No.]],Table2[[#All],[CODE]],Table2[[#All],[NAME]],,0,1)</f>
        <v>#N/A</v>
      </c>
      <c r="D339" s="6">
        <f>'Unique Dates'!B336</f>
        <v>0</v>
      </c>
      <c r="E339" t="str">
        <f>TEXT(Table57[[#This Row],[Date]],"dddd")</f>
        <v>Saturday</v>
      </c>
      <c r="F339" s="25" t="str" cm="1">
        <f t="array" ref="F339">IFERROR(_xlfn.XLOOKUP(Table57[[#This Row],[Code]],Table1[[#All],[Code]],Table1[[#All],[Time]],,0,1),"")</f>
        <v/>
      </c>
      <c r="G339" s="25" t="str" cm="1">
        <f t="array" ref="G339">IFERROR(_xlfn.XLOOKUP(Table57[[#This Row],[Code]],Table1[[#All],[Code]],Table1[[#All],[Time]],,0,-1),"")</f>
        <v/>
      </c>
      <c r="H339" s="23" t="str">
        <f>IFERROR(IF(Table57[[#This Row],[Out]]&gt;=Table57[[#This Row],[In]],Table57[[#This Row],[Out]]-Table57[[#This Row],[In]],(0.5+Table57[[#This Row],[Out]])-Table57[[#This Row],[In]]),"")</f>
        <v/>
      </c>
      <c r="I339" s="31" t="str">
        <f>IFERROR(IF(Table57[[#This Row],[In]]&gt;$C$2,Table57[[#This Row],[In]]-$C$2,""),"")</f>
        <v/>
      </c>
      <c r="J339" s="31" t="str">
        <f>IF(Table57[[#This Row],[Work_Hours]]=0,"",(IF(Table57[[#This Row],[Out]]&lt;$C$3,$C$3-Table57[[#This Row],[Out]],"")))</f>
        <v/>
      </c>
      <c r="K339" s="32" t="str">
        <f>IFERROR(Table57[[#This Row],[In]]+$C$1,"")</f>
        <v/>
      </c>
      <c r="L339" s="29"/>
      <c r="M339" s="31" t="str">
        <f>IF($C$2&gt;Table57[[#This Row],[In]],$C$2-Table57[[#This Row],[In]],"")</f>
        <v/>
      </c>
      <c r="N339" s="29" t="str">
        <f>IFERROR(IF(Table57[[#This Row],[Out]]&gt;$C$3,(Table57[[#This Row],[Out]])-($C$3),""),"")</f>
        <v/>
      </c>
    </row>
    <row r="340" spans="1:14" hidden="1" x14ac:dyDescent="0.25">
      <c r="A340" s="23" t="str">
        <f>Table57[[#This Row],[No.]]&amp;Table57[[#This Row],[Date]]</f>
        <v>00</v>
      </c>
      <c r="B340" s="22">
        <f>'Unique Dates'!A337</f>
        <v>0</v>
      </c>
      <c r="C340" s="22" t="e" cm="1">
        <f t="array" ref="C340">_xlfn.XLOOKUP(Table57[[#This Row],[No.]],Table2[[#All],[CODE]],Table2[[#All],[NAME]],,0,1)</f>
        <v>#N/A</v>
      </c>
      <c r="D340" s="6">
        <f>'Unique Dates'!B337</f>
        <v>0</v>
      </c>
      <c r="E340" t="str">
        <f>TEXT(Table57[[#This Row],[Date]],"dddd")</f>
        <v>Saturday</v>
      </c>
      <c r="F340" s="25" t="str" cm="1">
        <f t="array" ref="F340">IFERROR(_xlfn.XLOOKUP(Table57[[#This Row],[Code]],Table1[[#All],[Code]],Table1[[#All],[Time]],,0,1),"")</f>
        <v/>
      </c>
      <c r="G340" s="25" t="str" cm="1">
        <f t="array" ref="G340">IFERROR(_xlfn.XLOOKUP(Table57[[#This Row],[Code]],Table1[[#All],[Code]],Table1[[#All],[Time]],,0,-1),"")</f>
        <v/>
      </c>
      <c r="H340" s="23" t="str">
        <f>IFERROR(IF(Table57[[#This Row],[Out]]&gt;=Table57[[#This Row],[In]],Table57[[#This Row],[Out]]-Table57[[#This Row],[In]],(0.5+Table57[[#This Row],[Out]])-Table57[[#This Row],[In]]),"")</f>
        <v/>
      </c>
      <c r="I340" s="31" t="str">
        <f>IFERROR(IF(Table57[[#This Row],[In]]&gt;$C$2,Table57[[#This Row],[In]]-$C$2,""),"")</f>
        <v/>
      </c>
      <c r="J340" s="31" t="str">
        <f>IF(Table57[[#This Row],[Work_Hours]]=0,"",(IF(Table57[[#This Row],[Out]]&lt;$C$3,$C$3-Table57[[#This Row],[Out]],"")))</f>
        <v/>
      </c>
      <c r="K340" s="32" t="str">
        <f>IFERROR(Table57[[#This Row],[In]]+$C$1,"")</f>
        <v/>
      </c>
      <c r="L340" s="29"/>
      <c r="M340" s="31" t="str">
        <f>IF($C$2&gt;Table57[[#This Row],[In]],$C$2-Table57[[#This Row],[In]],"")</f>
        <v/>
      </c>
      <c r="N340" s="29" t="str">
        <f>IFERROR(IF(Table57[[#This Row],[Out]]&gt;$C$3,(Table57[[#This Row],[Out]])-($C$3),""),"")</f>
        <v/>
      </c>
    </row>
    <row r="341" spans="1:14" hidden="1" x14ac:dyDescent="0.25">
      <c r="A341" s="23" t="str">
        <f>Table57[[#This Row],[No.]]&amp;Table57[[#This Row],[Date]]</f>
        <v>00</v>
      </c>
      <c r="B341" s="22">
        <f>'Unique Dates'!A338</f>
        <v>0</v>
      </c>
      <c r="C341" s="22" t="e" cm="1">
        <f t="array" ref="C341">_xlfn.XLOOKUP(Table57[[#This Row],[No.]],Table2[[#All],[CODE]],Table2[[#All],[NAME]],,0,1)</f>
        <v>#N/A</v>
      </c>
      <c r="D341" s="6">
        <f>'Unique Dates'!B338</f>
        <v>0</v>
      </c>
      <c r="E341" t="str">
        <f>TEXT(Table57[[#This Row],[Date]],"dddd")</f>
        <v>Saturday</v>
      </c>
      <c r="F341" s="25" t="str" cm="1">
        <f t="array" ref="F341">IFERROR(_xlfn.XLOOKUP(Table57[[#This Row],[Code]],Table1[[#All],[Code]],Table1[[#All],[Time]],,0,1),"")</f>
        <v/>
      </c>
      <c r="G341" s="25" t="str" cm="1">
        <f t="array" ref="G341">IFERROR(_xlfn.XLOOKUP(Table57[[#This Row],[Code]],Table1[[#All],[Code]],Table1[[#All],[Time]],,0,-1),"")</f>
        <v/>
      </c>
      <c r="H341" s="23" t="str">
        <f>IFERROR(IF(Table57[[#This Row],[Out]]&gt;=Table57[[#This Row],[In]],Table57[[#This Row],[Out]]-Table57[[#This Row],[In]],(0.5+Table57[[#This Row],[Out]])-Table57[[#This Row],[In]]),"")</f>
        <v/>
      </c>
      <c r="I341" s="31" t="str">
        <f>IFERROR(IF(Table57[[#This Row],[In]]&gt;$C$2,Table57[[#This Row],[In]]-$C$2,""),"")</f>
        <v/>
      </c>
      <c r="J341" s="31" t="str">
        <f>IF(Table57[[#This Row],[Work_Hours]]=0,"",(IF(Table57[[#This Row],[Out]]&lt;$C$3,$C$3-Table57[[#This Row],[Out]],"")))</f>
        <v/>
      </c>
      <c r="K341" s="32" t="str">
        <f>IFERROR(Table57[[#This Row],[In]]+$C$1,"")</f>
        <v/>
      </c>
      <c r="L341" s="29"/>
      <c r="M341" s="31" t="str">
        <f>IF($C$2&gt;Table57[[#This Row],[In]],$C$2-Table57[[#This Row],[In]],"")</f>
        <v/>
      </c>
      <c r="N341" s="29" t="str">
        <f>IFERROR(IF(Table57[[#This Row],[Out]]&gt;$C$3,(Table57[[#This Row],[Out]])-($C$3),""),"")</f>
        <v/>
      </c>
    </row>
    <row r="342" spans="1:14" hidden="1" x14ac:dyDescent="0.25">
      <c r="A342" s="23" t="str">
        <f>Table57[[#This Row],[No.]]&amp;Table57[[#This Row],[Date]]</f>
        <v>00</v>
      </c>
      <c r="B342" s="22">
        <f>'Unique Dates'!A339</f>
        <v>0</v>
      </c>
      <c r="C342" s="22" t="e" cm="1">
        <f t="array" ref="C342">_xlfn.XLOOKUP(Table57[[#This Row],[No.]],Table2[[#All],[CODE]],Table2[[#All],[NAME]],,0,1)</f>
        <v>#N/A</v>
      </c>
      <c r="D342" s="6">
        <f>'Unique Dates'!B339</f>
        <v>0</v>
      </c>
      <c r="E342" t="str">
        <f>TEXT(Table57[[#This Row],[Date]],"dddd")</f>
        <v>Saturday</v>
      </c>
      <c r="F342" s="25" t="str" cm="1">
        <f t="array" ref="F342">IFERROR(_xlfn.XLOOKUP(Table57[[#This Row],[Code]],Table1[[#All],[Code]],Table1[[#All],[Time]],,0,1),"")</f>
        <v/>
      </c>
      <c r="G342" s="25" t="str" cm="1">
        <f t="array" ref="G342">IFERROR(_xlfn.XLOOKUP(Table57[[#This Row],[Code]],Table1[[#All],[Code]],Table1[[#All],[Time]],,0,-1),"")</f>
        <v/>
      </c>
      <c r="H342" s="23" t="str">
        <f>IFERROR(IF(Table57[[#This Row],[Out]]&gt;=Table57[[#This Row],[In]],Table57[[#This Row],[Out]]-Table57[[#This Row],[In]],(0.5+Table57[[#This Row],[Out]])-Table57[[#This Row],[In]]),"")</f>
        <v/>
      </c>
      <c r="I342" s="31" t="str">
        <f>IFERROR(IF(Table57[[#This Row],[In]]&gt;$C$2,Table57[[#This Row],[In]]-$C$2,""),"")</f>
        <v/>
      </c>
      <c r="J342" s="31" t="str">
        <f>IF(Table57[[#This Row],[Work_Hours]]=0,"",(IF(Table57[[#This Row],[Out]]&lt;$C$3,$C$3-Table57[[#This Row],[Out]],"")))</f>
        <v/>
      </c>
      <c r="K342" s="32" t="str">
        <f>IFERROR(Table57[[#This Row],[In]]+$C$1,"")</f>
        <v/>
      </c>
      <c r="L342" s="29"/>
      <c r="M342" s="31" t="str">
        <f>IF($C$2&gt;Table57[[#This Row],[In]],$C$2-Table57[[#This Row],[In]],"")</f>
        <v/>
      </c>
      <c r="N342" s="29" t="str">
        <f>IFERROR(IF(Table57[[#This Row],[Out]]&gt;$C$3,(Table57[[#This Row],[Out]])-($C$3),""),"")</f>
        <v/>
      </c>
    </row>
    <row r="343" spans="1:14" hidden="1" x14ac:dyDescent="0.25">
      <c r="A343" s="23" t="str">
        <f>Table57[[#This Row],[No.]]&amp;Table57[[#This Row],[Date]]</f>
        <v>00</v>
      </c>
      <c r="B343" s="22">
        <f>'Unique Dates'!A340</f>
        <v>0</v>
      </c>
      <c r="C343" s="22" t="e" cm="1">
        <f t="array" ref="C343">_xlfn.XLOOKUP(Table57[[#This Row],[No.]],Table2[[#All],[CODE]],Table2[[#All],[NAME]],,0,1)</f>
        <v>#N/A</v>
      </c>
      <c r="D343" s="6">
        <f>'Unique Dates'!B340</f>
        <v>0</v>
      </c>
      <c r="E343" t="str">
        <f>TEXT(Table57[[#This Row],[Date]],"dddd")</f>
        <v>Saturday</v>
      </c>
      <c r="F343" s="25" t="str" cm="1">
        <f t="array" ref="F343">IFERROR(_xlfn.XLOOKUP(Table57[[#This Row],[Code]],Table1[[#All],[Code]],Table1[[#All],[Time]],,0,1),"")</f>
        <v/>
      </c>
      <c r="G343" s="25" t="str" cm="1">
        <f t="array" ref="G343">IFERROR(_xlfn.XLOOKUP(Table57[[#This Row],[Code]],Table1[[#All],[Code]],Table1[[#All],[Time]],,0,-1),"")</f>
        <v/>
      </c>
      <c r="H343" s="23" t="str">
        <f>IFERROR(IF(Table57[[#This Row],[Out]]&gt;=Table57[[#This Row],[In]],Table57[[#This Row],[Out]]-Table57[[#This Row],[In]],(0.5+Table57[[#This Row],[Out]])-Table57[[#This Row],[In]]),"")</f>
        <v/>
      </c>
      <c r="I343" s="31" t="str">
        <f>IFERROR(IF(Table57[[#This Row],[In]]&gt;$C$2,Table57[[#This Row],[In]]-$C$2,""),"")</f>
        <v/>
      </c>
      <c r="J343" s="31" t="str">
        <f>IF(Table57[[#This Row],[Work_Hours]]=0,"",(IF(Table57[[#This Row],[Out]]&lt;$C$3,$C$3-Table57[[#This Row],[Out]],"")))</f>
        <v/>
      </c>
      <c r="K343" s="32" t="str">
        <f>IFERROR(Table57[[#This Row],[In]]+$C$1,"")</f>
        <v/>
      </c>
      <c r="L343" s="29"/>
      <c r="M343" s="31" t="str">
        <f>IF($C$2&gt;Table57[[#This Row],[In]],$C$2-Table57[[#This Row],[In]],"")</f>
        <v/>
      </c>
      <c r="N343" s="29" t="str">
        <f>IFERROR(IF(Table57[[#This Row],[Out]]&gt;$C$3,(Table57[[#This Row],[Out]])-($C$3),""),"")</f>
        <v/>
      </c>
    </row>
    <row r="344" spans="1:14" hidden="1" x14ac:dyDescent="0.25">
      <c r="A344" s="23" t="str">
        <f>Table57[[#This Row],[No.]]&amp;Table57[[#This Row],[Date]]</f>
        <v>00</v>
      </c>
      <c r="B344" s="22">
        <f>'Unique Dates'!A341</f>
        <v>0</v>
      </c>
      <c r="C344" s="22" t="e" cm="1">
        <f t="array" ref="C344">_xlfn.XLOOKUP(Table57[[#This Row],[No.]],Table2[[#All],[CODE]],Table2[[#All],[NAME]],,0,1)</f>
        <v>#N/A</v>
      </c>
      <c r="D344" s="6">
        <f>'Unique Dates'!B341</f>
        <v>0</v>
      </c>
      <c r="E344" t="str">
        <f>TEXT(Table57[[#This Row],[Date]],"dddd")</f>
        <v>Saturday</v>
      </c>
      <c r="F344" s="25" t="str" cm="1">
        <f t="array" ref="F344">IFERROR(_xlfn.XLOOKUP(Table57[[#This Row],[Code]],Table1[[#All],[Code]],Table1[[#All],[Time]],,0,1),"")</f>
        <v/>
      </c>
      <c r="G344" s="25" t="str" cm="1">
        <f t="array" ref="G344">IFERROR(_xlfn.XLOOKUP(Table57[[#This Row],[Code]],Table1[[#All],[Code]],Table1[[#All],[Time]],,0,-1),"")</f>
        <v/>
      </c>
      <c r="H344" s="23" t="str">
        <f>IFERROR(IF(Table57[[#This Row],[Out]]&gt;=Table57[[#This Row],[In]],Table57[[#This Row],[Out]]-Table57[[#This Row],[In]],(0.5+Table57[[#This Row],[Out]])-Table57[[#This Row],[In]]),"")</f>
        <v/>
      </c>
      <c r="I344" s="31" t="str">
        <f>IFERROR(IF(Table57[[#This Row],[In]]&gt;$C$2,Table57[[#This Row],[In]]-$C$2,""),"")</f>
        <v/>
      </c>
      <c r="J344" s="31" t="str">
        <f>IF(Table57[[#This Row],[Work_Hours]]=0,"",(IF(Table57[[#This Row],[Out]]&lt;$C$3,$C$3-Table57[[#This Row],[Out]],"")))</f>
        <v/>
      </c>
      <c r="K344" s="32" t="str">
        <f>IFERROR(Table57[[#This Row],[In]]+$C$1,"")</f>
        <v/>
      </c>
      <c r="L344" s="29"/>
      <c r="M344" s="31" t="str">
        <f>IF($C$2&gt;Table57[[#This Row],[In]],$C$2-Table57[[#This Row],[In]],"")</f>
        <v/>
      </c>
      <c r="N344" s="29" t="str">
        <f>IFERROR(IF(Table57[[#This Row],[Out]]&gt;$C$3,(Table57[[#This Row],[Out]])-($C$3),""),"")</f>
        <v/>
      </c>
    </row>
    <row r="345" spans="1:14" hidden="1" x14ac:dyDescent="0.25">
      <c r="A345" s="23" t="str">
        <f>Table57[[#This Row],[No.]]&amp;Table57[[#This Row],[Date]]</f>
        <v>00</v>
      </c>
      <c r="B345" s="22">
        <f>'Unique Dates'!A342</f>
        <v>0</v>
      </c>
      <c r="C345" s="22" t="e" cm="1">
        <f t="array" ref="C345">_xlfn.XLOOKUP(Table57[[#This Row],[No.]],Table2[[#All],[CODE]],Table2[[#All],[NAME]],,0,1)</f>
        <v>#N/A</v>
      </c>
      <c r="D345" s="6">
        <f>'Unique Dates'!B342</f>
        <v>0</v>
      </c>
      <c r="E345" t="str">
        <f>TEXT(Table57[[#This Row],[Date]],"dddd")</f>
        <v>Saturday</v>
      </c>
      <c r="F345" s="25" t="str" cm="1">
        <f t="array" ref="F345">IFERROR(_xlfn.XLOOKUP(Table57[[#This Row],[Code]],Table1[[#All],[Code]],Table1[[#All],[Time]],,0,1),"")</f>
        <v/>
      </c>
      <c r="G345" s="25" t="str" cm="1">
        <f t="array" ref="G345">IFERROR(_xlfn.XLOOKUP(Table57[[#This Row],[Code]],Table1[[#All],[Code]],Table1[[#All],[Time]],,0,-1),"")</f>
        <v/>
      </c>
      <c r="H345" s="23" t="str">
        <f>IFERROR(IF(Table57[[#This Row],[Out]]&gt;=Table57[[#This Row],[In]],Table57[[#This Row],[Out]]-Table57[[#This Row],[In]],(0.5+Table57[[#This Row],[Out]])-Table57[[#This Row],[In]]),"")</f>
        <v/>
      </c>
      <c r="I345" s="31" t="str">
        <f>IFERROR(IF(Table57[[#This Row],[In]]&gt;$C$2,Table57[[#This Row],[In]]-$C$2,""),"")</f>
        <v/>
      </c>
      <c r="J345" s="31" t="str">
        <f>IF(Table57[[#This Row],[Work_Hours]]=0,"",(IF(Table57[[#This Row],[Out]]&lt;$C$3,$C$3-Table57[[#This Row],[Out]],"")))</f>
        <v/>
      </c>
      <c r="K345" s="32" t="str">
        <f>IFERROR(Table57[[#This Row],[In]]+$C$1,"")</f>
        <v/>
      </c>
      <c r="L345" s="29"/>
      <c r="M345" s="31" t="str">
        <f>IF($C$2&gt;Table57[[#This Row],[In]],$C$2-Table57[[#This Row],[In]],"")</f>
        <v/>
      </c>
      <c r="N345" s="29" t="str">
        <f>IFERROR(IF(Table57[[#This Row],[Out]]&gt;$C$3,(Table57[[#This Row],[Out]])-($C$3),""),"")</f>
        <v/>
      </c>
    </row>
    <row r="346" spans="1:14" hidden="1" x14ac:dyDescent="0.25">
      <c r="A346" s="23" t="str">
        <f>Table57[[#This Row],[No.]]&amp;Table57[[#This Row],[Date]]</f>
        <v>00</v>
      </c>
      <c r="B346" s="22">
        <f>'Unique Dates'!A343</f>
        <v>0</v>
      </c>
      <c r="C346" s="22" t="e" cm="1">
        <f t="array" ref="C346">_xlfn.XLOOKUP(Table57[[#This Row],[No.]],Table2[[#All],[CODE]],Table2[[#All],[NAME]],,0,1)</f>
        <v>#N/A</v>
      </c>
      <c r="D346" s="6">
        <f>'Unique Dates'!B343</f>
        <v>0</v>
      </c>
      <c r="E346" t="str">
        <f>TEXT(Table57[[#This Row],[Date]],"dddd")</f>
        <v>Saturday</v>
      </c>
      <c r="F346" s="25" t="str" cm="1">
        <f t="array" ref="F346">IFERROR(_xlfn.XLOOKUP(Table57[[#This Row],[Code]],Table1[[#All],[Code]],Table1[[#All],[Time]],,0,1),"")</f>
        <v/>
      </c>
      <c r="G346" s="25" t="str" cm="1">
        <f t="array" ref="G346">IFERROR(_xlfn.XLOOKUP(Table57[[#This Row],[Code]],Table1[[#All],[Code]],Table1[[#All],[Time]],,0,-1),"")</f>
        <v/>
      </c>
      <c r="H346" s="23" t="str">
        <f>IFERROR(IF(Table57[[#This Row],[Out]]&gt;=Table57[[#This Row],[In]],Table57[[#This Row],[Out]]-Table57[[#This Row],[In]],(0.5+Table57[[#This Row],[Out]])-Table57[[#This Row],[In]]),"")</f>
        <v/>
      </c>
      <c r="I346" s="31" t="str">
        <f>IFERROR(IF(Table57[[#This Row],[In]]&gt;$C$2,Table57[[#This Row],[In]]-$C$2,""),"")</f>
        <v/>
      </c>
      <c r="J346" s="31" t="str">
        <f>IF(Table57[[#This Row],[Work_Hours]]=0,"",(IF(Table57[[#This Row],[Out]]&lt;$C$3,$C$3-Table57[[#This Row],[Out]],"")))</f>
        <v/>
      </c>
      <c r="K346" s="32" t="str">
        <f>IFERROR(Table57[[#This Row],[In]]+$C$1,"")</f>
        <v/>
      </c>
      <c r="L346" s="29"/>
      <c r="M346" s="31" t="str">
        <f>IF($C$2&gt;Table57[[#This Row],[In]],$C$2-Table57[[#This Row],[In]],"")</f>
        <v/>
      </c>
      <c r="N346" s="29" t="str">
        <f>IFERROR(IF(Table57[[#This Row],[Out]]&gt;$C$3,(Table57[[#This Row],[Out]])-($C$3),""),"")</f>
        <v/>
      </c>
    </row>
    <row r="347" spans="1:14" hidden="1" x14ac:dyDescent="0.25">
      <c r="A347" s="23" t="str">
        <f>Table57[[#This Row],[No.]]&amp;Table57[[#This Row],[Date]]</f>
        <v>00</v>
      </c>
      <c r="B347" s="22">
        <f>'Unique Dates'!A344</f>
        <v>0</v>
      </c>
      <c r="C347" s="22" t="e" cm="1">
        <f t="array" ref="C347">_xlfn.XLOOKUP(Table57[[#This Row],[No.]],Table2[[#All],[CODE]],Table2[[#All],[NAME]],,0,1)</f>
        <v>#N/A</v>
      </c>
      <c r="D347" s="6">
        <f>'Unique Dates'!B344</f>
        <v>0</v>
      </c>
      <c r="E347" t="str">
        <f>TEXT(Table57[[#This Row],[Date]],"dddd")</f>
        <v>Saturday</v>
      </c>
      <c r="F347" s="25" t="str" cm="1">
        <f t="array" ref="F347">IFERROR(_xlfn.XLOOKUP(Table57[[#This Row],[Code]],Table1[[#All],[Code]],Table1[[#All],[Time]],,0,1),"")</f>
        <v/>
      </c>
      <c r="G347" s="25" t="str" cm="1">
        <f t="array" ref="G347">IFERROR(_xlfn.XLOOKUP(Table57[[#This Row],[Code]],Table1[[#All],[Code]],Table1[[#All],[Time]],,0,-1),"")</f>
        <v/>
      </c>
      <c r="H347" s="23" t="str">
        <f>IFERROR(IF(Table57[[#This Row],[Out]]&gt;=Table57[[#This Row],[In]],Table57[[#This Row],[Out]]-Table57[[#This Row],[In]],(0.5+Table57[[#This Row],[Out]])-Table57[[#This Row],[In]]),"")</f>
        <v/>
      </c>
      <c r="I347" s="31" t="str">
        <f>IFERROR(IF(Table57[[#This Row],[In]]&gt;$C$2,Table57[[#This Row],[In]]-$C$2,""),"")</f>
        <v/>
      </c>
      <c r="J347" s="31" t="str">
        <f>IF(Table57[[#This Row],[Work_Hours]]=0,"",(IF(Table57[[#This Row],[Out]]&lt;$C$3,$C$3-Table57[[#This Row],[Out]],"")))</f>
        <v/>
      </c>
      <c r="K347" s="32" t="str">
        <f>IFERROR(Table57[[#This Row],[In]]+$C$1,"")</f>
        <v/>
      </c>
      <c r="L347" s="29"/>
      <c r="M347" s="31" t="str">
        <f>IF($C$2&gt;Table57[[#This Row],[In]],$C$2-Table57[[#This Row],[In]],"")</f>
        <v/>
      </c>
      <c r="N347" s="29" t="str">
        <f>IFERROR(IF(Table57[[#This Row],[Out]]&gt;$C$3,(Table57[[#This Row],[Out]])-($C$3),""),"")</f>
        <v/>
      </c>
    </row>
    <row r="348" spans="1:14" hidden="1" x14ac:dyDescent="0.25">
      <c r="A348" s="23" t="str">
        <f>Table57[[#This Row],[No.]]&amp;Table57[[#This Row],[Date]]</f>
        <v>00</v>
      </c>
      <c r="B348" s="22">
        <f>'Unique Dates'!A345</f>
        <v>0</v>
      </c>
      <c r="C348" s="22" t="e" cm="1">
        <f t="array" ref="C348">_xlfn.XLOOKUP(Table57[[#This Row],[No.]],Table2[[#All],[CODE]],Table2[[#All],[NAME]],,0,1)</f>
        <v>#N/A</v>
      </c>
      <c r="D348" s="6">
        <f>'Unique Dates'!B345</f>
        <v>0</v>
      </c>
      <c r="E348" t="str">
        <f>TEXT(Table57[[#This Row],[Date]],"dddd")</f>
        <v>Saturday</v>
      </c>
      <c r="F348" s="25" t="str" cm="1">
        <f t="array" ref="F348">IFERROR(_xlfn.XLOOKUP(Table57[[#This Row],[Code]],Table1[[#All],[Code]],Table1[[#All],[Time]],,0,1),"")</f>
        <v/>
      </c>
      <c r="G348" s="25" t="str" cm="1">
        <f t="array" ref="G348">IFERROR(_xlfn.XLOOKUP(Table57[[#This Row],[Code]],Table1[[#All],[Code]],Table1[[#All],[Time]],,0,-1),"")</f>
        <v/>
      </c>
      <c r="H348" s="23" t="str">
        <f>IFERROR(IF(Table57[[#This Row],[Out]]&gt;=Table57[[#This Row],[In]],Table57[[#This Row],[Out]]-Table57[[#This Row],[In]],(0.5+Table57[[#This Row],[Out]])-Table57[[#This Row],[In]]),"")</f>
        <v/>
      </c>
      <c r="I348" s="31" t="str">
        <f>IFERROR(IF(Table57[[#This Row],[In]]&gt;$C$2,Table57[[#This Row],[In]]-$C$2,""),"")</f>
        <v/>
      </c>
      <c r="J348" s="31" t="str">
        <f>IF(Table57[[#This Row],[Work_Hours]]=0,"",(IF(Table57[[#This Row],[Out]]&lt;$C$3,$C$3-Table57[[#This Row],[Out]],"")))</f>
        <v/>
      </c>
      <c r="K348" s="32" t="str">
        <f>IFERROR(Table57[[#This Row],[In]]+$C$1,"")</f>
        <v/>
      </c>
      <c r="L348" s="29"/>
      <c r="M348" s="31" t="str">
        <f>IF($C$2&gt;Table57[[#This Row],[In]],$C$2-Table57[[#This Row],[In]],"")</f>
        <v/>
      </c>
      <c r="N348" s="29" t="str">
        <f>IFERROR(IF(Table57[[#This Row],[Out]]&gt;$C$3,(Table57[[#This Row],[Out]])-($C$3),""),"")</f>
        <v/>
      </c>
    </row>
    <row r="349" spans="1:14" hidden="1" x14ac:dyDescent="0.25">
      <c r="A349" s="23" t="str">
        <f>Table57[[#This Row],[No.]]&amp;Table57[[#This Row],[Date]]</f>
        <v>00</v>
      </c>
      <c r="B349" s="22">
        <f>'Unique Dates'!A346</f>
        <v>0</v>
      </c>
      <c r="C349" s="22" t="e" cm="1">
        <f t="array" ref="C349">_xlfn.XLOOKUP(Table57[[#This Row],[No.]],Table2[[#All],[CODE]],Table2[[#All],[NAME]],,0,1)</f>
        <v>#N/A</v>
      </c>
      <c r="D349" s="6">
        <f>'Unique Dates'!B346</f>
        <v>0</v>
      </c>
      <c r="E349" t="str">
        <f>TEXT(Table57[[#This Row],[Date]],"dddd")</f>
        <v>Saturday</v>
      </c>
      <c r="F349" s="25" t="str" cm="1">
        <f t="array" ref="F349">IFERROR(_xlfn.XLOOKUP(Table57[[#This Row],[Code]],Table1[[#All],[Code]],Table1[[#All],[Time]],,0,1),"")</f>
        <v/>
      </c>
      <c r="G349" s="25" t="str" cm="1">
        <f t="array" ref="G349">IFERROR(_xlfn.XLOOKUP(Table57[[#This Row],[Code]],Table1[[#All],[Code]],Table1[[#All],[Time]],,0,-1),"")</f>
        <v/>
      </c>
      <c r="H349" s="23" t="str">
        <f>IFERROR(IF(Table57[[#This Row],[Out]]&gt;=Table57[[#This Row],[In]],Table57[[#This Row],[Out]]-Table57[[#This Row],[In]],(0.5+Table57[[#This Row],[Out]])-Table57[[#This Row],[In]]),"")</f>
        <v/>
      </c>
      <c r="I349" s="31" t="str">
        <f>IFERROR(IF(Table57[[#This Row],[In]]&gt;$C$2,Table57[[#This Row],[In]]-$C$2,""),"")</f>
        <v/>
      </c>
      <c r="J349" s="31" t="str">
        <f>IF(Table57[[#This Row],[Work_Hours]]=0,"",(IF(Table57[[#This Row],[Out]]&lt;$C$3,$C$3-Table57[[#This Row],[Out]],"")))</f>
        <v/>
      </c>
      <c r="K349" s="32" t="str">
        <f>IFERROR(Table57[[#This Row],[In]]+$C$1,"")</f>
        <v/>
      </c>
      <c r="L349" s="29"/>
      <c r="M349" s="31" t="str">
        <f>IF($C$2&gt;Table57[[#This Row],[In]],$C$2-Table57[[#This Row],[In]],"")</f>
        <v/>
      </c>
      <c r="N349" s="29" t="str">
        <f>IFERROR(IF(Table57[[#This Row],[Out]]&gt;$C$3,(Table57[[#This Row],[Out]])-($C$3),""),"")</f>
        <v/>
      </c>
    </row>
    <row r="350" spans="1:14" hidden="1" x14ac:dyDescent="0.25">
      <c r="A350" s="23" t="str">
        <f>Table57[[#This Row],[No.]]&amp;Table57[[#This Row],[Date]]</f>
        <v>00</v>
      </c>
      <c r="B350" s="22">
        <f>'Unique Dates'!A347</f>
        <v>0</v>
      </c>
      <c r="C350" s="22" t="e" cm="1">
        <f t="array" ref="C350">_xlfn.XLOOKUP(Table57[[#This Row],[No.]],Table2[[#All],[CODE]],Table2[[#All],[NAME]],,0,1)</f>
        <v>#N/A</v>
      </c>
      <c r="D350" s="6">
        <f>'Unique Dates'!B347</f>
        <v>0</v>
      </c>
      <c r="E350" t="str">
        <f>TEXT(Table57[[#This Row],[Date]],"dddd")</f>
        <v>Saturday</v>
      </c>
      <c r="F350" s="25" t="str" cm="1">
        <f t="array" ref="F350">IFERROR(_xlfn.XLOOKUP(Table57[[#This Row],[Code]],Table1[[#All],[Code]],Table1[[#All],[Time]],,0,1),"")</f>
        <v/>
      </c>
      <c r="G350" s="25" t="str" cm="1">
        <f t="array" ref="G350">IFERROR(_xlfn.XLOOKUP(Table57[[#This Row],[Code]],Table1[[#All],[Code]],Table1[[#All],[Time]],,0,-1),"")</f>
        <v/>
      </c>
      <c r="H350" s="23" t="str">
        <f>IFERROR(IF(Table57[[#This Row],[Out]]&gt;=Table57[[#This Row],[In]],Table57[[#This Row],[Out]]-Table57[[#This Row],[In]],(0.5+Table57[[#This Row],[Out]])-Table57[[#This Row],[In]]),"")</f>
        <v/>
      </c>
      <c r="I350" s="31" t="str">
        <f>IFERROR(IF(Table57[[#This Row],[In]]&gt;$C$2,Table57[[#This Row],[In]]-$C$2,""),"")</f>
        <v/>
      </c>
      <c r="J350" s="31" t="str">
        <f>IF(Table57[[#This Row],[Work_Hours]]=0,"",(IF(Table57[[#This Row],[Out]]&lt;$C$3,$C$3-Table57[[#This Row],[Out]],"")))</f>
        <v/>
      </c>
      <c r="K350" s="32" t="str">
        <f>IFERROR(Table57[[#This Row],[In]]+$C$1,"")</f>
        <v/>
      </c>
      <c r="L350" s="29"/>
      <c r="M350" s="31" t="str">
        <f>IF($C$2&gt;Table57[[#This Row],[In]],$C$2-Table57[[#This Row],[In]],"")</f>
        <v/>
      </c>
      <c r="N350" s="29" t="str">
        <f>IFERROR(IF(Table57[[#This Row],[Out]]&gt;$C$3,(Table57[[#This Row],[Out]])-($C$3),""),"")</f>
        <v/>
      </c>
    </row>
    <row r="351" spans="1:14" hidden="1" x14ac:dyDescent="0.25">
      <c r="A351" s="23" t="str">
        <f>Table57[[#This Row],[No.]]&amp;Table57[[#This Row],[Date]]</f>
        <v>00</v>
      </c>
      <c r="B351" s="22">
        <f>'Unique Dates'!A348</f>
        <v>0</v>
      </c>
      <c r="C351" s="22" t="e" cm="1">
        <f t="array" ref="C351">_xlfn.XLOOKUP(Table57[[#This Row],[No.]],Table2[[#All],[CODE]],Table2[[#All],[NAME]],,0,1)</f>
        <v>#N/A</v>
      </c>
      <c r="D351" s="6">
        <f>'Unique Dates'!B348</f>
        <v>0</v>
      </c>
      <c r="E351" t="str">
        <f>TEXT(Table57[[#This Row],[Date]],"dddd")</f>
        <v>Saturday</v>
      </c>
      <c r="F351" s="25" t="str" cm="1">
        <f t="array" ref="F351">IFERROR(_xlfn.XLOOKUP(Table57[[#This Row],[Code]],Table1[[#All],[Code]],Table1[[#All],[Time]],,0,1),"")</f>
        <v/>
      </c>
      <c r="G351" s="25" t="str" cm="1">
        <f t="array" ref="G351">IFERROR(_xlfn.XLOOKUP(Table57[[#This Row],[Code]],Table1[[#All],[Code]],Table1[[#All],[Time]],,0,-1),"")</f>
        <v/>
      </c>
      <c r="H351" s="23" t="str">
        <f>IFERROR(IF(Table57[[#This Row],[Out]]&gt;=Table57[[#This Row],[In]],Table57[[#This Row],[Out]]-Table57[[#This Row],[In]],(0.5+Table57[[#This Row],[Out]])-Table57[[#This Row],[In]]),"")</f>
        <v/>
      </c>
      <c r="I351" s="31" t="str">
        <f>IFERROR(IF(Table57[[#This Row],[In]]&gt;$C$2,Table57[[#This Row],[In]]-$C$2,""),"")</f>
        <v/>
      </c>
      <c r="J351" s="31" t="str">
        <f>IF(Table57[[#This Row],[Work_Hours]]=0,"",(IF(Table57[[#This Row],[Out]]&lt;$C$3,$C$3-Table57[[#This Row],[Out]],"")))</f>
        <v/>
      </c>
      <c r="K351" s="32" t="str">
        <f>IFERROR(Table57[[#This Row],[In]]+$C$1,"")</f>
        <v/>
      </c>
      <c r="L351" s="29"/>
      <c r="M351" s="31" t="str">
        <f>IF($C$2&gt;Table57[[#This Row],[In]],$C$2-Table57[[#This Row],[In]],"")</f>
        <v/>
      </c>
      <c r="N351" s="29" t="str">
        <f>IFERROR(IF(Table57[[#This Row],[Out]]&gt;$C$3,(Table57[[#This Row],[Out]])-($C$3),""),"")</f>
        <v/>
      </c>
    </row>
    <row r="352" spans="1:14" hidden="1" x14ac:dyDescent="0.25">
      <c r="A352" s="23" t="str">
        <f>Table57[[#This Row],[No.]]&amp;Table57[[#This Row],[Date]]</f>
        <v>00</v>
      </c>
      <c r="B352" s="22">
        <f>'Unique Dates'!A349</f>
        <v>0</v>
      </c>
      <c r="C352" s="22" t="e" cm="1">
        <f t="array" ref="C352">_xlfn.XLOOKUP(Table57[[#This Row],[No.]],Table2[[#All],[CODE]],Table2[[#All],[NAME]],,0,1)</f>
        <v>#N/A</v>
      </c>
      <c r="D352" s="6">
        <f>'Unique Dates'!B349</f>
        <v>0</v>
      </c>
      <c r="E352" t="str">
        <f>TEXT(Table57[[#This Row],[Date]],"dddd")</f>
        <v>Saturday</v>
      </c>
      <c r="F352" s="25" t="str" cm="1">
        <f t="array" ref="F352">IFERROR(_xlfn.XLOOKUP(Table57[[#This Row],[Code]],Table1[[#All],[Code]],Table1[[#All],[Time]],,0,1),"")</f>
        <v/>
      </c>
      <c r="G352" s="25" t="str" cm="1">
        <f t="array" ref="G352">IFERROR(_xlfn.XLOOKUP(Table57[[#This Row],[Code]],Table1[[#All],[Code]],Table1[[#All],[Time]],,0,-1),"")</f>
        <v/>
      </c>
      <c r="H352" s="23" t="str">
        <f>IFERROR(IF(Table57[[#This Row],[Out]]&gt;=Table57[[#This Row],[In]],Table57[[#This Row],[Out]]-Table57[[#This Row],[In]],(0.5+Table57[[#This Row],[Out]])-Table57[[#This Row],[In]]),"")</f>
        <v/>
      </c>
      <c r="I352" s="31" t="str">
        <f>IFERROR(IF(Table57[[#This Row],[In]]&gt;$C$2,Table57[[#This Row],[In]]-$C$2,""),"")</f>
        <v/>
      </c>
      <c r="J352" s="31" t="str">
        <f>IF(Table57[[#This Row],[Work_Hours]]=0,"",(IF(Table57[[#This Row],[Out]]&lt;$C$3,$C$3-Table57[[#This Row],[Out]],"")))</f>
        <v/>
      </c>
      <c r="K352" s="32" t="str">
        <f>IFERROR(Table57[[#This Row],[In]]+$C$1,"")</f>
        <v/>
      </c>
      <c r="L352" s="29"/>
      <c r="M352" s="31" t="str">
        <f>IF($C$2&gt;Table57[[#This Row],[In]],$C$2-Table57[[#This Row],[In]],"")</f>
        <v/>
      </c>
      <c r="N352" s="29" t="str">
        <f>IFERROR(IF(Table57[[#This Row],[Out]]&gt;$C$3,(Table57[[#This Row],[Out]])-($C$3),""),"")</f>
        <v/>
      </c>
    </row>
    <row r="353" spans="1:14" hidden="1" x14ac:dyDescent="0.25">
      <c r="A353" s="23" t="str">
        <f>Table57[[#This Row],[No.]]&amp;Table57[[#This Row],[Date]]</f>
        <v>00</v>
      </c>
      <c r="B353" s="22">
        <f>'Unique Dates'!A350</f>
        <v>0</v>
      </c>
      <c r="C353" s="22" t="e" cm="1">
        <f t="array" ref="C353">_xlfn.XLOOKUP(Table57[[#This Row],[No.]],Table2[[#All],[CODE]],Table2[[#All],[NAME]],,0,1)</f>
        <v>#N/A</v>
      </c>
      <c r="D353" s="6">
        <f>'Unique Dates'!B350</f>
        <v>0</v>
      </c>
      <c r="E353" t="str">
        <f>TEXT(Table57[[#This Row],[Date]],"dddd")</f>
        <v>Saturday</v>
      </c>
      <c r="F353" s="25" t="str" cm="1">
        <f t="array" ref="F353">IFERROR(_xlfn.XLOOKUP(Table57[[#This Row],[Code]],Table1[[#All],[Code]],Table1[[#All],[Time]],,0,1),"")</f>
        <v/>
      </c>
      <c r="G353" s="25" t="str" cm="1">
        <f t="array" ref="G353">IFERROR(_xlfn.XLOOKUP(Table57[[#This Row],[Code]],Table1[[#All],[Code]],Table1[[#All],[Time]],,0,-1),"")</f>
        <v/>
      </c>
      <c r="H353" s="23" t="str">
        <f>IFERROR(IF(Table57[[#This Row],[Out]]&gt;=Table57[[#This Row],[In]],Table57[[#This Row],[Out]]-Table57[[#This Row],[In]],(0.5+Table57[[#This Row],[Out]])-Table57[[#This Row],[In]]),"")</f>
        <v/>
      </c>
      <c r="I353" s="31" t="str">
        <f>IFERROR(IF(Table57[[#This Row],[In]]&gt;$C$2,Table57[[#This Row],[In]]-$C$2,""),"")</f>
        <v/>
      </c>
      <c r="J353" s="31" t="str">
        <f>IF(Table57[[#This Row],[Work_Hours]]=0,"",(IF(Table57[[#This Row],[Out]]&lt;$C$3,$C$3-Table57[[#This Row],[Out]],"")))</f>
        <v/>
      </c>
      <c r="K353" s="32" t="str">
        <f>IFERROR(Table57[[#This Row],[In]]+$C$1,"")</f>
        <v/>
      </c>
      <c r="L353" s="29"/>
      <c r="M353" s="31" t="str">
        <f>IF($C$2&gt;Table57[[#This Row],[In]],$C$2-Table57[[#This Row],[In]],"")</f>
        <v/>
      </c>
      <c r="N353" s="29" t="str">
        <f>IFERROR(IF(Table57[[#This Row],[Out]]&gt;$C$3,(Table57[[#This Row],[Out]])-($C$3),""),"")</f>
        <v/>
      </c>
    </row>
    <row r="354" spans="1:14" hidden="1" x14ac:dyDescent="0.25">
      <c r="A354" s="23" t="str">
        <f>Table57[[#This Row],[No.]]&amp;Table57[[#This Row],[Date]]</f>
        <v>00</v>
      </c>
      <c r="B354" s="22">
        <f>'Unique Dates'!A351</f>
        <v>0</v>
      </c>
      <c r="C354" s="22" t="e" cm="1">
        <f t="array" ref="C354">_xlfn.XLOOKUP(Table57[[#This Row],[No.]],Table2[[#All],[CODE]],Table2[[#All],[NAME]],,0,1)</f>
        <v>#N/A</v>
      </c>
      <c r="D354" s="6">
        <f>'Unique Dates'!B351</f>
        <v>0</v>
      </c>
      <c r="E354" t="str">
        <f>TEXT(Table57[[#This Row],[Date]],"dddd")</f>
        <v>Saturday</v>
      </c>
      <c r="F354" s="25" t="str" cm="1">
        <f t="array" ref="F354">IFERROR(_xlfn.XLOOKUP(Table57[[#This Row],[Code]],Table1[[#All],[Code]],Table1[[#All],[Time]],,0,1),"")</f>
        <v/>
      </c>
      <c r="G354" s="25" t="str" cm="1">
        <f t="array" ref="G354">IFERROR(_xlfn.XLOOKUP(Table57[[#This Row],[Code]],Table1[[#All],[Code]],Table1[[#All],[Time]],,0,-1),"")</f>
        <v/>
      </c>
      <c r="H354" s="23" t="str">
        <f>IFERROR(IF(Table57[[#This Row],[Out]]&gt;=Table57[[#This Row],[In]],Table57[[#This Row],[Out]]-Table57[[#This Row],[In]],(0.5+Table57[[#This Row],[Out]])-Table57[[#This Row],[In]]),"")</f>
        <v/>
      </c>
      <c r="I354" s="31" t="str">
        <f>IFERROR(IF(Table57[[#This Row],[In]]&gt;$C$2,Table57[[#This Row],[In]]-$C$2,""),"")</f>
        <v/>
      </c>
      <c r="J354" s="31" t="str">
        <f>IF(Table57[[#This Row],[Work_Hours]]=0,"",(IF(Table57[[#This Row],[Out]]&lt;$C$3,$C$3-Table57[[#This Row],[Out]],"")))</f>
        <v/>
      </c>
      <c r="K354" s="32" t="str">
        <f>IFERROR(Table57[[#This Row],[In]]+$C$1,"")</f>
        <v/>
      </c>
      <c r="L354" s="29"/>
      <c r="M354" s="31" t="str">
        <f>IF($C$2&gt;Table57[[#This Row],[In]],$C$2-Table57[[#This Row],[In]],"")</f>
        <v/>
      </c>
      <c r="N354" s="29" t="str">
        <f>IFERROR(IF(Table57[[#This Row],[Out]]&gt;$C$3,(Table57[[#This Row],[Out]])-($C$3),""),"")</f>
        <v/>
      </c>
    </row>
    <row r="355" spans="1:14" hidden="1" x14ac:dyDescent="0.25">
      <c r="A355" s="23" t="str">
        <f>Table57[[#This Row],[No.]]&amp;Table57[[#This Row],[Date]]</f>
        <v>00</v>
      </c>
      <c r="B355" s="22">
        <f>'Unique Dates'!A352</f>
        <v>0</v>
      </c>
      <c r="C355" s="22" t="e" cm="1">
        <f t="array" ref="C355">_xlfn.XLOOKUP(Table57[[#This Row],[No.]],Table2[[#All],[CODE]],Table2[[#All],[NAME]],,0,1)</f>
        <v>#N/A</v>
      </c>
      <c r="D355" s="6">
        <f>'Unique Dates'!B352</f>
        <v>0</v>
      </c>
      <c r="E355" t="str">
        <f>TEXT(Table57[[#This Row],[Date]],"dddd")</f>
        <v>Saturday</v>
      </c>
      <c r="F355" s="25" t="str" cm="1">
        <f t="array" ref="F355">IFERROR(_xlfn.XLOOKUP(Table57[[#This Row],[Code]],Table1[[#All],[Code]],Table1[[#All],[Time]],,0,1),"")</f>
        <v/>
      </c>
      <c r="G355" s="25" t="str" cm="1">
        <f t="array" ref="G355">IFERROR(_xlfn.XLOOKUP(Table57[[#This Row],[Code]],Table1[[#All],[Code]],Table1[[#All],[Time]],,0,-1),"")</f>
        <v/>
      </c>
      <c r="H355" s="23" t="str">
        <f>IFERROR(IF(Table57[[#This Row],[Out]]&gt;=Table57[[#This Row],[In]],Table57[[#This Row],[Out]]-Table57[[#This Row],[In]],(0.5+Table57[[#This Row],[Out]])-Table57[[#This Row],[In]]),"")</f>
        <v/>
      </c>
      <c r="I355" s="31" t="str">
        <f>IFERROR(IF(Table57[[#This Row],[In]]&gt;$C$2,Table57[[#This Row],[In]]-$C$2,""),"")</f>
        <v/>
      </c>
      <c r="J355" s="31" t="str">
        <f>IF(Table57[[#This Row],[Work_Hours]]=0,"",(IF(Table57[[#This Row],[Out]]&lt;$C$3,$C$3-Table57[[#This Row],[Out]],"")))</f>
        <v/>
      </c>
      <c r="K355" s="32" t="str">
        <f>IFERROR(Table57[[#This Row],[In]]+$C$1,"")</f>
        <v/>
      </c>
      <c r="L355" s="29"/>
      <c r="M355" s="31" t="str">
        <f>IF($C$2&gt;Table57[[#This Row],[In]],$C$2-Table57[[#This Row],[In]],"")</f>
        <v/>
      </c>
      <c r="N355" s="29" t="str">
        <f>IFERROR(IF(Table57[[#This Row],[Out]]&gt;$C$3,(Table57[[#This Row],[Out]])-($C$3),""),"")</f>
        <v/>
      </c>
    </row>
    <row r="356" spans="1:14" hidden="1" x14ac:dyDescent="0.25">
      <c r="A356" s="23" t="str">
        <f>Table57[[#This Row],[No.]]&amp;Table57[[#This Row],[Date]]</f>
        <v>00</v>
      </c>
      <c r="B356" s="22">
        <f>'Unique Dates'!A353</f>
        <v>0</v>
      </c>
      <c r="C356" s="22" t="e" cm="1">
        <f t="array" ref="C356">_xlfn.XLOOKUP(Table57[[#This Row],[No.]],Table2[[#All],[CODE]],Table2[[#All],[NAME]],,0,1)</f>
        <v>#N/A</v>
      </c>
      <c r="D356" s="6">
        <f>'Unique Dates'!B353</f>
        <v>0</v>
      </c>
      <c r="E356" t="str">
        <f>TEXT(Table57[[#This Row],[Date]],"dddd")</f>
        <v>Saturday</v>
      </c>
      <c r="F356" s="25" t="str" cm="1">
        <f t="array" ref="F356">IFERROR(_xlfn.XLOOKUP(Table57[[#This Row],[Code]],Table1[[#All],[Code]],Table1[[#All],[Time]],,0,1),"")</f>
        <v/>
      </c>
      <c r="G356" s="25" t="str" cm="1">
        <f t="array" ref="G356">IFERROR(_xlfn.XLOOKUP(Table57[[#This Row],[Code]],Table1[[#All],[Code]],Table1[[#All],[Time]],,0,-1),"")</f>
        <v/>
      </c>
      <c r="H356" s="23" t="str">
        <f>IFERROR(IF(Table57[[#This Row],[Out]]&gt;=Table57[[#This Row],[In]],Table57[[#This Row],[Out]]-Table57[[#This Row],[In]],(0.5+Table57[[#This Row],[Out]])-Table57[[#This Row],[In]]),"")</f>
        <v/>
      </c>
      <c r="I356" s="31" t="str">
        <f>IFERROR(IF(Table57[[#This Row],[In]]&gt;$C$2,Table57[[#This Row],[In]]-$C$2,""),"")</f>
        <v/>
      </c>
      <c r="J356" s="31" t="str">
        <f>IF(Table57[[#This Row],[Work_Hours]]=0,"",(IF(Table57[[#This Row],[Out]]&lt;$C$3,$C$3-Table57[[#This Row],[Out]],"")))</f>
        <v/>
      </c>
      <c r="K356" s="32" t="str">
        <f>IFERROR(Table57[[#This Row],[In]]+$C$1,"")</f>
        <v/>
      </c>
      <c r="L356" s="29"/>
      <c r="M356" s="31" t="str">
        <f>IF($C$2&gt;Table57[[#This Row],[In]],$C$2-Table57[[#This Row],[In]],"")</f>
        <v/>
      </c>
      <c r="N356" s="29" t="str">
        <f>IFERROR(IF(Table57[[#This Row],[Out]]&gt;$C$3,(Table57[[#This Row],[Out]])-($C$3),""),"")</f>
        <v/>
      </c>
    </row>
    <row r="357" spans="1:14" hidden="1" x14ac:dyDescent="0.25">
      <c r="A357" s="23" t="str">
        <f>Table57[[#This Row],[No.]]&amp;Table57[[#This Row],[Date]]</f>
        <v>00</v>
      </c>
      <c r="B357" s="22">
        <f>'Unique Dates'!A354</f>
        <v>0</v>
      </c>
      <c r="C357" s="22" t="e" cm="1">
        <f t="array" ref="C357">_xlfn.XLOOKUP(Table57[[#This Row],[No.]],Table2[[#All],[CODE]],Table2[[#All],[NAME]],,0,1)</f>
        <v>#N/A</v>
      </c>
      <c r="D357" s="6">
        <f>'Unique Dates'!B354</f>
        <v>0</v>
      </c>
      <c r="E357" t="str">
        <f>TEXT(Table57[[#This Row],[Date]],"dddd")</f>
        <v>Saturday</v>
      </c>
      <c r="F357" s="25" t="str" cm="1">
        <f t="array" ref="F357">IFERROR(_xlfn.XLOOKUP(Table57[[#This Row],[Code]],Table1[[#All],[Code]],Table1[[#All],[Time]],,0,1),"")</f>
        <v/>
      </c>
      <c r="G357" s="25" t="str" cm="1">
        <f t="array" ref="G357">IFERROR(_xlfn.XLOOKUP(Table57[[#This Row],[Code]],Table1[[#All],[Code]],Table1[[#All],[Time]],,0,-1),"")</f>
        <v/>
      </c>
      <c r="H357" s="23" t="str">
        <f>IFERROR(IF(Table57[[#This Row],[Out]]&gt;=Table57[[#This Row],[In]],Table57[[#This Row],[Out]]-Table57[[#This Row],[In]],(0.5+Table57[[#This Row],[Out]])-Table57[[#This Row],[In]]),"")</f>
        <v/>
      </c>
      <c r="I357" s="31" t="str">
        <f>IFERROR(IF(Table57[[#This Row],[In]]&gt;$C$2,Table57[[#This Row],[In]]-$C$2,""),"")</f>
        <v/>
      </c>
      <c r="J357" s="31" t="str">
        <f>IF(Table57[[#This Row],[Work_Hours]]=0,"",(IF(Table57[[#This Row],[Out]]&lt;$C$3,$C$3-Table57[[#This Row],[Out]],"")))</f>
        <v/>
      </c>
      <c r="K357" s="32" t="str">
        <f>IFERROR(Table57[[#This Row],[In]]+$C$1,"")</f>
        <v/>
      </c>
      <c r="L357" s="29"/>
      <c r="M357" s="31" t="str">
        <f>IF($C$2&gt;Table57[[#This Row],[In]],$C$2-Table57[[#This Row],[In]],"")</f>
        <v/>
      </c>
      <c r="N357" s="29" t="str">
        <f>IFERROR(IF(Table57[[#This Row],[Out]]&gt;$C$3,(Table57[[#This Row],[Out]])-($C$3),""),"")</f>
        <v/>
      </c>
    </row>
    <row r="358" spans="1:14" hidden="1" x14ac:dyDescent="0.25">
      <c r="A358" s="23" t="str">
        <f>Table57[[#This Row],[No.]]&amp;Table57[[#This Row],[Date]]</f>
        <v>00</v>
      </c>
      <c r="B358" s="22">
        <f>'Unique Dates'!A355</f>
        <v>0</v>
      </c>
      <c r="C358" s="22" t="e" cm="1">
        <f t="array" ref="C358">_xlfn.XLOOKUP(Table57[[#This Row],[No.]],Table2[[#All],[CODE]],Table2[[#All],[NAME]],,0,1)</f>
        <v>#N/A</v>
      </c>
      <c r="D358" s="6">
        <f>'Unique Dates'!B355</f>
        <v>0</v>
      </c>
      <c r="E358" t="str">
        <f>TEXT(Table57[[#This Row],[Date]],"dddd")</f>
        <v>Saturday</v>
      </c>
      <c r="F358" s="25" t="str" cm="1">
        <f t="array" ref="F358">IFERROR(_xlfn.XLOOKUP(Table57[[#This Row],[Code]],Table1[[#All],[Code]],Table1[[#All],[Time]],,0,1),"")</f>
        <v/>
      </c>
      <c r="G358" s="25" t="str" cm="1">
        <f t="array" ref="G358">IFERROR(_xlfn.XLOOKUP(Table57[[#This Row],[Code]],Table1[[#All],[Code]],Table1[[#All],[Time]],,0,-1),"")</f>
        <v/>
      </c>
      <c r="H358" s="23" t="str">
        <f>IFERROR(IF(Table57[[#This Row],[Out]]&gt;=Table57[[#This Row],[In]],Table57[[#This Row],[Out]]-Table57[[#This Row],[In]],(0.5+Table57[[#This Row],[Out]])-Table57[[#This Row],[In]]),"")</f>
        <v/>
      </c>
      <c r="I358" s="31" t="str">
        <f>IFERROR(IF(Table57[[#This Row],[In]]&gt;$C$2,Table57[[#This Row],[In]]-$C$2,""),"")</f>
        <v/>
      </c>
      <c r="J358" s="31" t="str">
        <f>IF(Table57[[#This Row],[Work_Hours]]=0,"",(IF(Table57[[#This Row],[Out]]&lt;$C$3,$C$3-Table57[[#This Row],[Out]],"")))</f>
        <v/>
      </c>
      <c r="K358" s="32" t="str">
        <f>IFERROR(Table57[[#This Row],[In]]+$C$1,"")</f>
        <v/>
      </c>
      <c r="L358" s="29"/>
      <c r="M358" s="31" t="str">
        <f>IF($C$2&gt;Table57[[#This Row],[In]],$C$2-Table57[[#This Row],[In]],"")</f>
        <v/>
      </c>
      <c r="N358" s="29" t="str">
        <f>IFERROR(IF(Table57[[#This Row],[Out]]&gt;$C$3,(Table57[[#This Row],[Out]])-($C$3),""),"")</f>
        <v/>
      </c>
    </row>
    <row r="359" spans="1:14" hidden="1" x14ac:dyDescent="0.25">
      <c r="A359" s="23" t="str">
        <f>Table57[[#This Row],[No.]]&amp;Table57[[#This Row],[Date]]</f>
        <v>00</v>
      </c>
      <c r="B359" s="22">
        <f>'Unique Dates'!A356</f>
        <v>0</v>
      </c>
      <c r="C359" s="22" t="e" cm="1">
        <f t="array" ref="C359">_xlfn.XLOOKUP(Table57[[#This Row],[No.]],Table2[[#All],[CODE]],Table2[[#All],[NAME]],,0,1)</f>
        <v>#N/A</v>
      </c>
      <c r="D359" s="6">
        <f>'Unique Dates'!B356</f>
        <v>0</v>
      </c>
      <c r="E359" t="str">
        <f>TEXT(Table57[[#This Row],[Date]],"dddd")</f>
        <v>Saturday</v>
      </c>
      <c r="F359" s="25" t="str" cm="1">
        <f t="array" ref="F359">IFERROR(_xlfn.XLOOKUP(Table57[[#This Row],[Code]],Table1[[#All],[Code]],Table1[[#All],[Time]],,0,1),"")</f>
        <v/>
      </c>
      <c r="G359" s="25" t="str" cm="1">
        <f t="array" ref="G359">IFERROR(_xlfn.XLOOKUP(Table57[[#This Row],[Code]],Table1[[#All],[Code]],Table1[[#All],[Time]],,0,-1),"")</f>
        <v/>
      </c>
      <c r="H359" s="23" t="str">
        <f>IFERROR(IF(Table57[[#This Row],[Out]]&gt;=Table57[[#This Row],[In]],Table57[[#This Row],[Out]]-Table57[[#This Row],[In]],(0.5+Table57[[#This Row],[Out]])-Table57[[#This Row],[In]]),"")</f>
        <v/>
      </c>
      <c r="I359" s="31" t="str">
        <f>IFERROR(IF(Table57[[#This Row],[In]]&gt;$C$2,Table57[[#This Row],[In]]-$C$2,""),"")</f>
        <v/>
      </c>
      <c r="J359" s="31" t="str">
        <f>IF(Table57[[#This Row],[Work_Hours]]=0,"",(IF(Table57[[#This Row],[Out]]&lt;$C$3,$C$3-Table57[[#This Row],[Out]],"")))</f>
        <v/>
      </c>
      <c r="K359" s="32" t="str">
        <f>IFERROR(Table57[[#This Row],[In]]+$C$1,"")</f>
        <v/>
      </c>
      <c r="L359" s="29"/>
      <c r="M359" s="31" t="str">
        <f>IF($C$2&gt;Table57[[#This Row],[In]],$C$2-Table57[[#This Row],[In]],"")</f>
        <v/>
      </c>
      <c r="N359" s="29" t="str">
        <f>IFERROR(IF(Table57[[#This Row],[Out]]&gt;$C$3,(Table57[[#This Row],[Out]])-($C$3),""),"")</f>
        <v/>
      </c>
    </row>
    <row r="360" spans="1:14" hidden="1" x14ac:dyDescent="0.25">
      <c r="A360" s="23" t="str">
        <f>Table57[[#This Row],[No.]]&amp;Table57[[#This Row],[Date]]</f>
        <v>00</v>
      </c>
      <c r="B360" s="22">
        <f>'Unique Dates'!A357</f>
        <v>0</v>
      </c>
      <c r="C360" s="22" t="e" cm="1">
        <f t="array" ref="C360">_xlfn.XLOOKUP(Table57[[#This Row],[No.]],Table2[[#All],[CODE]],Table2[[#All],[NAME]],,0,1)</f>
        <v>#N/A</v>
      </c>
      <c r="D360" s="6">
        <f>'Unique Dates'!B357</f>
        <v>0</v>
      </c>
      <c r="E360" t="str">
        <f>TEXT(Table57[[#This Row],[Date]],"dddd")</f>
        <v>Saturday</v>
      </c>
      <c r="F360" s="25" t="str" cm="1">
        <f t="array" ref="F360">IFERROR(_xlfn.XLOOKUP(Table57[[#This Row],[Code]],Table1[[#All],[Code]],Table1[[#All],[Time]],,0,1),"")</f>
        <v/>
      </c>
      <c r="G360" s="25" t="str" cm="1">
        <f t="array" ref="G360">IFERROR(_xlfn.XLOOKUP(Table57[[#This Row],[Code]],Table1[[#All],[Code]],Table1[[#All],[Time]],,0,-1),"")</f>
        <v/>
      </c>
      <c r="H360" s="23" t="str">
        <f>IFERROR(IF(Table57[[#This Row],[Out]]&gt;=Table57[[#This Row],[In]],Table57[[#This Row],[Out]]-Table57[[#This Row],[In]],(0.5+Table57[[#This Row],[Out]])-Table57[[#This Row],[In]]),"")</f>
        <v/>
      </c>
      <c r="I360" s="31" t="str">
        <f>IFERROR(IF(Table57[[#This Row],[In]]&gt;$C$2,Table57[[#This Row],[In]]-$C$2,""),"")</f>
        <v/>
      </c>
      <c r="J360" s="31" t="str">
        <f>IF(Table57[[#This Row],[Work_Hours]]=0,"",(IF(Table57[[#This Row],[Out]]&lt;$C$3,$C$3-Table57[[#This Row],[Out]],"")))</f>
        <v/>
      </c>
      <c r="K360" s="32" t="str">
        <f>IFERROR(Table57[[#This Row],[In]]+$C$1,"")</f>
        <v/>
      </c>
      <c r="L360" s="29"/>
      <c r="M360" s="31" t="str">
        <f>IF($C$2&gt;Table57[[#This Row],[In]],$C$2-Table57[[#This Row],[In]],"")</f>
        <v/>
      </c>
      <c r="N360" s="29" t="str">
        <f>IFERROR(IF(Table57[[#This Row],[Out]]&gt;$C$3,(Table57[[#This Row],[Out]])-($C$3),""),"")</f>
        <v/>
      </c>
    </row>
    <row r="361" spans="1:14" hidden="1" x14ac:dyDescent="0.25">
      <c r="A361" s="23" t="str">
        <f>Table57[[#This Row],[No.]]&amp;Table57[[#This Row],[Date]]</f>
        <v>00</v>
      </c>
      <c r="B361" s="22">
        <f>'Unique Dates'!A358</f>
        <v>0</v>
      </c>
      <c r="C361" s="22" t="e" cm="1">
        <f t="array" ref="C361">_xlfn.XLOOKUP(Table57[[#This Row],[No.]],Table2[[#All],[CODE]],Table2[[#All],[NAME]],,0,1)</f>
        <v>#N/A</v>
      </c>
      <c r="D361" s="6">
        <f>'Unique Dates'!B358</f>
        <v>0</v>
      </c>
      <c r="E361" t="str">
        <f>TEXT(Table57[[#This Row],[Date]],"dddd")</f>
        <v>Saturday</v>
      </c>
      <c r="F361" s="25" t="str" cm="1">
        <f t="array" ref="F361">IFERROR(_xlfn.XLOOKUP(Table57[[#This Row],[Code]],Table1[[#All],[Code]],Table1[[#All],[Time]],,0,1),"")</f>
        <v/>
      </c>
      <c r="G361" s="25" t="str" cm="1">
        <f t="array" ref="G361">IFERROR(_xlfn.XLOOKUP(Table57[[#This Row],[Code]],Table1[[#All],[Code]],Table1[[#All],[Time]],,0,-1),"")</f>
        <v/>
      </c>
      <c r="H361" s="23" t="str">
        <f>IFERROR(IF(Table57[[#This Row],[Out]]&gt;=Table57[[#This Row],[In]],Table57[[#This Row],[Out]]-Table57[[#This Row],[In]],(0.5+Table57[[#This Row],[Out]])-Table57[[#This Row],[In]]),"")</f>
        <v/>
      </c>
      <c r="I361" s="31" t="str">
        <f>IFERROR(IF(Table57[[#This Row],[In]]&gt;$C$2,Table57[[#This Row],[In]]-$C$2,""),"")</f>
        <v/>
      </c>
      <c r="J361" s="31" t="str">
        <f>IF(Table57[[#This Row],[Work_Hours]]=0,"",(IF(Table57[[#This Row],[Out]]&lt;$C$3,$C$3-Table57[[#This Row],[Out]],"")))</f>
        <v/>
      </c>
      <c r="K361" s="32" t="str">
        <f>IFERROR(Table57[[#This Row],[In]]+$C$1,"")</f>
        <v/>
      </c>
      <c r="L361" s="29"/>
      <c r="M361" s="31" t="str">
        <f>IF($C$2&gt;Table57[[#This Row],[In]],$C$2-Table57[[#This Row],[In]],"")</f>
        <v/>
      </c>
      <c r="N361" s="29" t="str">
        <f>IFERROR(IF(Table57[[#This Row],[Out]]&gt;$C$3,(Table57[[#This Row],[Out]])-($C$3),""),"")</f>
        <v/>
      </c>
    </row>
    <row r="362" spans="1:14" hidden="1" x14ac:dyDescent="0.25">
      <c r="A362" s="23" t="str">
        <f>Table57[[#This Row],[No.]]&amp;Table57[[#This Row],[Date]]</f>
        <v>00</v>
      </c>
      <c r="B362" s="22">
        <f>'Unique Dates'!A359</f>
        <v>0</v>
      </c>
      <c r="C362" s="22" t="e" cm="1">
        <f t="array" ref="C362">_xlfn.XLOOKUP(Table57[[#This Row],[No.]],Table2[[#All],[CODE]],Table2[[#All],[NAME]],,0,1)</f>
        <v>#N/A</v>
      </c>
      <c r="D362" s="6">
        <f>'Unique Dates'!B359</f>
        <v>0</v>
      </c>
      <c r="E362" t="str">
        <f>TEXT(Table57[[#This Row],[Date]],"dddd")</f>
        <v>Saturday</v>
      </c>
      <c r="F362" s="25" t="str" cm="1">
        <f t="array" ref="F362">IFERROR(_xlfn.XLOOKUP(Table57[[#This Row],[Code]],Table1[[#All],[Code]],Table1[[#All],[Time]],,0,1),"")</f>
        <v/>
      </c>
      <c r="G362" s="25" t="str" cm="1">
        <f t="array" ref="G362">IFERROR(_xlfn.XLOOKUP(Table57[[#This Row],[Code]],Table1[[#All],[Code]],Table1[[#All],[Time]],,0,-1),"")</f>
        <v/>
      </c>
      <c r="H362" s="23" t="str">
        <f>IFERROR(IF(Table57[[#This Row],[Out]]&gt;=Table57[[#This Row],[In]],Table57[[#This Row],[Out]]-Table57[[#This Row],[In]],(0.5+Table57[[#This Row],[Out]])-Table57[[#This Row],[In]]),"")</f>
        <v/>
      </c>
      <c r="I362" s="31" t="str">
        <f>IFERROR(IF(Table57[[#This Row],[In]]&gt;$C$2,Table57[[#This Row],[In]]-$C$2,""),"")</f>
        <v/>
      </c>
      <c r="J362" s="31" t="str">
        <f>IF(Table57[[#This Row],[Work_Hours]]=0,"",(IF(Table57[[#This Row],[Out]]&lt;$C$3,$C$3-Table57[[#This Row],[Out]],"")))</f>
        <v/>
      </c>
      <c r="K362" s="32" t="str">
        <f>IFERROR(Table57[[#This Row],[In]]+$C$1,"")</f>
        <v/>
      </c>
      <c r="L362" s="29"/>
      <c r="M362" s="31" t="str">
        <f>IF($C$2&gt;Table57[[#This Row],[In]],$C$2-Table57[[#This Row],[In]],"")</f>
        <v/>
      </c>
      <c r="N362" s="29" t="str">
        <f>IFERROR(IF(Table57[[#This Row],[Out]]&gt;$C$3,(Table57[[#This Row],[Out]])-($C$3),""),"")</f>
        <v/>
      </c>
    </row>
    <row r="363" spans="1:14" hidden="1" x14ac:dyDescent="0.25">
      <c r="A363" s="23" t="str">
        <f>Table57[[#This Row],[No.]]&amp;Table57[[#This Row],[Date]]</f>
        <v>00</v>
      </c>
      <c r="B363" s="22">
        <f>'Unique Dates'!A360</f>
        <v>0</v>
      </c>
      <c r="C363" s="22" t="e" cm="1">
        <f t="array" ref="C363">_xlfn.XLOOKUP(Table57[[#This Row],[No.]],Table2[[#All],[CODE]],Table2[[#All],[NAME]],,0,1)</f>
        <v>#N/A</v>
      </c>
      <c r="D363" s="6">
        <f>'Unique Dates'!B360</f>
        <v>0</v>
      </c>
      <c r="E363" t="str">
        <f>TEXT(Table57[[#This Row],[Date]],"dddd")</f>
        <v>Saturday</v>
      </c>
      <c r="F363" s="25" t="str" cm="1">
        <f t="array" ref="F363">IFERROR(_xlfn.XLOOKUP(Table57[[#This Row],[Code]],Table1[[#All],[Code]],Table1[[#All],[Time]],,0,1),"")</f>
        <v/>
      </c>
      <c r="G363" s="25" t="str" cm="1">
        <f t="array" ref="G363">IFERROR(_xlfn.XLOOKUP(Table57[[#This Row],[Code]],Table1[[#All],[Code]],Table1[[#All],[Time]],,0,-1),"")</f>
        <v/>
      </c>
      <c r="H363" s="23" t="str">
        <f>IFERROR(IF(Table57[[#This Row],[Out]]&gt;=Table57[[#This Row],[In]],Table57[[#This Row],[Out]]-Table57[[#This Row],[In]],(0.5+Table57[[#This Row],[Out]])-Table57[[#This Row],[In]]),"")</f>
        <v/>
      </c>
      <c r="I363" s="31" t="str">
        <f>IFERROR(IF(Table57[[#This Row],[In]]&gt;$C$2,Table57[[#This Row],[In]]-$C$2,""),"")</f>
        <v/>
      </c>
      <c r="J363" s="31" t="str">
        <f>IF(Table57[[#This Row],[Work_Hours]]=0,"",(IF(Table57[[#This Row],[Out]]&lt;$C$3,$C$3-Table57[[#This Row],[Out]],"")))</f>
        <v/>
      </c>
      <c r="K363" s="32" t="str">
        <f>IFERROR(Table57[[#This Row],[In]]+$C$1,"")</f>
        <v/>
      </c>
      <c r="L363" s="29"/>
      <c r="M363" s="31" t="str">
        <f>IF($C$2&gt;Table57[[#This Row],[In]],$C$2-Table57[[#This Row],[In]],"")</f>
        <v/>
      </c>
      <c r="N363" s="29" t="str">
        <f>IFERROR(IF(Table57[[#This Row],[Out]]&gt;$C$3,(Table57[[#This Row],[Out]])-($C$3),""),"")</f>
        <v/>
      </c>
    </row>
    <row r="364" spans="1:14" hidden="1" x14ac:dyDescent="0.25">
      <c r="A364" s="23" t="str">
        <f>Table57[[#This Row],[No.]]&amp;Table57[[#This Row],[Date]]</f>
        <v>00</v>
      </c>
      <c r="B364" s="22">
        <f>'Unique Dates'!A361</f>
        <v>0</v>
      </c>
      <c r="C364" s="22" t="e" cm="1">
        <f t="array" ref="C364">_xlfn.XLOOKUP(Table57[[#This Row],[No.]],Table2[[#All],[CODE]],Table2[[#All],[NAME]],,0,1)</f>
        <v>#N/A</v>
      </c>
      <c r="D364" s="6">
        <f>'Unique Dates'!B361</f>
        <v>0</v>
      </c>
      <c r="E364" t="str">
        <f>TEXT(Table57[[#This Row],[Date]],"dddd")</f>
        <v>Saturday</v>
      </c>
      <c r="F364" s="25" t="str" cm="1">
        <f t="array" ref="F364">IFERROR(_xlfn.XLOOKUP(Table57[[#This Row],[Code]],Table1[[#All],[Code]],Table1[[#All],[Time]],,0,1),"")</f>
        <v/>
      </c>
      <c r="G364" s="25" t="str" cm="1">
        <f t="array" ref="G364">IFERROR(_xlfn.XLOOKUP(Table57[[#This Row],[Code]],Table1[[#All],[Code]],Table1[[#All],[Time]],,0,-1),"")</f>
        <v/>
      </c>
      <c r="H364" s="23" t="str">
        <f>IFERROR(IF(Table57[[#This Row],[Out]]&gt;=Table57[[#This Row],[In]],Table57[[#This Row],[Out]]-Table57[[#This Row],[In]],(0.5+Table57[[#This Row],[Out]])-Table57[[#This Row],[In]]),"")</f>
        <v/>
      </c>
      <c r="I364" s="31" t="str">
        <f>IFERROR(IF(Table57[[#This Row],[In]]&gt;$C$2,Table57[[#This Row],[In]]-$C$2,""),"")</f>
        <v/>
      </c>
      <c r="J364" s="31" t="str">
        <f>IF(Table57[[#This Row],[Work_Hours]]=0,"",(IF(Table57[[#This Row],[Out]]&lt;$C$3,$C$3-Table57[[#This Row],[Out]],"")))</f>
        <v/>
      </c>
      <c r="K364" s="32" t="str">
        <f>IFERROR(Table57[[#This Row],[In]]+$C$1,"")</f>
        <v/>
      </c>
      <c r="L364" s="29"/>
      <c r="M364" s="31" t="str">
        <f>IF($C$2&gt;Table57[[#This Row],[In]],$C$2-Table57[[#This Row],[In]],"")</f>
        <v/>
      </c>
      <c r="N364" s="29" t="str">
        <f>IFERROR(IF(Table57[[#This Row],[Out]]&gt;$C$3,(Table57[[#This Row],[Out]])-($C$3),""),"")</f>
        <v/>
      </c>
    </row>
    <row r="365" spans="1:14" hidden="1" x14ac:dyDescent="0.25">
      <c r="A365" s="23" t="str">
        <f>Table57[[#This Row],[No.]]&amp;Table57[[#This Row],[Date]]</f>
        <v>00</v>
      </c>
      <c r="B365" s="22">
        <f>'Unique Dates'!A362</f>
        <v>0</v>
      </c>
      <c r="C365" s="22" t="e" cm="1">
        <f t="array" ref="C365">_xlfn.XLOOKUP(Table57[[#This Row],[No.]],Table2[[#All],[CODE]],Table2[[#All],[NAME]],,0,1)</f>
        <v>#N/A</v>
      </c>
      <c r="D365" s="6">
        <f>'Unique Dates'!B362</f>
        <v>0</v>
      </c>
      <c r="E365" t="str">
        <f>TEXT(Table57[[#This Row],[Date]],"dddd")</f>
        <v>Saturday</v>
      </c>
      <c r="F365" s="25" t="str" cm="1">
        <f t="array" ref="F365">IFERROR(_xlfn.XLOOKUP(Table57[[#This Row],[Code]],Table1[[#All],[Code]],Table1[[#All],[Time]],,0,1),"")</f>
        <v/>
      </c>
      <c r="G365" s="25" t="str" cm="1">
        <f t="array" ref="G365">IFERROR(_xlfn.XLOOKUP(Table57[[#This Row],[Code]],Table1[[#All],[Code]],Table1[[#All],[Time]],,0,-1),"")</f>
        <v/>
      </c>
      <c r="H365" s="23" t="str">
        <f>IFERROR(IF(Table57[[#This Row],[Out]]&gt;=Table57[[#This Row],[In]],Table57[[#This Row],[Out]]-Table57[[#This Row],[In]],(0.5+Table57[[#This Row],[Out]])-Table57[[#This Row],[In]]),"")</f>
        <v/>
      </c>
      <c r="I365" s="31" t="str">
        <f>IFERROR(IF(Table57[[#This Row],[In]]&gt;$C$2,Table57[[#This Row],[In]]-$C$2,""),"")</f>
        <v/>
      </c>
      <c r="J365" s="31" t="str">
        <f>IF(Table57[[#This Row],[Work_Hours]]=0,"",(IF(Table57[[#This Row],[Out]]&lt;$C$3,$C$3-Table57[[#This Row],[Out]],"")))</f>
        <v/>
      </c>
      <c r="K365" s="32" t="str">
        <f>IFERROR(Table57[[#This Row],[In]]+$C$1,"")</f>
        <v/>
      </c>
      <c r="L365" s="29"/>
      <c r="M365" s="31" t="str">
        <f>IF($C$2&gt;Table57[[#This Row],[In]],$C$2-Table57[[#This Row],[In]],"")</f>
        <v/>
      </c>
      <c r="N365" s="29" t="str">
        <f>IFERROR(IF(Table57[[#This Row],[Out]]&gt;$C$3,(Table57[[#This Row],[Out]])-($C$3),""),"")</f>
        <v/>
      </c>
    </row>
    <row r="366" spans="1:14" hidden="1" x14ac:dyDescent="0.25">
      <c r="A366" s="23" t="str">
        <f>Table57[[#This Row],[No.]]&amp;Table57[[#This Row],[Date]]</f>
        <v>00</v>
      </c>
      <c r="B366" s="22">
        <f>'Unique Dates'!A363</f>
        <v>0</v>
      </c>
      <c r="C366" s="22" t="e" cm="1">
        <f t="array" ref="C366">_xlfn.XLOOKUP(Table57[[#This Row],[No.]],Table2[[#All],[CODE]],Table2[[#All],[NAME]],,0,1)</f>
        <v>#N/A</v>
      </c>
      <c r="D366" s="6">
        <f>'Unique Dates'!B363</f>
        <v>0</v>
      </c>
      <c r="E366" t="str">
        <f>TEXT(Table57[[#This Row],[Date]],"dddd")</f>
        <v>Saturday</v>
      </c>
      <c r="F366" s="25" t="str" cm="1">
        <f t="array" ref="F366">IFERROR(_xlfn.XLOOKUP(Table57[[#This Row],[Code]],Table1[[#All],[Code]],Table1[[#All],[Time]],,0,1),"")</f>
        <v/>
      </c>
      <c r="G366" s="25" t="str" cm="1">
        <f t="array" ref="G366">IFERROR(_xlfn.XLOOKUP(Table57[[#This Row],[Code]],Table1[[#All],[Code]],Table1[[#All],[Time]],,0,-1),"")</f>
        <v/>
      </c>
      <c r="H366" s="23" t="str">
        <f>IFERROR(IF(Table57[[#This Row],[Out]]&gt;=Table57[[#This Row],[In]],Table57[[#This Row],[Out]]-Table57[[#This Row],[In]],(0.5+Table57[[#This Row],[Out]])-Table57[[#This Row],[In]]),"")</f>
        <v/>
      </c>
      <c r="I366" s="31" t="str">
        <f>IFERROR(IF(Table57[[#This Row],[In]]&gt;$C$2,Table57[[#This Row],[In]]-$C$2,""),"")</f>
        <v/>
      </c>
      <c r="J366" s="31" t="str">
        <f>IF(Table57[[#This Row],[Work_Hours]]=0,"",(IF(Table57[[#This Row],[Out]]&lt;$C$3,$C$3-Table57[[#This Row],[Out]],"")))</f>
        <v/>
      </c>
      <c r="K366" s="32" t="str">
        <f>IFERROR(Table57[[#This Row],[In]]+$C$1,"")</f>
        <v/>
      </c>
      <c r="L366" s="29"/>
      <c r="M366" s="31" t="str">
        <f>IF($C$2&gt;Table57[[#This Row],[In]],$C$2-Table57[[#This Row],[In]],"")</f>
        <v/>
      </c>
      <c r="N366" s="29" t="str">
        <f>IFERROR(IF(Table57[[#This Row],[Out]]&gt;$C$3,(Table57[[#This Row],[Out]])-($C$3),""),"")</f>
        <v/>
      </c>
    </row>
    <row r="367" spans="1:14" hidden="1" x14ac:dyDescent="0.25">
      <c r="A367" s="23" t="str">
        <f>Table57[[#This Row],[No.]]&amp;Table57[[#This Row],[Date]]</f>
        <v>00</v>
      </c>
      <c r="B367" s="22">
        <f>'Unique Dates'!A364</f>
        <v>0</v>
      </c>
      <c r="C367" s="22" t="e" cm="1">
        <f t="array" ref="C367">_xlfn.XLOOKUP(Table57[[#This Row],[No.]],Table2[[#All],[CODE]],Table2[[#All],[NAME]],,0,1)</f>
        <v>#N/A</v>
      </c>
      <c r="D367" s="6">
        <f>'Unique Dates'!B364</f>
        <v>0</v>
      </c>
      <c r="E367" t="str">
        <f>TEXT(Table57[[#This Row],[Date]],"dddd")</f>
        <v>Saturday</v>
      </c>
      <c r="F367" s="25" t="str" cm="1">
        <f t="array" ref="F367">IFERROR(_xlfn.XLOOKUP(Table57[[#This Row],[Code]],Table1[[#All],[Code]],Table1[[#All],[Time]],,0,1),"")</f>
        <v/>
      </c>
      <c r="G367" s="25" t="str" cm="1">
        <f t="array" ref="G367">IFERROR(_xlfn.XLOOKUP(Table57[[#This Row],[Code]],Table1[[#All],[Code]],Table1[[#All],[Time]],,0,-1),"")</f>
        <v/>
      </c>
      <c r="H367" s="23" t="str">
        <f>IFERROR(IF(Table57[[#This Row],[Out]]&gt;=Table57[[#This Row],[In]],Table57[[#This Row],[Out]]-Table57[[#This Row],[In]],(0.5+Table57[[#This Row],[Out]])-Table57[[#This Row],[In]]),"")</f>
        <v/>
      </c>
      <c r="I367" s="31" t="str">
        <f>IFERROR(IF(Table57[[#This Row],[In]]&gt;$C$2,Table57[[#This Row],[In]]-$C$2,""),"")</f>
        <v/>
      </c>
      <c r="J367" s="31" t="str">
        <f>IF(Table57[[#This Row],[Work_Hours]]=0,"",(IF(Table57[[#This Row],[Out]]&lt;$C$3,$C$3-Table57[[#This Row],[Out]],"")))</f>
        <v/>
      </c>
      <c r="K367" s="32" t="str">
        <f>IFERROR(Table57[[#This Row],[In]]+$C$1,"")</f>
        <v/>
      </c>
      <c r="L367" s="29"/>
      <c r="M367" s="31" t="str">
        <f>IF($C$2&gt;Table57[[#This Row],[In]],$C$2-Table57[[#This Row],[In]],"")</f>
        <v/>
      </c>
      <c r="N367" s="29" t="str">
        <f>IFERROR(IF(Table57[[#This Row],[Out]]&gt;$C$3,(Table57[[#This Row],[Out]])-($C$3),""),"")</f>
        <v/>
      </c>
    </row>
    <row r="368" spans="1:14" hidden="1" x14ac:dyDescent="0.25">
      <c r="A368" s="23" t="str">
        <f>Table57[[#This Row],[No.]]&amp;Table57[[#This Row],[Date]]</f>
        <v>00</v>
      </c>
      <c r="B368" s="22">
        <f>'Unique Dates'!A365</f>
        <v>0</v>
      </c>
      <c r="C368" s="22" t="e" cm="1">
        <f t="array" ref="C368">_xlfn.XLOOKUP(Table57[[#This Row],[No.]],Table2[[#All],[CODE]],Table2[[#All],[NAME]],,0,1)</f>
        <v>#N/A</v>
      </c>
      <c r="D368" s="6">
        <f>'Unique Dates'!B365</f>
        <v>0</v>
      </c>
      <c r="E368" t="str">
        <f>TEXT(Table57[[#This Row],[Date]],"dddd")</f>
        <v>Saturday</v>
      </c>
      <c r="F368" s="25" t="str" cm="1">
        <f t="array" ref="F368">IFERROR(_xlfn.XLOOKUP(Table57[[#This Row],[Code]],Table1[[#All],[Code]],Table1[[#All],[Time]],,0,1),"")</f>
        <v/>
      </c>
      <c r="G368" s="25" t="str" cm="1">
        <f t="array" ref="G368">IFERROR(_xlfn.XLOOKUP(Table57[[#This Row],[Code]],Table1[[#All],[Code]],Table1[[#All],[Time]],,0,-1),"")</f>
        <v/>
      </c>
      <c r="H368" s="23" t="str">
        <f>IFERROR(IF(Table57[[#This Row],[Out]]&gt;=Table57[[#This Row],[In]],Table57[[#This Row],[Out]]-Table57[[#This Row],[In]],(0.5+Table57[[#This Row],[Out]])-Table57[[#This Row],[In]]),"")</f>
        <v/>
      </c>
      <c r="I368" s="31" t="str">
        <f>IFERROR(IF(Table57[[#This Row],[In]]&gt;$C$2,Table57[[#This Row],[In]]-$C$2,""),"")</f>
        <v/>
      </c>
      <c r="J368" s="31" t="str">
        <f>IF(Table57[[#This Row],[Work_Hours]]=0,"",(IF(Table57[[#This Row],[Out]]&lt;$C$3,$C$3-Table57[[#This Row],[Out]],"")))</f>
        <v/>
      </c>
      <c r="K368" s="32" t="str">
        <f>IFERROR(Table57[[#This Row],[In]]+$C$1,"")</f>
        <v/>
      </c>
      <c r="L368" s="29"/>
      <c r="M368" s="31" t="str">
        <f>IF($C$2&gt;Table57[[#This Row],[In]],$C$2-Table57[[#This Row],[In]],"")</f>
        <v/>
      </c>
      <c r="N368" s="29" t="str">
        <f>IFERROR(IF(Table57[[#This Row],[Out]]&gt;$C$3,(Table57[[#This Row],[Out]])-($C$3),""),"")</f>
        <v/>
      </c>
    </row>
    <row r="369" spans="1:14" hidden="1" x14ac:dyDescent="0.25">
      <c r="A369" s="23" t="str">
        <f>Table57[[#This Row],[No.]]&amp;Table57[[#This Row],[Date]]</f>
        <v>00</v>
      </c>
      <c r="B369" s="22">
        <f>'Unique Dates'!A366</f>
        <v>0</v>
      </c>
      <c r="C369" s="22" t="e" cm="1">
        <f t="array" ref="C369">_xlfn.XLOOKUP(Table57[[#This Row],[No.]],Table2[[#All],[CODE]],Table2[[#All],[NAME]],,0,1)</f>
        <v>#N/A</v>
      </c>
      <c r="D369" s="6">
        <f>'Unique Dates'!B366</f>
        <v>0</v>
      </c>
      <c r="E369" t="str">
        <f>TEXT(Table57[[#This Row],[Date]],"dddd")</f>
        <v>Saturday</v>
      </c>
      <c r="F369" s="25" t="str" cm="1">
        <f t="array" ref="F369">IFERROR(_xlfn.XLOOKUP(Table57[[#This Row],[Code]],Table1[[#All],[Code]],Table1[[#All],[Time]],,0,1),"")</f>
        <v/>
      </c>
      <c r="G369" s="25" t="str" cm="1">
        <f t="array" ref="G369">IFERROR(_xlfn.XLOOKUP(Table57[[#This Row],[Code]],Table1[[#All],[Code]],Table1[[#All],[Time]],,0,-1),"")</f>
        <v/>
      </c>
      <c r="H369" s="23" t="str">
        <f>IFERROR(IF(Table57[[#This Row],[Out]]&gt;=Table57[[#This Row],[In]],Table57[[#This Row],[Out]]-Table57[[#This Row],[In]],(0.5+Table57[[#This Row],[Out]])-Table57[[#This Row],[In]]),"")</f>
        <v/>
      </c>
      <c r="I369" s="31" t="str">
        <f>IFERROR(IF(Table57[[#This Row],[In]]&gt;$C$2,Table57[[#This Row],[In]]-$C$2,""),"")</f>
        <v/>
      </c>
      <c r="J369" s="31" t="str">
        <f>IF(Table57[[#This Row],[Work_Hours]]=0,"",(IF(Table57[[#This Row],[Out]]&lt;$C$3,$C$3-Table57[[#This Row],[Out]],"")))</f>
        <v/>
      </c>
      <c r="K369" s="32" t="str">
        <f>IFERROR(Table57[[#This Row],[In]]+$C$1,"")</f>
        <v/>
      </c>
      <c r="L369" s="29"/>
      <c r="M369" s="31" t="str">
        <f>IF($C$2&gt;Table57[[#This Row],[In]],$C$2-Table57[[#This Row],[In]],"")</f>
        <v/>
      </c>
      <c r="N369" s="29" t="str">
        <f>IFERROR(IF(Table57[[#This Row],[Out]]&gt;$C$3,(Table57[[#This Row],[Out]])-($C$3),""),"")</f>
        <v/>
      </c>
    </row>
    <row r="370" spans="1:14" hidden="1" x14ac:dyDescent="0.25">
      <c r="A370" s="23" t="str">
        <f>Table57[[#This Row],[No.]]&amp;Table57[[#This Row],[Date]]</f>
        <v>00</v>
      </c>
      <c r="B370" s="22">
        <f>'Unique Dates'!A367</f>
        <v>0</v>
      </c>
      <c r="C370" s="22" t="e" cm="1">
        <f t="array" ref="C370">_xlfn.XLOOKUP(Table57[[#This Row],[No.]],Table2[[#All],[CODE]],Table2[[#All],[NAME]],,0,1)</f>
        <v>#N/A</v>
      </c>
      <c r="D370" s="6">
        <f>'Unique Dates'!B367</f>
        <v>0</v>
      </c>
      <c r="E370" t="str">
        <f>TEXT(Table57[[#This Row],[Date]],"dddd")</f>
        <v>Saturday</v>
      </c>
      <c r="F370" s="25" t="str" cm="1">
        <f t="array" ref="F370">IFERROR(_xlfn.XLOOKUP(Table57[[#This Row],[Code]],Table1[[#All],[Code]],Table1[[#All],[Time]],,0,1),"")</f>
        <v/>
      </c>
      <c r="G370" s="25" t="str" cm="1">
        <f t="array" ref="G370">IFERROR(_xlfn.XLOOKUP(Table57[[#This Row],[Code]],Table1[[#All],[Code]],Table1[[#All],[Time]],,0,-1),"")</f>
        <v/>
      </c>
      <c r="H370" s="23" t="str">
        <f>IFERROR(IF(Table57[[#This Row],[Out]]&gt;=Table57[[#This Row],[In]],Table57[[#This Row],[Out]]-Table57[[#This Row],[In]],(0.5+Table57[[#This Row],[Out]])-Table57[[#This Row],[In]]),"")</f>
        <v/>
      </c>
      <c r="I370" s="31" t="str">
        <f>IFERROR(IF(Table57[[#This Row],[In]]&gt;$C$2,Table57[[#This Row],[In]]-$C$2,""),"")</f>
        <v/>
      </c>
      <c r="J370" s="31" t="str">
        <f>IF(Table57[[#This Row],[Work_Hours]]=0,"",(IF(Table57[[#This Row],[Out]]&lt;$C$3,$C$3-Table57[[#This Row],[Out]],"")))</f>
        <v/>
      </c>
      <c r="K370" s="32" t="str">
        <f>IFERROR(Table57[[#This Row],[In]]+$C$1,"")</f>
        <v/>
      </c>
      <c r="L370" s="29"/>
      <c r="M370" s="31" t="str">
        <f>IF($C$2&gt;Table57[[#This Row],[In]],$C$2-Table57[[#This Row],[In]],"")</f>
        <v/>
      </c>
      <c r="N370" s="29" t="str">
        <f>IFERROR(IF(Table57[[#This Row],[Out]]&gt;$C$3,(Table57[[#This Row],[Out]])-($C$3),""),"")</f>
        <v/>
      </c>
    </row>
    <row r="371" spans="1:14" hidden="1" x14ac:dyDescent="0.25">
      <c r="A371" s="23" t="str">
        <f>Table57[[#This Row],[No.]]&amp;Table57[[#This Row],[Date]]</f>
        <v>00</v>
      </c>
      <c r="B371" s="22">
        <f>'Unique Dates'!A368</f>
        <v>0</v>
      </c>
      <c r="C371" s="22" t="e" cm="1">
        <f t="array" ref="C371">_xlfn.XLOOKUP(Table57[[#This Row],[No.]],Table2[[#All],[CODE]],Table2[[#All],[NAME]],,0,1)</f>
        <v>#N/A</v>
      </c>
      <c r="D371" s="6">
        <f>'Unique Dates'!B368</f>
        <v>0</v>
      </c>
      <c r="E371" t="str">
        <f>TEXT(Table57[[#This Row],[Date]],"dddd")</f>
        <v>Saturday</v>
      </c>
      <c r="F371" s="25" t="str" cm="1">
        <f t="array" ref="F371">IFERROR(_xlfn.XLOOKUP(Table57[[#This Row],[Code]],Table1[[#All],[Code]],Table1[[#All],[Time]],,0,1),"")</f>
        <v/>
      </c>
      <c r="G371" s="25" t="str" cm="1">
        <f t="array" ref="G371">IFERROR(_xlfn.XLOOKUP(Table57[[#This Row],[Code]],Table1[[#All],[Code]],Table1[[#All],[Time]],,0,-1),"")</f>
        <v/>
      </c>
      <c r="H371" s="23" t="str">
        <f>IFERROR(IF(Table57[[#This Row],[Out]]&gt;=Table57[[#This Row],[In]],Table57[[#This Row],[Out]]-Table57[[#This Row],[In]],(0.5+Table57[[#This Row],[Out]])-Table57[[#This Row],[In]]),"")</f>
        <v/>
      </c>
      <c r="I371" s="31" t="str">
        <f>IFERROR(IF(Table57[[#This Row],[In]]&gt;$C$2,Table57[[#This Row],[In]]-$C$2,""),"")</f>
        <v/>
      </c>
      <c r="J371" s="31" t="str">
        <f>IF(Table57[[#This Row],[Work_Hours]]=0,"",(IF(Table57[[#This Row],[Out]]&lt;$C$3,$C$3-Table57[[#This Row],[Out]],"")))</f>
        <v/>
      </c>
      <c r="K371" s="32" t="str">
        <f>IFERROR(Table57[[#This Row],[In]]+$C$1,"")</f>
        <v/>
      </c>
      <c r="L371" s="29"/>
      <c r="M371" s="31" t="str">
        <f>IF($C$2&gt;Table57[[#This Row],[In]],$C$2-Table57[[#This Row],[In]],"")</f>
        <v/>
      </c>
      <c r="N371" s="29" t="str">
        <f>IFERROR(IF(Table57[[#This Row],[Out]]&gt;$C$3,(Table57[[#This Row],[Out]])-($C$3),""),"")</f>
        <v/>
      </c>
    </row>
    <row r="372" spans="1:14" hidden="1" x14ac:dyDescent="0.25">
      <c r="A372" s="23" t="str">
        <f>Table57[[#This Row],[No.]]&amp;Table57[[#This Row],[Date]]</f>
        <v>00</v>
      </c>
      <c r="B372" s="22">
        <f>'Unique Dates'!A369</f>
        <v>0</v>
      </c>
      <c r="C372" s="22" t="e" cm="1">
        <f t="array" ref="C372">_xlfn.XLOOKUP(Table57[[#This Row],[No.]],Table2[[#All],[CODE]],Table2[[#All],[NAME]],,0,1)</f>
        <v>#N/A</v>
      </c>
      <c r="D372" s="6">
        <f>'Unique Dates'!B369</f>
        <v>0</v>
      </c>
      <c r="E372" t="str">
        <f>TEXT(Table57[[#This Row],[Date]],"dddd")</f>
        <v>Saturday</v>
      </c>
      <c r="F372" s="25" t="str" cm="1">
        <f t="array" ref="F372">IFERROR(_xlfn.XLOOKUP(Table57[[#This Row],[Code]],Table1[[#All],[Code]],Table1[[#All],[Time]],,0,1),"")</f>
        <v/>
      </c>
      <c r="G372" s="25" t="str" cm="1">
        <f t="array" ref="G372">IFERROR(_xlfn.XLOOKUP(Table57[[#This Row],[Code]],Table1[[#All],[Code]],Table1[[#All],[Time]],,0,-1),"")</f>
        <v/>
      </c>
      <c r="H372" s="23" t="str">
        <f>IFERROR(IF(Table57[[#This Row],[Out]]&gt;=Table57[[#This Row],[In]],Table57[[#This Row],[Out]]-Table57[[#This Row],[In]],(0.5+Table57[[#This Row],[Out]])-Table57[[#This Row],[In]]),"")</f>
        <v/>
      </c>
      <c r="I372" s="31" t="str">
        <f>IFERROR(IF(Table57[[#This Row],[In]]&gt;$C$2,Table57[[#This Row],[In]]-$C$2,""),"")</f>
        <v/>
      </c>
      <c r="J372" s="31" t="str">
        <f>IF(Table57[[#This Row],[Work_Hours]]=0,"",(IF(Table57[[#This Row],[Out]]&lt;$C$3,$C$3-Table57[[#This Row],[Out]],"")))</f>
        <v/>
      </c>
      <c r="K372" s="32" t="str">
        <f>IFERROR(Table57[[#This Row],[In]]+$C$1,"")</f>
        <v/>
      </c>
      <c r="L372" s="29"/>
      <c r="M372" s="31" t="str">
        <f>IF($C$2&gt;Table57[[#This Row],[In]],$C$2-Table57[[#This Row],[In]],"")</f>
        <v/>
      </c>
      <c r="N372" s="29" t="str">
        <f>IFERROR(IF(Table57[[#This Row],[Out]]&gt;$C$3,(Table57[[#This Row],[Out]])-($C$3),""),"")</f>
        <v/>
      </c>
    </row>
    <row r="373" spans="1:14" hidden="1" x14ac:dyDescent="0.25">
      <c r="A373" s="23" t="str">
        <f>Table57[[#This Row],[No.]]&amp;Table57[[#This Row],[Date]]</f>
        <v>00</v>
      </c>
      <c r="B373" s="22">
        <f>'Unique Dates'!A370</f>
        <v>0</v>
      </c>
      <c r="C373" s="22" t="e" cm="1">
        <f t="array" ref="C373">_xlfn.XLOOKUP(Table57[[#This Row],[No.]],Table2[[#All],[CODE]],Table2[[#All],[NAME]],,0,1)</f>
        <v>#N/A</v>
      </c>
      <c r="D373" s="6">
        <f>'Unique Dates'!B370</f>
        <v>0</v>
      </c>
      <c r="E373" t="str">
        <f>TEXT(Table57[[#This Row],[Date]],"dddd")</f>
        <v>Saturday</v>
      </c>
      <c r="F373" s="25" t="str" cm="1">
        <f t="array" ref="F373">IFERROR(_xlfn.XLOOKUP(Table57[[#This Row],[Code]],Table1[[#All],[Code]],Table1[[#All],[Time]],,0,1),"")</f>
        <v/>
      </c>
      <c r="G373" s="25" t="str" cm="1">
        <f t="array" ref="G373">IFERROR(_xlfn.XLOOKUP(Table57[[#This Row],[Code]],Table1[[#All],[Code]],Table1[[#All],[Time]],,0,-1),"")</f>
        <v/>
      </c>
      <c r="H373" s="23" t="str">
        <f>IFERROR(IF(Table57[[#This Row],[Out]]&gt;=Table57[[#This Row],[In]],Table57[[#This Row],[Out]]-Table57[[#This Row],[In]],(0.5+Table57[[#This Row],[Out]])-Table57[[#This Row],[In]]),"")</f>
        <v/>
      </c>
      <c r="I373" s="31" t="str">
        <f>IFERROR(IF(Table57[[#This Row],[In]]&gt;$C$2,Table57[[#This Row],[In]]-$C$2,""),"")</f>
        <v/>
      </c>
      <c r="J373" s="31" t="str">
        <f>IF(Table57[[#This Row],[Work_Hours]]=0,"",(IF(Table57[[#This Row],[Out]]&lt;$C$3,$C$3-Table57[[#This Row],[Out]],"")))</f>
        <v/>
      </c>
      <c r="K373" s="32" t="str">
        <f>IFERROR(Table57[[#This Row],[In]]+$C$1,"")</f>
        <v/>
      </c>
      <c r="L373" s="29"/>
      <c r="M373" s="31" t="str">
        <f>IF($C$2&gt;Table57[[#This Row],[In]],$C$2-Table57[[#This Row],[In]],"")</f>
        <v/>
      </c>
      <c r="N373" s="29" t="str">
        <f>IFERROR(IF(Table57[[#This Row],[Out]]&gt;$C$3,(Table57[[#This Row],[Out]])-($C$3),""),"")</f>
        <v/>
      </c>
    </row>
    <row r="374" spans="1:14" hidden="1" x14ac:dyDescent="0.25">
      <c r="A374" s="23" t="str">
        <f>Table57[[#This Row],[No.]]&amp;Table57[[#This Row],[Date]]</f>
        <v>00</v>
      </c>
      <c r="B374" s="22">
        <f>'Unique Dates'!A371</f>
        <v>0</v>
      </c>
      <c r="C374" s="22" t="e" cm="1">
        <f t="array" ref="C374">_xlfn.XLOOKUP(Table57[[#This Row],[No.]],Table2[[#All],[CODE]],Table2[[#All],[NAME]],,0,1)</f>
        <v>#N/A</v>
      </c>
      <c r="D374" s="6">
        <f>'Unique Dates'!B371</f>
        <v>0</v>
      </c>
      <c r="E374" t="str">
        <f>TEXT(Table57[[#This Row],[Date]],"dddd")</f>
        <v>Saturday</v>
      </c>
      <c r="F374" s="25" t="str" cm="1">
        <f t="array" ref="F374">IFERROR(_xlfn.XLOOKUP(Table57[[#This Row],[Code]],Table1[[#All],[Code]],Table1[[#All],[Time]],,0,1),"")</f>
        <v/>
      </c>
      <c r="G374" s="25" t="str" cm="1">
        <f t="array" ref="G374">IFERROR(_xlfn.XLOOKUP(Table57[[#This Row],[Code]],Table1[[#All],[Code]],Table1[[#All],[Time]],,0,-1),"")</f>
        <v/>
      </c>
      <c r="H374" s="23" t="str">
        <f>IFERROR(IF(Table57[[#This Row],[Out]]&gt;=Table57[[#This Row],[In]],Table57[[#This Row],[Out]]-Table57[[#This Row],[In]],(0.5+Table57[[#This Row],[Out]])-Table57[[#This Row],[In]]),"")</f>
        <v/>
      </c>
      <c r="I374" s="31" t="str">
        <f>IFERROR(IF(Table57[[#This Row],[In]]&gt;$C$2,Table57[[#This Row],[In]]-$C$2,""),"")</f>
        <v/>
      </c>
      <c r="J374" s="31" t="str">
        <f>IF(Table57[[#This Row],[Work_Hours]]=0,"",(IF(Table57[[#This Row],[Out]]&lt;$C$3,$C$3-Table57[[#This Row],[Out]],"")))</f>
        <v/>
      </c>
      <c r="K374" s="32" t="str">
        <f>IFERROR(Table57[[#This Row],[In]]+$C$1,"")</f>
        <v/>
      </c>
      <c r="L374" s="29"/>
      <c r="M374" s="31" t="str">
        <f>IF($C$2&gt;Table57[[#This Row],[In]],$C$2-Table57[[#This Row],[In]],"")</f>
        <v/>
      </c>
      <c r="N374" s="29" t="str">
        <f>IFERROR(IF(Table57[[#This Row],[Out]]&gt;$C$3,(Table57[[#This Row],[Out]])-($C$3),""),"")</f>
        <v/>
      </c>
    </row>
    <row r="375" spans="1:14" hidden="1" x14ac:dyDescent="0.25">
      <c r="A375" s="23" t="str">
        <f>Table57[[#This Row],[No.]]&amp;Table57[[#This Row],[Date]]</f>
        <v>00</v>
      </c>
      <c r="B375" s="22">
        <f>'Unique Dates'!A372</f>
        <v>0</v>
      </c>
      <c r="C375" s="22" t="e" cm="1">
        <f t="array" ref="C375">_xlfn.XLOOKUP(Table57[[#This Row],[No.]],Table2[[#All],[CODE]],Table2[[#All],[NAME]],,0,1)</f>
        <v>#N/A</v>
      </c>
      <c r="D375" s="6">
        <f>'Unique Dates'!B372</f>
        <v>0</v>
      </c>
      <c r="E375" t="str">
        <f>TEXT(Table57[[#This Row],[Date]],"dddd")</f>
        <v>Saturday</v>
      </c>
      <c r="F375" s="25" t="str" cm="1">
        <f t="array" ref="F375">IFERROR(_xlfn.XLOOKUP(Table57[[#This Row],[Code]],Table1[[#All],[Code]],Table1[[#All],[Time]],,0,1),"")</f>
        <v/>
      </c>
      <c r="G375" s="25" t="str" cm="1">
        <f t="array" ref="G375">IFERROR(_xlfn.XLOOKUP(Table57[[#This Row],[Code]],Table1[[#All],[Code]],Table1[[#All],[Time]],,0,-1),"")</f>
        <v/>
      </c>
      <c r="H375" s="23" t="str">
        <f>IFERROR(IF(Table57[[#This Row],[Out]]&gt;=Table57[[#This Row],[In]],Table57[[#This Row],[Out]]-Table57[[#This Row],[In]],(0.5+Table57[[#This Row],[Out]])-Table57[[#This Row],[In]]),"")</f>
        <v/>
      </c>
      <c r="I375" s="31" t="str">
        <f>IFERROR(IF(Table57[[#This Row],[In]]&gt;$C$2,Table57[[#This Row],[In]]-$C$2,""),"")</f>
        <v/>
      </c>
      <c r="J375" s="31" t="str">
        <f>IF(Table57[[#This Row],[Work_Hours]]=0,"",(IF(Table57[[#This Row],[Out]]&lt;$C$3,$C$3-Table57[[#This Row],[Out]],"")))</f>
        <v/>
      </c>
      <c r="K375" s="32" t="str">
        <f>IFERROR(Table57[[#This Row],[In]]+$C$1,"")</f>
        <v/>
      </c>
      <c r="L375" s="29"/>
      <c r="M375" s="31" t="str">
        <f>IF($C$2&gt;Table57[[#This Row],[In]],$C$2-Table57[[#This Row],[In]],"")</f>
        <v/>
      </c>
      <c r="N375" s="29" t="str">
        <f>IFERROR(IF(Table57[[#This Row],[Out]]&gt;$C$3,(Table57[[#This Row],[Out]])-($C$3),""),"")</f>
        <v/>
      </c>
    </row>
    <row r="376" spans="1:14" hidden="1" x14ac:dyDescent="0.25">
      <c r="A376" s="23" t="str">
        <f>Table57[[#This Row],[No.]]&amp;Table57[[#This Row],[Date]]</f>
        <v>00</v>
      </c>
      <c r="B376" s="22">
        <f>'Unique Dates'!A373</f>
        <v>0</v>
      </c>
      <c r="C376" s="22" t="e" cm="1">
        <f t="array" ref="C376">_xlfn.XLOOKUP(Table57[[#This Row],[No.]],Table2[[#All],[CODE]],Table2[[#All],[NAME]],,0,1)</f>
        <v>#N/A</v>
      </c>
      <c r="D376" s="6">
        <f>'Unique Dates'!B373</f>
        <v>0</v>
      </c>
      <c r="E376" t="str">
        <f>TEXT(Table57[[#This Row],[Date]],"dddd")</f>
        <v>Saturday</v>
      </c>
      <c r="F376" s="25" t="str" cm="1">
        <f t="array" ref="F376">IFERROR(_xlfn.XLOOKUP(Table57[[#This Row],[Code]],Table1[[#All],[Code]],Table1[[#All],[Time]],,0,1),"")</f>
        <v/>
      </c>
      <c r="G376" s="25" t="str" cm="1">
        <f t="array" ref="G376">IFERROR(_xlfn.XLOOKUP(Table57[[#This Row],[Code]],Table1[[#All],[Code]],Table1[[#All],[Time]],,0,-1),"")</f>
        <v/>
      </c>
      <c r="H376" s="23" t="str">
        <f>IFERROR(IF(Table57[[#This Row],[Out]]&gt;=Table57[[#This Row],[In]],Table57[[#This Row],[Out]]-Table57[[#This Row],[In]],(0.5+Table57[[#This Row],[Out]])-Table57[[#This Row],[In]]),"")</f>
        <v/>
      </c>
      <c r="I376" s="31" t="str">
        <f>IFERROR(IF(Table57[[#This Row],[In]]&gt;$C$2,Table57[[#This Row],[In]]-$C$2,""),"")</f>
        <v/>
      </c>
      <c r="J376" s="31" t="str">
        <f>IF(Table57[[#This Row],[Work_Hours]]=0,"",(IF(Table57[[#This Row],[Out]]&lt;$C$3,$C$3-Table57[[#This Row],[Out]],"")))</f>
        <v/>
      </c>
      <c r="K376" s="32" t="str">
        <f>IFERROR(Table57[[#This Row],[In]]+$C$1,"")</f>
        <v/>
      </c>
      <c r="L376" s="29"/>
      <c r="M376" s="31" t="str">
        <f>IF($C$2&gt;Table57[[#This Row],[In]],$C$2-Table57[[#This Row],[In]],"")</f>
        <v/>
      </c>
      <c r="N376" s="29" t="str">
        <f>IFERROR(IF(Table57[[#This Row],[Out]]&gt;$C$3,(Table57[[#This Row],[Out]])-($C$3),""),"")</f>
        <v/>
      </c>
    </row>
    <row r="377" spans="1:14" hidden="1" x14ac:dyDescent="0.25">
      <c r="A377" s="23" t="str">
        <f>Table57[[#This Row],[No.]]&amp;Table57[[#This Row],[Date]]</f>
        <v>00</v>
      </c>
      <c r="B377" s="22">
        <f>'Unique Dates'!A374</f>
        <v>0</v>
      </c>
      <c r="C377" s="22" t="e" cm="1">
        <f t="array" ref="C377">_xlfn.XLOOKUP(Table57[[#This Row],[No.]],Table2[[#All],[CODE]],Table2[[#All],[NAME]],,0,1)</f>
        <v>#N/A</v>
      </c>
      <c r="D377" s="6">
        <f>'Unique Dates'!B374</f>
        <v>0</v>
      </c>
      <c r="E377" t="str">
        <f>TEXT(Table57[[#This Row],[Date]],"dddd")</f>
        <v>Saturday</v>
      </c>
      <c r="F377" s="25" t="str" cm="1">
        <f t="array" ref="F377">IFERROR(_xlfn.XLOOKUP(Table57[[#This Row],[Code]],Table1[[#All],[Code]],Table1[[#All],[Time]],,0,1),"")</f>
        <v/>
      </c>
      <c r="G377" s="25" t="str" cm="1">
        <f t="array" ref="G377">IFERROR(_xlfn.XLOOKUP(Table57[[#This Row],[Code]],Table1[[#All],[Code]],Table1[[#All],[Time]],,0,-1),"")</f>
        <v/>
      </c>
      <c r="H377" s="23" t="str">
        <f>IFERROR(IF(Table57[[#This Row],[Out]]&gt;=Table57[[#This Row],[In]],Table57[[#This Row],[Out]]-Table57[[#This Row],[In]],(0.5+Table57[[#This Row],[Out]])-Table57[[#This Row],[In]]),"")</f>
        <v/>
      </c>
      <c r="I377" s="31" t="str">
        <f>IFERROR(IF(Table57[[#This Row],[In]]&gt;$C$2,Table57[[#This Row],[In]]-$C$2,""),"")</f>
        <v/>
      </c>
      <c r="J377" s="31" t="str">
        <f>IF(Table57[[#This Row],[Work_Hours]]=0,"",(IF(Table57[[#This Row],[Out]]&lt;$C$3,$C$3-Table57[[#This Row],[Out]],"")))</f>
        <v/>
      </c>
      <c r="K377" s="32" t="str">
        <f>IFERROR(Table57[[#This Row],[In]]+$C$1,"")</f>
        <v/>
      </c>
      <c r="L377" s="29"/>
      <c r="M377" s="31" t="str">
        <f>IF($C$2&gt;Table57[[#This Row],[In]],$C$2-Table57[[#This Row],[In]],"")</f>
        <v/>
      </c>
      <c r="N377" s="29" t="str">
        <f>IFERROR(IF(Table57[[#This Row],[Out]]&gt;$C$3,(Table57[[#This Row],[Out]])-($C$3),""),"")</f>
        <v/>
      </c>
    </row>
    <row r="378" spans="1:14" hidden="1" x14ac:dyDescent="0.25">
      <c r="A378" s="23" t="str">
        <f>Table57[[#This Row],[No.]]&amp;Table57[[#This Row],[Date]]</f>
        <v>00</v>
      </c>
      <c r="B378" s="22">
        <f>'Unique Dates'!A375</f>
        <v>0</v>
      </c>
      <c r="C378" s="22" t="e" cm="1">
        <f t="array" ref="C378">_xlfn.XLOOKUP(Table57[[#This Row],[No.]],Table2[[#All],[CODE]],Table2[[#All],[NAME]],,0,1)</f>
        <v>#N/A</v>
      </c>
      <c r="D378" s="6">
        <f>'Unique Dates'!B375</f>
        <v>0</v>
      </c>
      <c r="E378" t="str">
        <f>TEXT(Table57[[#This Row],[Date]],"dddd")</f>
        <v>Saturday</v>
      </c>
      <c r="F378" s="25" t="str" cm="1">
        <f t="array" ref="F378">IFERROR(_xlfn.XLOOKUP(Table57[[#This Row],[Code]],Table1[[#All],[Code]],Table1[[#All],[Time]],,0,1),"")</f>
        <v/>
      </c>
      <c r="G378" s="25" t="str" cm="1">
        <f t="array" ref="G378">IFERROR(_xlfn.XLOOKUP(Table57[[#This Row],[Code]],Table1[[#All],[Code]],Table1[[#All],[Time]],,0,-1),"")</f>
        <v/>
      </c>
      <c r="H378" s="23" t="str">
        <f>IFERROR(IF(Table57[[#This Row],[Out]]&gt;=Table57[[#This Row],[In]],Table57[[#This Row],[Out]]-Table57[[#This Row],[In]],(0.5+Table57[[#This Row],[Out]])-Table57[[#This Row],[In]]),"")</f>
        <v/>
      </c>
      <c r="I378" s="31" t="str">
        <f>IFERROR(IF(Table57[[#This Row],[In]]&gt;$C$2,Table57[[#This Row],[In]]-$C$2,""),"")</f>
        <v/>
      </c>
      <c r="J378" s="31" t="str">
        <f>IF(Table57[[#This Row],[Work_Hours]]=0,"",(IF(Table57[[#This Row],[Out]]&lt;$C$3,$C$3-Table57[[#This Row],[Out]],"")))</f>
        <v/>
      </c>
      <c r="K378" s="32" t="str">
        <f>IFERROR(Table57[[#This Row],[In]]+$C$1,"")</f>
        <v/>
      </c>
      <c r="L378" s="29"/>
      <c r="M378" s="31" t="str">
        <f>IF($C$2&gt;Table57[[#This Row],[In]],$C$2-Table57[[#This Row],[In]],"")</f>
        <v/>
      </c>
      <c r="N378" s="29" t="str">
        <f>IFERROR(IF(Table57[[#This Row],[Out]]&gt;$C$3,(Table57[[#This Row],[Out]])-($C$3),""),"")</f>
        <v/>
      </c>
    </row>
    <row r="379" spans="1:14" hidden="1" x14ac:dyDescent="0.25">
      <c r="A379" s="23" t="str">
        <f>Table57[[#This Row],[No.]]&amp;Table57[[#This Row],[Date]]</f>
        <v>00</v>
      </c>
      <c r="B379" s="22">
        <f>'Unique Dates'!A376</f>
        <v>0</v>
      </c>
      <c r="C379" s="22" t="e" cm="1">
        <f t="array" ref="C379">_xlfn.XLOOKUP(Table57[[#This Row],[No.]],Table2[[#All],[CODE]],Table2[[#All],[NAME]],,0,1)</f>
        <v>#N/A</v>
      </c>
      <c r="D379" s="6">
        <f>'Unique Dates'!B376</f>
        <v>0</v>
      </c>
      <c r="E379" t="str">
        <f>TEXT(Table57[[#This Row],[Date]],"dddd")</f>
        <v>Saturday</v>
      </c>
      <c r="F379" s="25" t="str" cm="1">
        <f t="array" ref="F379">IFERROR(_xlfn.XLOOKUP(Table57[[#This Row],[Code]],Table1[[#All],[Code]],Table1[[#All],[Time]],,0,1),"")</f>
        <v/>
      </c>
      <c r="G379" s="25" t="str" cm="1">
        <f t="array" ref="G379">IFERROR(_xlfn.XLOOKUP(Table57[[#This Row],[Code]],Table1[[#All],[Code]],Table1[[#All],[Time]],,0,-1),"")</f>
        <v/>
      </c>
      <c r="H379" s="23" t="str">
        <f>IFERROR(IF(Table57[[#This Row],[Out]]&gt;=Table57[[#This Row],[In]],Table57[[#This Row],[Out]]-Table57[[#This Row],[In]],(0.5+Table57[[#This Row],[Out]])-Table57[[#This Row],[In]]),"")</f>
        <v/>
      </c>
      <c r="I379" s="31" t="str">
        <f>IFERROR(IF(Table57[[#This Row],[In]]&gt;$C$2,Table57[[#This Row],[In]]-$C$2,""),"")</f>
        <v/>
      </c>
      <c r="J379" s="31" t="str">
        <f>IF(Table57[[#This Row],[Work_Hours]]=0,"",(IF(Table57[[#This Row],[Out]]&lt;$C$3,$C$3-Table57[[#This Row],[Out]],"")))</f>
        <v/>
      </c>
      <c r="K379" s="32" t="str">
        <f>IFERROR(Table57[[#This Row],[In]]+$C$1,"")</f>
        <v/>
      </c>
      <c r="L379" s="29"/>
      <c r="M379" s="31" t="str">
        <f>IF($C$2&gt;Table57[[#This Row],[In]],$C$2-Table57[[#This Row],[In]],"")</f>
        <v/>
      </c>
      <c r="N379" s="29" t="str">
        <f>IFERROR(IF(Table57[[#This Row],[Out]]&gt;$C$3,(Table57[[#This Row],[Out]])-($C$3),""),"")</f>
        <v/>
      </c>
    </row>
    <row r="380" spans="1:14" hidden="1" x14ac:dyDescent="0.25">
      <c r="A380" s="23" t="str">
        <f>Table57[[#This Row],[No.]]&amp;Table57[[#This Row],[Date]]</f>
        <v>00</v>
      </c>
      <c r="B380" s="22">
        <f>'Unique Dates'!A377</f>
        <v>0</v>
      </c>
      <c r="C380" s="22" t="e" cm="1">
        <f t="array" ref="C380">_xlfn.XLOOKUP(Table57[[#This Row],[No.]],Table2[[#All],[CODE]],Table2[[#All],[NAME]],,0,1)</f>
        <v>#N/A</v>
      </c>
      <c r="D380" s="6">
        <f>'Unique Dates'!B377</f>
        <v>0</v>
      </c>
      <c r="E380" t="str">
        <f>TEXT(Table57[[#This Row],[Date]],"dddd")</f>
        <v>Saturday</v>
      </c>
      <c r="F380" s="25" t="str" cm="1">
        <f t="array" ref="F380">IFERROR(_xlfn.XLOOKUP(Table57[[#This Row],[Code]],Table1[[#All],[Code]],Table1[[#All],[Time]],,0,1),"")</f>
        <v/>
      </c>
      <c r="G380" s="25" t="str" cm="1">
        <f t="array" ref="G380">IFERROR(_xlfn.XLOOKUP(Table57[[#This Row],[Code]],Table1[[#All],[Code]],Table1[[#All],[Time]],,0,-1),"")</f>
        <v/>
      </c>
      <c r="H380" s="23" t="str">
        <f>IFERROR(IF(Table57[[#This Row],[Out]]&gt;=Table57[[#This Row],[In]],Table57[[#This Row],[Out]]-Table57[[#This Row],[In]],(0.5+Table57[[#This Row],[Out]])-Table57[[#This Row],[In]]),"")</f>
        <v/>
      </c>
      <c r="I380" s="31" t="str">
        <f>IFERROR(IF(Table57[[#This Row],[In]]&gt;$C$2,Table57[[#This Row],[In]]-$C$2,""),"")</f>
        <v/>
      </c>
      <c r="J380" s="31" t="str">
        <f>IF(Table57[[#This Row],[Work_Hours]]=0,"",(IF(Table57[[#This Row],[Out]]&lt;$C$3,$C$3-Table57[[#This Row],[Out]],"")))</f>
        <v/>
      </c>
      <c r="K380" s="32" t="str">
        <f>IFERROR(Table57[[#This Row],[In]]+$C$1,"")</f>
        <v/>
      </c>
      <c r="L380" s="29"/>
      <c r="M380" s="31" t="str">
        <f>IF($C$2&gt;Table57[[#This Row],[In]],$C$2-Table57[[#This Row],[In]],"")</f>
        <v/>
      </c>
      <c r="N380" s="29" t="str">
        <f>IFERROR(IF(Table57[[#This Row],[Out]]&gt;$C$3,(Table57[[#This Row],[Out]])-($C$3),""),"")</f>
        <v/>
      </c>
    </row>
    <row r="381" spans="1:14" hidden="1" x14ac:dyDescent="0.25">
      <c r="A381" s="23" t="str">
        <f>Table57[[#This Row],[No.]]&amp;Table57[[#This Row],[Date]]</f>
        <v>00</v>
      </c>
      <c r="B381" s="22">
        <f>'Unique Dates'!A378</f>
        <v>0</v>
      </c>
      <c r="C381" s="22" t="e" cm="1">
        <f t="array" ref="C381">_xlfn.XLOOKUP(Table57[[#This Row],[No.]],Table2[[#All],[CODE]],Table2[[#All],[NAME]],,0,1)</f>
        <v>#N/A</v>
      </c>
      <c r="D381" s="6">
        <f>'Unique Dates'!B378</f>
        <v>0</v>
      </c>
      <c r="E381" t="str">
        <f>TEXT(Table57[[#This Row],[Date]],"dddd")</f>
        <v>Saturday</v>
      </c>
      <c r="F381" s="25" t="str" cm="1">
        <f t="array" ref="F381">IFERROR(_xlfn.XLOOKUP(Table57[[#This Row],[Code]],Table1[[#All],[Code]],Table1[[#All],[Time]],,0,1),"")</f>
        <v/>
      </c>
      <c r="G381" s="25" t="str" cm="1">
        <f t="array" ref="G381">IFERROR(_xlfn.XLOOKUP(Table57[[#This Row],[Code]],Table1[[#All],[Code]],Table1[[#All],[Time]],,0,-1),"")</f>
        <v/>
      </c>
      <c r="H381" s="23" t="str">
        <f>IFERROR(IF(Table57[[#This Row],[Out]]&gt;=Table57[[#This Row],[In]],Table57[[#This Row],[Out]]-Table57[[#This Row],[In]],(0.5+Table57[[#This Row],[Out]])-Table57[[#This Row],[In]]),"")</f>
        <v/>
      </c>
      <c r="I381" s="31" t="str">
        <f>IFERROR(IF(Table57[[#This Row],[In]]&gt;$C$2,Table57[[#This Row],[In]]-$C$2,""),"")</f>
        <v/>
      </c>
      <c r="J381" s="31" t="str">
        <f>IF(Table57[[#This Row],[Work_Hours]]=0,"",(IF(Table57[[#This Row],[Out]]&lt;$C$3,$C$3-Table57[[#This Row],[Out]],"")))</f>
        <v/>
      </c>
      <c r="K381" s="32" t="str">
        <f>IFERROR(Table57[[#This Row],[In]]+$C$1,"")</f>
        <v/>
      </c>
      <c r="L381" s="29"/>
      <c r="M381" s="31" t="str">
        <f>IF($C$2&gt;Table57[[#This Row],[In]],$C$2-Table57[[#This Row],[In]],"")</f>
        <v/>
      </c>
      <c r="N381" s="29" t="str">
        <f>IFERROR(IF(Table57[[#This Row],[Out]]&gt;$C$3,(Table57[[#This Row],[Out]])-($C$3),""),"")</f>
        <v/>
      </c>
    </row>
    <row r="382" spans="1:14" hidden="1" x14ac:dyDescent="0.25">
      <c r="A382" s="23" t="str">
        <f>Table57[[#This Row],[No.]]&amp;Table57[[#This Row],[Date]]</f>
        <v>00</v>
      </c>
      <c r="B382" s="22">
        <f>'Unique Dates'!A379</f>
        <v>0</v>
      </c>
      <c r="C382" s="22" t="e" cm="1">
        <f t="array" ref="C382">_xlfn.XLOOKUP(Table57[[#This Row],[No.]],Table2[[#All],[CODE]],Table2[[#All],[NAME]],,0,1)</f>
        <v>#N/A</v>
      </c>
      <c r="D382" s="6">
        <f>'Unique Dates'!B379</f>
        <v>0</v>
      </c>
      <c r="E382" t="str">
        <f>TEXT(Table57[[#This Row],[Date]],"dddd")</f>
        <v>Saturday</v>
      </c>
      <c r="F382" s="25" t="str" cm="1">
        <f t="array" ref="F382">IFERROR(_xlfn.XLOOKUP(Table57[[#This Row],[Code]],Table1[[#All],[Code]],Table1[[#All],[Time]],,0,1),"")</f>
        <v/>
      </c>
      <c r="G382" s="25" t="str" cm="1">
        <f t="array" ref="G382">IFERROR(_xlfn.XLOOKUP(Table57[[#This Row],[Code]],Table1[[#All],[Code]],Table1[[#All],[Time]],,0,-1),"")</f>
        <v/>
      </c>
      <c r="H382" s="23" t="str">
        <f>IFERROR(IF(Table57[[#This Row],[Out]]&gt;=Table57[[#This Row],[In]],Table57[[#This Row],[Out]]-Table57[[#This Row],[In]],(0.5+Table57[[#This Row],[Out]])-Table57[[#This Row],[In]]),"")</f>
        <v/>
      </c>
      <c r="I382" s="31" t="str">
        <f>IFERROR(IF(Table57[[#This Row],[In]]&gt;$C$2,Table57[[#This Row],[In]]-$C$2,""),"")</f>
        <v/>
      </c>
      <c r="J382" s="31" t="str">
        <f>IF(Table57[[#This Row],[Work_Hours]]=0,"",(IF(Table57[[#This Row],[Out]]&lt;$C$3,$C$3-Table57[[#This Row],[Out]],"")))</f>
        <v/>
      </c>
      <c r="K382" s="32" t="str">
        <f>IFERROR(Table57[[#This Row],[In]]+$C$1,"")</f>
        <v/>
      </c>
      <c r="L382" s="29"/>
      <c r="M382" s="31" t="str">
        <f>IF($C$2&gt;Table57[[#This Row],[In]],$C$2-Table57[[#This Row],[In]],"")</f>
        <v/>
      </c>
      <c r="N382" s="29" t="str">
        <f>IFERROR(IF(Table57[[#This Row],[Out]]&gt;$C$3,(Table57[[#This Row],[Out]])-($C$3),""),"")</f>
        <v/>
      </c>
    </row>
    <row r="383" spans="1:14" hidden="1" x14ac:dyDescent="0.25">
      <c r="A383" s="23" t="str">
        <f>Table57[[#This Row],[No.]]&amp;Table57[[#This Row],[Date]]</f>
        <v>00</v>
      </c>
      <c r="B383" s="22">
        <f>'Unique Dates'!A380</f>
        <v>0</v>
      </c>
      <c r="C383" s="22" t="e" cm="1">
        <f t="array" ref="C383">_xlfn.XLOOKUP(Table57[[#This Row],[No.]],Table2[[#All],[CODE]],Table2[[#All],[NAME]],,0,1)</f>
        <v>#N/A</v>
      </c>
      <c r="D383" s="6">
        <f>'Unique Dates'!B380</f>
        <v>0</v>
      </c>
      <c r="E383" t="str">
        <f>TEXT(Table57[[#This Row],[Date]],"dddd")</f>
        <v>Saturday</v>
      </c>
      <c r="F383" s="25" t="str" cm="1">
        <f t="array" ref="F383">IFERROR(_xlfn.XLOOKUP(Table57[[#This Row],[Code]],Table1[[#All],[Code]],Table1[[#All],[Time]],,0,1),"")</f>
        <v/>
      </c>
      <c r="G383" s="25" t="str" cm="1">
        <f t="array" ref="G383">IFERROR(_xlfn.XLOOKUP(Table57[[#This Row],[Code]],Table1[[#All],[Code]],Table1[[#All],[Time]],,0,-1),"")</f>
        <v/>
      </c>
      <c r="H383" s="23" t="str">
        <f>IFERROR(IF(Table57[[#This Row],[Out]]&gt;=Table57[[#This Row],[In]],Table57[[#This Row],[Out]]-Table57[[#This Row],[In]],(0.5+Table57[[#This Row],[Out]])-Table57[[#This Row],[In]]),"")</f>
        <v/>
      </c>
      <c r="I383" s="31" t="str">
        <f>IFERROR(IF(Table57[[#This Row],[In]]&gt;$C$2,Table57[[#This Row],[In]]-$C$2,""),"")</f>
        <v/>
      </c>
      <c r="J383" s="31" t="str">
        <f>IF(Table57[[#This Row],[Work_Hours]]=0,"",(IF(Table57[[#This Row],[Out]]&lt;$C$3,$C$3-Table57[[#This Row],[Out]],"")))</f>
        <v/>
      </c>
      <c r="K383" s="32" t="str">
        <f>IFERROR(Table57[[#This Row],[In]]+$C$1,"")</f>
        <v/>
      </c>
      <c r="L383" s="29"/>
      <c r="M383" s="31" t="str">
        <f>IF($C$2&gt;Table57[[#This Row],[In]],$C$2-Table57[[#This Row],[In]],"")</f>
        <v/>
      </c>
      <c r="N383" s="29" t="str">
        <f>IFERROR(IF(Table57[[#This Row],[Out]]&gt;$C$3,(Table57[[#This Row],[Out]])-($C$3),""),"")</f>
        <v/>
      </c>
    </row>
    <row r="384" spans="1:14" hidden="1" x14ac:dyDescent="0.25">
      <c r="A384" s="23" t="str">
        <f>Table57[[#This Row],[No.]]&amp;Table57[[#This Row],[Date]]</f>
        <v>00</v>
      </c>
      <c r="B384" s="22">
        <f>'Unique Dates'!A381</f>
        <v>0</v>
      </c>
      <c r="C384" s="22" t="e" cm="1">
        <f t="array" ref="C384">_xlfn.XLOOKUP(Table57[[#This Row],[No.]],Table2[[#All],[CODE]],Table2[[#All],[NAME]],,0,1)</f>
        <v>#N/A</v>
      </c>
      <c r="D384" s="6">
        <f>'Unique Dates'!B381</f>
        <v>0</v>
      </c>
      <c r="E384" t="str">
        <f>TEXT(Table57[[#This Row],[Date]],"dddd")</f>
        <v>Saturday</v>
      </c>
      <c r="F384" s="25" t="str" cm="1">
        <f t="array" ref="F384">IFERROR(_xlfn.XLOOKUP(Table57[[#This Row],[Code]],Table1[[#All],[Code]],Table1[[#All],[Time]],,0,1),"")</f>
        <v/>
      </c>
      <c r="G384" s="25" t="str" cm="1">
        <f t="array" ref="G384">IFERROR(_xlfn.XLOOKUP(Table57[[#This Row],[Code]],Table1[[#All],[Code]],Table1[[#All],[Time]],,0,-1),"")</f>
        <v/>
      </c>
      <c r="H384" s="23" t="str">
        <f>IFERROR(IF(Table57[[#This Row],[Out]]&gt;=Table57[[#This Row],[In]],Table57[[#This Row],[Out]]-Table57[[#This Row],[In]],(0.5+Table57[[#This Row],[Out]])-Table57[[#This Row],[In]]),"")</f>
        <v/>
      </c>
      <c r="I384" s="31" t="str">
        <f>IFERROR(IF(Table57[[#This Row],[In]]&gt;$C$2,Table57[[#This Row],[In]]-$C$2,""),"")</f>
        <v/>
      </c>
      <c r="J384" s="31" t="str">
        <f>IF(Table57[[#This Row],[Work_Hours]]=0,"",(IF(Table57[[#This Row],[Out]]&lt;$C$3,$C$3-Table57[[#This Row],[Out]],"")))</f>
        <v/>
      </c>
      <c r="K384" s="32" t="str">
        <f>IFERROR(Table57[[#This Row],[In]]+$C$1,"")</f>
        <v/>
      </c>
      <c r="L384" s="29"/>
      <c r="M384" s="31" t="str">
        <f>IF($C$2&gt;Table57[[#This Row],[In]],$C$2-Table57[[#This Row],[In]],"")</f>
        <v/>
      </c>
      <c r="N384" s="29" t="str">
        <f>IFERROR(IF(Table57[[#This Row],[Out]]&gt;$C$3,(Table57[[#This Row],[Out]])-($C$3),""),"")</f>
        <v/>
      </c>
    </row>
    <row r="385" spans="1:14" hidden="1" x14ac:dyDescent="0.25">
      <c r="A385" s="23" t="str">
        <f>Table57[[#This Row],[No.]]&amp;Table57[[#This Row],[Date]]</f>
        <v>00</v>
      </c>
      <c r="B385" s="22">
        <f>'Unique Dates'!A382</f>
        <v>0</v>
      </c>
      <c r="C385" s="22" t="e" cm="1">
        <f t="array" ref="C385">_xlfn.XLOOKUP(Table57[[#This Row],[No.]],Table2[[#All],[CODE]],Table2[[#All],[NAME]],,0,1)</f>
        <v>#N/A</v>
      </c>
      <c r="D385" s="6">
        <f>'Unique Dates'!B382</f>
        <v>0</v>
      </c>
      <c r="E385" t="str">
        <f>TEXT(Table57[[#This Row],[Date]],"dddd")</f>
        <v>Saturday</v>
      </c>
      <c r="F385" s="25" t="str" cm="1">
        <f t="array" ref="F385">IFERROR(_xlfn.XLOOKUP(Table57[[#This Row],[Code]],Table1[[#All],[Code]],Table1[[#All],[Time]],,0,1),"")</f>
        <v/>
      </c>
      <c r="G385" s="25" t="str" cm="1">
        <f t="array" ref="G385">IFERROR(_xlfn.XLOOKUP(Table57[[#This Row],[Code]],Table1[[#All],[Code]],Table1[[#All],[Time]],,0,-1),"")</f>
        <v/>
      </c>
      <c r="H385" s="23" t="str">
        <f>IFERROR(IF(Table57[[#This Row],[Out]]&gt;=Table57[[#This Row],[In]],Table57[[#This Row],[Out]]-Table57[[#This Row],[In]],(0.5+Table57[[#This Row],[Out]])-Table57[[#This Row],[In]]),"")</f>
        <v/>
      </c>
      <c r="I385" s="31" t="str">
        <f>IFERROR(IF(Table57[[#This Row],[In]]&gt;$C$2,Table57[[#This Row],[In]]-$C$2,""),"")</f>
        <v/>
      </c>
      <c r="J385" s="31" t="str">
        <f>IF(Table57[[#This Row],[Work_Hours]]=0,"",(IF(Table57[[#This Row],[Out]]&lt;$C$3,$C$3-Table57[[#This Row],[Out]],"")))</f>
        <v/>
      </c>
      <c r="K385" s="32" t="str">
        <f>IFERROR(Table57[[#This Row],[In]]+$C$1,"")</f>
        <v/>
      </c>
      <c r="L385" s="29"/>
      <c r="M385" s="31" t="str">
        <f>IF($C$2&gt;Table57[[#This Row],[In]],$C$2-Table57[[#This Row],[In]],"")</f>
        <v/>
      </c>
      <c r="N385" s="29" t="str">
        <f>IFERROR(IF(Table57[[#This Row],[Out]]&gt;$C$3,(Table57[[#This Row],[Out]])-($C$3),""),"")</f>
        <v/>
      </c>
    </row>
    <row r="386" spans="1:14" hidden="1" x14ac:dyDescent="0.25">
      <c r="A386" s="23" t="str">
        <f>Table57[[#This Row],[No.]]&amp;Table57[[#This Row],[Date]]</f>
        <v>00</v>
      </c>
      <c r="B386" s="22">
        <f>'Unique Dates'!A383</f>
        <v>0</v>
      </c>
      <c r="C386" s="22" t="e" cm="1">
        <f t="array" ref="C386">_xlfn.XLOOKUP(Table57[[#This Row],[No.]],Table2[[#All],[CODE]],Table2[[#All],[NAME]],,0,1)</f>
        <v>#N/A</v>
      </c>
      <c r="D386" s="6">
        <f>'Unique Dates'!B383</f>
        <v>0</v>
      </c>
      <c r="E386" t="str">
        <f>TEXT(Table57[[#This Row],[Date]],"dddd")</f>
        <v>Saturday</v>
      </c>
      <c r="F386" s="25" t="str" cm="1">
        <f t="array" ref="F386">IFERROR(_xlfn.XLOOKUP(Table57[[#This Row],[Code]],Table1[[#All],[Code]],Table1[[#All],[Time]],,0,1),"")</f>
        <v/>
      </c>
      <c r="G386" s="25" t="str" cm="1">
        <f t="array" ref="G386">IFERROR(_xlfn.XLOOKUP(Table57[[#This Row],[Code]],Table1[[#All],[Code]],Table1[[#All],[Time]],,0,-1),"")</f>
        <v/>
      </c>
      <c r="H386" s="23" t="str">
        <f>IFERROR(IF(Table57[[#This Row],[Out]]&gt;=Table57[[#This Row],[In]],Table57[[#This Row],[Out]]-Table57[[#This Row],[In]],(0.5+Table57[[#This Row],[Out]])-Table57[[#This Row],[In]]),"")</f>
        <v/>
      </c>
      <c r="I386" s="31" t="str">
        <f>IFERROR(IF(Table57[[#This Row],[In]]&gt;$C$2,Table57[[#This Row],[In]]-$C$2,""),"")</f>
        <v/>
      </c>
      <c r="J386" s="31" t="str">
        <f>IF(Table57[[#This Row],[Work_Hours]]=0,"",(IF(Table57[[#This Row],[Out]]&lt;$C$3,$C$3-Table57[[#This Row],[Out]],"")))</f>
        <v/>
      </c>
      <c r="K386" s="32" t="str">
        <f>IFERROR(Table57[[#This Row],[In]]+$C$1,"")</f>
        <v/>
      </c>
      <c r="L386" s="29"/>
      <c r="M386" s="31" t="str">
        <f>IF($C$2&gt;Table57[[#This Row],[In]],$C$2-Table57[[#This Row],[In]],"")</f>
        <v/>
      </c>
      <c r="N386" s="29" t="str">
        <f>IFERROR(IF(Table57[[#This Row],[Out]]&gt;$C$3,(Table57[[#This Row],[Out]])-($C$3),""),"")</f>
        <v/>
      </c>
    </row>
    <row r="387" spans="1:14" hidden="1" x14ac:dyDescent="0.25">
      <c r="A387" s="23" t="str">
        <f>Table57[[#This Row],[No.]]&amp;Table57[[#This Row],[Date]]</f>
        <v>00</v>
      </c>
      <c r="B387" s="22">
        <f>'Unique Dates'!A384</f>
        <v>0</v>
      </c>
      <c r="C387" s="22" t="e" cm="1">
        <f t="array" ref="C387">_xlfn.XLOOKUP(Table57[[#This Row],[No.]],Table2[[#All],[CODE]],Table2[[#All],[NAME]],,0,1)</f>
        <v>#N/A</v>
      </c>
      <c r="D387" s="6">
        <f>'Unique Dates'!B384</f>
        <v>0</v>
      </c>
      <c r="E387" t="str">
        <f>TEXT(Table57[[#This Row],[Date]],"dddd")</f>
        <v>Saturday</v>
      </c>
      <c r="F387" s="25" t="str" cm="1">
        <f t="array" ref="F387">IFERROR(_xlfn.XLOOKUP(Table57[[#This Row],[Code]],Table1[[#All],[Code]],Table1[[#All],[Time]],,0,1),"")</f>
        <v/>
      </c>
      <c r="G387" s="25" t="str" cm="1">
        <f t="array" ref="G387">IFERROR(_xlfn.XLOOKUP(Table57[[#This Row],[Code]],Table1[[#All],[Code]],Table1[[#All],[Time]],,0,-1),"")</f>
        <v/>
      </c>
      <c r="H387" s="23" t="str">
        <f>IFERROR(IF(Table57[[#This Row],[Out]]&gt;=Table57[[#This Row],[In]],Table57[[#This Row],[Out]]-Table57[[#This Row],[In]],(0.5+Table57[[#This Row],[Out]])-Table57[[#This Row],[In]]),"")</f>
        <v/>
      </c>
      <c r="I387" s="31" t="str">
        <f>IFERROR(IF(Table57[[#This Row],[In]]&gt;$C$2,Table57[[#This Row],[In]]-$C$2,""),"")</f>
        <v/>
      </c>
      <c r="J387" s="31" t="str">
        <f>IF(Table57[[#This Row],[Work_Hours]]=0,"",(IF(Table57[[#This Row],[Out]]&lt;$C$3,$C$3-Table57[[#This Row],[Out]],"")))</f>
        <v/>
      </c>
      <c r="K387" s="32" t="str">
        <f>IFERROR(Table57[[#This Row],[In]]+$C$1,"")</f>
        <v/>
      </c>
      <c r="L387" s="29"/>
      <c r="M387" s="31" t="str">
        <f>IF($C$2&gt;Table57[[#This Row],[In]],$C$2-Table57[[#This Row],[In]],"")</f>
        <v/>
      </c>
      <c r="N387" s="29" t="str">
        <f>IFERROR(IF(Table57[[#This Row],[Out]]&gt;$C$3,(Table57[[#This Row],[Out]])-($C$3),""),"")</f>
        <v/>
      </c>
    </row>
    <row r="388" spans="1:14" hidden="1" x14ac:dyDescent="0.25">
      <c r="A388" s="23" t="str">
        <f>Table57[[#This Row],[No.]]&amp;Table57[[#This Row],[Date]]</f>
        <v>00</v>
      </c>
      <c r="B388" s="22">
        <f>'Unique Dates'!A385</f>
        <v>0</v>
      </c>
      <c r="C388" s="22" t="e" cm="1">
        <f t="array" ref="C388">_xlfn.XLOOKUP(Table57[[#This Row],[No.]],Table2[[#All],[CODE]],Table2[[#All],[NAME]],,0,1)</f>
        <v>#N/A</v>
      </c>
      <c r="D388" s="6">
        <f>'Unique Dates'!B385</f>
        <v>0</v>
      </c>
      <c r="E388" t="str">
        <f>TEXT(Table57[[#This Row],[Date]],"dddd")</f>
        <v>Saturday</v>
      </c>
      <c r="F388" s="25" t="str" cm="1">
        <f t="array" ref="F388">IFERROR(_xlfn.XLOOKUP(Table57[[#This Row],[Code]],Table1[[#All],[Code]],Table1[[#All],[Time]],,0,1),"")</f>
        <v/>
      </c>
      <c r="G388" s="25" t="str" cm="1">
        <f t="array" ref="G388">IFERROR(_xlfn.XLOOKUP(Table57[[#This Row],[Code]],Table1[[#All],[Code]],Table1[[#All],[Time]],,0,-1),"")</f>
        <v/>
      </c>
      <c r="H388" s="23" t="str">
        <f>IFERROR(IF(Table57[[#This Row],[Out]]&gt;=Table57[[#This Row],[In]],Table57[[#This Row],[Out]]-Table57[[#This Row],[In]],(0.5+Table57[[#This Row],[Out]])-Table57[[#This Row],[In]]),"")</f>
        <v/>
      </c>
      <c r="I388" s="31" t="str">
        <f>IFERROR(IF(Table57[[#This Row],[In]]&gt;$C$2,Table57[[#This Row],[In]]-$C$2,""),"")</f>
        <v/>
      </c>
      <c r="J388" s="31" t="str">
        <f>IF(Table57[[#This Row],[Work_Hours]]=0,"",(IF(Table57[[#This Row],[Out]]&lt;$C$3,$C$3-Table57[[#This Row],[Out]],"")))</f>
        <v/>
      </c>
      <c r="K388" s="32" t="str">
        <f>IFERROR(Table57[[#This Row],[In]]+$C$1,"")</f>
        <v/>
      </c>
      <c r="L388" s="29"/>
      <c r="M388" s="31" t="str">
        <f>IF($C$2&gt;Table57[[#This Row],[In]],$C$2-Table57[[#This Row],[In]],"")</f>
        <v/>
      </c>
      <c r="N388" s="29" t="str">
        <f>IFERROR(IF(Table57[[#This Row],[Out]]&gt;$C$3,(Table57[[#This Row],[Out]])-($C$3),""),"")</f>
        <v/>
      </c>
    </row>
    <row r="389" spans="1:14" hidden="1" x14ac:dyDescent="0.25">
      <c r="A389" s="23" t="str">
        <f>Table57[[#This Row],[No.]]&amp;Table57[[#This Row],[Date]]</f>
        <v>00</v>
      </c>
      <c r="B389" s="22">
        <f>'Unique Dates'!A386</f>
        <v>0</v>
      </c>
      <c r="C389" s="22" t="e" cm="1">
        <f t="array" ref="C389">_xlfn.XLOOKUP(Table57[[#This Row],[No.]],Table2[[#All],[CODE]],Table2[[#All],[NAME]],,0,1)</f>
        <v>#N/A</v>
      </c>
      <c r="D389" s="6">
        <f>'Unique Dates'!B386</f>
        <v>0</v>
      </c>
      <c r="E389" t="str">
        <f>TEXT(Table57[[#This Row],[Date]],"dddd")</f>
        <v>Saturday</v>
      </c>
      <c r="F389" s="25" t="str" cm="1">
        <f t="array" ref="F389">IFERROR(_xlfn.XLOOKUP(Table57[[#This Row],[Code]],Table1[[#All],[Code]],Table1[[#All],[Time]],,0,1),"")</f>
        <v/>
      </c>
      <c r="G389" s="25" t="str" cm="1">
        <f t="array" ref="G389">IFERROR(_xlfn.XLOOKUP(Table57[[#This Row],[Code]],Table1[[#All],[Code]],Table1[[#All],[Time]],,0,-1),"")</f>
        <v/>
      </c>
      <c r="H389" s="23" t="str">
        <f>IFERROR(IF(Table57[[#This Row],[Out]]&gt;=Table57[[#This Row],[In]],Table57[[#This Row],[Out]]-Table57[[#This Row],[In]],(0.5+Table57[[#This Row],[Out]])-Table57[[#This Row],[In]]),"")</f>
        <v/>
      </c>
      <c r="I389" s="31" t="str">
        <f>IFERROR(IF(Table57[[#This Row],[In]]&gt;$C$2,Table57[[#This Row],[In]]-$C$2,""),"")</f>
        <v/>
      </c>
      <c r="J389" s="31" t="str">
        <f>IF(Table57[[#This Row],[Work_Hours]]=0,"",(IF(Table57[[#This Row],[Out]]&lt;$C$3,$C$3-Table57[[#This Row],[Out]],"")))</f>
        <v/>
      </c>
      <c r="K389" s="32" t="str">
        <f>IFERROR(Table57[[#This Row],[In]]+$C$1,"")</f>
        <v/>
      </c>
      <c r="L389" s="29"/>
      <c r="M389" s="31" t="str">
        <f>IF($C$2&gt;Table57[[#This Row],[In]],$C$2-Table57[[#This Row],[In]],"")</f>
        <v/>
      </c>
      <c r="N389" s="29" t="str">
        <f>IFERROR(IF(Table57[[#This Row],[Out]]&gt;$C$3,(Table57[[#This Row],[Out]])-($C$3),""),"")</f>
        <v/>
      </c>
    </row>
    <row r="390" spans="1:14" hidden="1" x14ac:dyDescent="0.25">
      <c r="A390" s="23" t="str">
        <f>Table57[[#This Row],[No.]]&amp;Table57[[#This Row],[Date]]</f>
        <v>00</v>
      </c>
      <c r="B390" s="22">
        <f>'Unique Dates'!A387</f>
        <v>0</v>
      </c>
      <c r="C390" s="22" t="e" cm="1">
        <f t="array" ref="C390">_xlfn.XLOOKUP(Table57[[#This Row],[No.]],Table2[[#All],[CODE]],Table2[[#All],[NAME]],,0,1)</f>
        <v>#N/A</v>
      </c>
      <c r="D390" s="6">
        <f>'Unique Dates'!B387</f>
        <v>0</v>
      </c>
      <c r="E390" t="str">
        <f>TEXT(Table57[[#This Row],[Date]],"dddd")</f>
        <v>Saturday</v>
      </c>
      <c r="F390" s="25" t="str" cm="1">
        <f t="array" ref="F390">IFERROR(_xlfn.XLOOKUP(Table57[[#This Row],[Code]],Table1[[#All],[Code]],Table1[[#All],[Time]],,0,1),"")</f>
        <v/>
      </c>
      <c r="G390" s="25" t="str" cm="1">
        <f t="array" ref="G390">IFERROR(_xlfn.XLOOKUP(Table57[[#This Row],[Code]],Table1[[#All],[Code]],Table1[[#All],[Time]],,0,-1),"")</f>
        <v/>
      </c>
      <c r="H390" s="23" t="str">
        <f>IFERROR(IF(Table57[[#This Row],[Out]]&gt;=Table57[[#This Row],[In]],Table57[[#This Row],[Out]]-Table57[[#This Row],[In]],(0.5+Table57[[#This Row],[Out]])-Table57[[#This Row],[In]]),"")</f>
        <v/>
      </c>
      <c r="I390" s="31" t="str">
        <f>IFERROR(IF(Table57[[#This Row],[In]]&gt;$C$2,Table57[[#This Row],[In]]-$C$2,""),"")</f>
        <v/>
      </c>
      <c r="J390" s="31" t="str">
        <f>IF(Table57[[#This Row],[Work_Hours]]=0,"",(IF(Table57[[#This Row],[Out]]&lt;$C$3,$C$3-Table57[[#This Row],[Out]],"")))</f>
        <v/>
      </c>
      <c r="K390" s="32" t="str">
        <f>IFERROR(Table57[[#This Row],[In]]+$C$1,"")</f>
        <v/>
      </c>
      <c r="L390" s="29"/>
      <c r="M390" s="31" t="str">
        <f>IF($C$2&gt;Table57[[#This Row],[In]],$C$2-Table57[[#This Row],[In]],"")</f>
        <v/>
      </c>
      <c r="N390" s="29" t="str">
        <f>IFERROR(IF(Table57[[#This Row],[Out]]&gt;$C$3,(Table57[[#This Row],[Out]])-($C$3),""),"")</f>
        <v/>
      </c>
    </row>
    <row r="391" spans="1:14" hidden="1" x14ac:dyDescent="0.25">
      <c r="A391" s="23" t="str">
        <f>Table57[[#This Row],[No.]]&amp;Table57[[#This Row],[Date]]</f>
        <v>00</v>
      </c>
      <c r="B391" s="22">
        <f>'Unique Dates'!A388</f>
        <v>0</v>
      </c>
      <c r="C391" s="22" t="e" cm="1">
        <f t="array" ref="C391">_xlfn.XLOOKUP(Table57[[#This Row],[No.]],Table2[[#All],[CODE]],Table2[[#All],[NAME]],,0,1)</f>
        <v>#N/A</v>
      </c>
      <c r="D391" s="6">
        <f>'Unique Dates'!B388</f>
        <v>0</v>
      </c>
      <c r="E391" t="str">
        <f>TEXT(Table57[[#This Row],[Date]],"dddd")</f>
        <v>Saturday</v>
      </c>
      <c r="F391" s="25" t="str" cm="1">
        <f t="array" ref="F391">IFERROR(_xlfn.XLOOKUP(Table57[[#This Row],[Code]],Table1[[#All],[Code]],Table1[[#All],[Time]],,0,1),"")</f>
        <v/>
      </c>
      <c r="G391" s="25" t="str" cm="1">
        <f t="array" ref="G391">IFERROR(_xlfn.XLOOKUP(Table57[[#This Row],[Code]],Table1[[#All],[Code]],Table1[[#All],[Time]],,0,-1),"")</f>
        <v/>
      </c>
      <c r="H391" s="23" t="str">
        <f>IFERROR(IF(Table57[[#This Row],[Out]]&gt;=Table57[[#This Row],[In]],Table57[[#This Row],[Out]]-Table57[[#This Row],[In]],(0.5+Table57[[#This Row],[Out]])-Table57[[#This Row],[In]]),"")</f>
        <v/>
      </c>
      <c r="I391" s="31" t="str">
        <f>IFERROR(IF(Table57[[#This Row],[In]]&gt;$C$2,Table57[[#This Row],[In]]-$C$2,""),"")</f>
        <v/>
      </c>
      <c r="J391" s="31" t="str">
        <f>IF(Table57[[#This Row],[Work_Hours]]=0,"",(IF(Table57[[#This Row],[Out]]&lt;$C$3,$C$3-Table57[[#This Row],[Out]],"")))</f>
        <v/>
      </c>
      <c r="K391" s="32" t="str">
        <f>IFERROR(Table57[[#This Row],[In]]+$C$1,"")</f>
        <v/>
      </c>
      <c r="L391" s="29"/>
      <c r="M391" s="31" t="str">
        <f>IF($C$2&gt;Table57[[#This Row],[In]],$C$2-Table57[[#This Row],[In]],"")</f>
        <v/>
      </c>
      <c r="N391" s="29" t="str">
        <f>IFERROR(IF(Table57[[#This Row],[Out]]&gt;$C$3,(Table57[[#This Row],[Out]])-($C$3),""),"")</f>
        <v/>
      </c>
    </row>
    <row r="392" spans="1:14" hidden="1" x14ac:dyDescent="0.25">
      <c r="A392" s="23" t="str">
        <f>Table57[[#This Row],[No.]]&amp;Table57[[#This Row],[Date]]</f>
        <v>00</v>
      </c>
      <c r="B392" s="22">
        <f>'Unique Dates'!A389</f>
        <v>0</v>
      </c>
      <c r="C392" s="22" t="e" cm="1">
        <f t="array" ref="C392">_xlfn.XLOOKUP(Table57[[#This Row],[No.]],Table2[[#All],[CODE]],Table2[[#All],[NAME]],,0,1)</f>
        <v>#N/A</v>
      </c>
      <c r="D392" s="6">
        <f>'Unique Dates'!B389</f>
        <v>0</v>
      </c>
      <c r="E392" t="str">
        <f>TEXT(Table57[[#This Row],[Date]],"dddd")</f>
        <v>Saturday</v>
      </c>
      <c r="F392" s="25" t="str" cm="1">
        <f t="array" ref="F392">IFERROR(_xlfn.XLOOKUP(Table57[[#This Row],[Code]],Table1[[#All],[Code]],Table1[[#All],[Time]],,0,1),"")</f>
        <v/>
      </c>
      <c r="G392" s="25" t="str" cm="1">
        <f t="array" ref="G392">IFERROR(_xlfn.XLOOKUP(Table57[[#This Row],[Code]],Table1[[#All],[Code]],Table1[[#All],[Time]],,0,-1),"")</f>
        <v/>
      </c>
      <c r="H392" s="23" t="str">
        <f>IFERROR(IF(Table57[[#This Row],[Out]]&gt;=Table57[[#This Row],[In]],Table57[[#This Row],[Out]]-Table57[[#This Row],[In]],(0.5+Table57[[#This Row],[Out]])-Table57[[#This Row],[In]]),"")</f>
        <v/>
      </c>
      <c r="I392" s="31" t="str">
        <f>IFERROR(IF(Table57[[#This Row],[In]]&gt;$C$2,Table57[[#This Row],[In]]-$C$2,""),"")</f>
        <v/>
      </c>
      <c r="J392" s="31" t="str">
        <f>IF(Table57[[#This Row],[Work_Hours]]=0,"",(IF(Table57[[#This Row],[Out]]&lt;$C$3,$C$3-Table57[[#This Row],[Out]],"")))</f>
        <v/>
      </c>
      <c r="K392" s="32" t="str">
        <f>IFERROR(Table57[[#This Row],[In]]+$C$1,"")</f>
        <v/>
      </c>
      <c r="L392" s="29"/>
      <c r="M392" s="31" t="str">
        <f>IF($C$2&gt;Table57[[#This Row],[In]],$C$2-Table57[[#This Row],[In]],"")</f>
        <v/>
      </c>
      <c r="N392" s="29" t="str">
        <f>IFERROR(IF(Table57[[#This Row],[Out]]&gt;$C$3,(Table57[[#This Row],[Out]])-($C$3),""),"")</f>
        <v/>
      </c>
    </row>
    <row r="393" spans="1:14" hidden="1" x14ac:dyDescent="0.25">
      <c r="A393" s="23" t="str">
        <f>Table57[[#This Row],[No.]]&amp;Table57[[#This Row],[Date]]</f>
        <v>00</v>
      </c>
      <c r="B393" s="22">
        <f>'Unique Dates'!A390</f>
        <v>0</v>
      </c>
      <c r="C393" s="22" t="e" cm="1">
        <f t="array" ref="C393">_xlfn.XLOOKUP(Table57[[#This Row],[No.]],Table2[[#All],[CODE]],Table2[[#All],[NAME]],,0,1)</f>
        <v>#N/A</v>
      </c>
      <c r="D393" s="6">
        <f>'Unique Dates'!B390</f>
        <v>0</v>
      </c>
      <c r="E393" t="str">
        <f>TEXT(Table57[[#This Row],[Date]],"dddd")</f>
        <v>Saturday</v>
      </c>
      <c r="F393" s="25" t="str" cm="1">
        <f t="array" ref="F393">IFERROR(_xlfn.XLOOKUP(Table57[[#This Row],[Code]],Table1[[#All],[Code]],Table1[[#All],[Time]],,0,1),"")</f>
        <v/>
      </c>
      <c r="G393" s="25" t="str" cm="1">
        <f t="array" ref="G393">IFERROR(_xlfn.XLOOKUP(Table57[[#This Row],[Code]],Table1[[#All],[Code]],Table1[[#All],[Time]],,0,-1),"")</f>
        <v/>
      </c>
      <c r="H393" s="23" t="str">
        <f>IFERROR(IF(Table57[[#This Row],[Out]]&gt;=Table57[[#This Row],[In]],Table57[[#This Row],[Out]]-Table57[[#This Row],[In]],(0.5+Table57[[#This Row],[Out]])-Table57[[#This Row],[In]]),"")</f>
        <v/>
      </c>
      <c r="I393" s="31" t="str">
        <f>IFERROR(IF(Table57[[#This Row],[In]]&gt;$C$2,Table57[[#This Row],[In]]-$C$2,""),"")</f>
        <v/>
      </c>
      <c r="J393" s="31" t="str">
        <f>IF(Table57[[#This Row],[Work_Hours]]=0,"",(IF(Table57[[#This Row],[Out]]&lt;$C$3,$C$3-Table57[[#This Row],[Out]],"")))</f>
        <v/>
      </c>
      <c r="K393" s="32" t="str">
        <f>IFERROR(Table57[[#This Row],[In]]+$C$1,"")</f>
        <v/>
      </c>
      <c r="L393" s="29"/>
      <c r="M393" s="31" t="str">
        <f>IF($C$2&gt;Table57[[#This Row],[In]],$C$2-Table57[[#This Row],[In]],"")</f>
        <v/>
      </c>
      <c r="N393" s="29" t="str">
        <f>IFERROR(IF(Table57[[#This Row],[Out]]&gt;$C$3,(Table57[[#This Row],[Out]])-($C$3),""),"")</f>
        <v/>
      </c>
    </row>
    <row r="394" spans="1:14" hidden="1" x14ac:dyDescent="0.25">
      <c r="A394" s="23" t="str">
        <f>Table57[[#This Row],[No.]]&amp;Table57[[#This Row],[Date]]</f>
        <v>00</v>
      </c>
      <c r="B394" s="22">
        <f>'Unique Dates'!A391</f>
        <v>0</v>
      </c>
      <c r="C394" s="22" t="e" cm="1">
        <f t="array" ref="C394">_xlfn.XLOOKUP(Table57[[#This Row],[No.]],Table2[[#All],[CODE]],Table2[[#All],[NAME]],,0,1)</f>
        <v>#N/A</v>
      </c>
      <c r="D394" s="6">
        <f>'Unique Dates'!B391</f>
        <v>0</v>
      </c>
      <c r="E394" t="str">
        <f>TEXT(Table57[[#This Row],[Date]],"dddd")</f>
        <v>Saturday</v>
      </c>
      <c r="F394" s="25" t="str" cm="1">
        <f t="array" ref="F394">IFERROR(_xlfn.XLOOKUP(Table57[[#This Row],[Code]],Table1[[#All],[Code]],Table1[[#All],[Time]],,0,1),"")</f>
        <v/>
      </c>
      <c r="G394" s="25" t="str" cm="1">
        <f t="array" ref="G394">IFERROR(_xlfn.XLOOKUP(Table57[[#This Row],[Code]],Table1[[#All],[Code]],Table1[[#All],[Time]],,0,-1),"")</f>
        <v/>
      </c>
      <c r="H394" s="23" t="str">
        <f>IFERROR(IF(Table57[[#This Row],[Out]]&gt;=Table57[[#This Row],[In]],Table57[[#This Row],[Out]]-Table57[[#This Row],[In]],(0.5+Table57[[#This Row],[Out]])-Table57[[#This Row],[In]]),"")</f>
        <v/>
      </c>
      <c r="I394" s="31" t="str">
        <f>IFERROR(IF(Table57[[#This Row],[In]]&gt;$C$2,Table57[[#This Row],[In]]-$C$2,""),"")</f>
        <v/>
      </c>
      <c r="J394" s="31" t="str">
        <f>IF(Table57[[#This Row],[Work_Hours]]=0,"",(IF(Table57[[#This Row],[Out]]&lt;$C$3,$C$3-Table57[[#This Row],[Out]],"")))</f>
        <v/>
      </c>
      <c r="K394" s="32" t="str">
        <f>IFERROR(Table57[[#This Row],[In]]+$C$1,"")</f>
        <v/>
      </c>
      <c r="L394" s="29"/>
      <c r="M394" s="31" t="str">
        <f>IF($C$2&gt;Table57[[#This Row],[In]],$C$2-Table57[[#This Row],[In]],"")</f>
        <v/>
      </c>
      <c r="N394" s="29" t="str">
        <f>IFERROR(IF(Table57[[#This Row],[Out]]&gt;$C$3,(Table57[[#This Row],[Out]])-($C$3),""),"")</f>
        <v/>
      </c>
    </row>
    <row r="395" spans="1:14" hidden="1" x14ac:dyDescent="0.25">
      <c r="A395" s="23" t="str">
        <f>Table57[[#This Row],[No.]]&amp;Table57[[#This Row],[Date]]</f>
        <v>00</v>
      </c>
      <c r="B395" s="22">
        <f>'Unique Dates'!A392</f>
        <v>0</v>
      </c>
      <c r="C395" s="22" t="e" cm="1">
        <f t="array" ref="C395">_xlfn.XLOOKUP(Table57[[#This Row],[No.]],Table2[[#All],[CODE]],Table2[[#All],[NAME]],,0,1)</f>
        <v>#N/A</v>
      </c>
      <c r="D395" s="6">
        <f>'Unique Dates'!B392</f>
        <v>0</v>
      </c>
      <c r="E395" t="str">
        <f>TEXT(Table57[[#This Row],[Date]],"dddd")</f>
        <v>Saturday</v>
      </c>
      <c r="F395" s="25" t="str" cm="1">
        <f t="array" ref="F395">IFERROR(_xlfn.XLOOKUP(Table57[[#This Row],[Code]],Table1[[#All],[Code]],Table1[[#All],[Time]],,0,1),"")</f>
        <v/>
      </c>
      <c r="G395" s="25" t="str" cm="1">
        <f t="array" ref="G395">IFERROR(_xlfn.XLOOKUP(Table57[[#This Row],[Code]],Table1[[#All],[Code]],Table1[[#All],[Time]],,0,-1),"")</f>
        <v/>
      </c>
      <c r="H395" s="23" t="str">
        <f>IFERROR(IF(Table57[[#This Row],[Out]]&gt;=Table57[[#This Row],[In]],Table57[[#This Row],[Out]]-Table57[[#This Row],[In]],(0.5+Table57[[#This Row],[Out]])-Table57[[#This Row],[In]]),"")</f>
        <v/>
      </c>
      <c r="I395" s="31" t="str">
        <f>IFERROR(IF(Table57[[#This Row],[In]]&gt;$C$2,Table57[[#This Row],[In]]-$C$2,""),"")</f>
        <v/>
      </c>
      <c r="J395" s="31" t="str">
        <f>IF(Table57[[#This Row],[Work_Hours]]=0,"",(IF(Table57[[#This Row],[Out]]&lt;$C$3,$C$3-Table57[[#This Row],[Out]],"")))</f>
        <v/>
      </c>
      <c r="K395" s="32" t="str">
        <f>IFERROR(Table57[[#This Row],[In]]+$C$1,"")</f>
        <v/>
      </c>
      <c r="L395" s="29"/>
      <c r="M395" s="31" t="str">
        <f>IF($C$2&gt;Table57[[#This Row],[In]],$C$2-Table57[[#This Row],[In]],"")</f>
        <v/>
      </c>
      <c r="N395" s="29" t="str">
        <f>IFERROR(IF(Table57[[#This Row],[Out]]&gt;$C$3,(Table57[[#This Row],[Out]])-($C$3),""),"")</f>
        <v/>
      </c>
    </row>
    <row r="396" spans="1:14" hidden="1" x14ac:dyDescent="0.25">
      <c r="A396" s="23" t="str">
        <f>Table57[[#This Row],[No.]]&amp;Table57[[#This Row],[Date]]</f>
        <v>00</v>
      </c>
      <c r="B396" s="22">
        <f>'Unique Dates'!A393</f>
        <v>0</v>
      </c>
      <c r="C396" s="22" t="e" cm="1">
        <f t="array" ref="C396">_xlfn.XLOOKUP(Table57[[#This Row],[No.]],Table2[[#All],[CODE]],Table2[[#All],[NAME]],,0,1)</f>
        <v>#N/A</v>
      </c>
      <c r="D396" s="6">
        <f>'Unique Dates'!B393</f>
        <v>0</v>
      </c>
      <c r="E396" t="str">
        <f>TEXT(Table57[[#This Row],[Date]],"dddd")</f>
        <v>Saturday</v>
      </c>
      <c r="F396" s="25" t="str" cm="1">
        <f t="array" ref="F396">IFERROR(_xlfn.XLOOKUP(Table57[[#This Row],[Code]],Table1[[#All],[Code]],Table1[[#All],[Time]],,0,1),"")</f>
        <v/>
      </c>
      <c r="G396" s="25" t="str" cm="1">
        <f t="array" ref="G396">IFERROR(_xlfn.XLOOKUP(Table57[[#This Row],[Code]],Table1[[#All],[Code]],Table1[[#All],[Time]],,0,-1),"")</f>
        <v/>
      </c>
      <c r="H396" s="23" t="str">
        <f>IFERROR(IF(Table57[[#This Row],[Out]]&gt;=Table57[[#This Row],[In]],Table57[[#This Row],[Out]]-Table57[[#This Row],[In]],(0.5+Table57[[#This Row],[Out]])-Table57[[#This Row],[In]]),"")</f>
        <v/>
      </c>
      <c r="I396" s="31" t="str">
        <f>IFERROR(IF(Table57[[#This Row],[In]]&gt;$C$2,Table57[[#This Row],[In]]-$C$2,""),"")</f>
        <v/>
      </c>
      <c r="J396" s="31" t="str">
        <f>IF(Table57[[#This Row],[Work_Hours]]=0,"",(IF(Table57[[#This Row],[Out]]&lt;$C$3,$C$3-Table57[[#This Row],[Out]],"")))</f>
        <v/>
      </c>
      <c r="K396" s="32" t="str">
        <f>IFERROR(Table57[[#This Row],[In]]+$C$1,"")</f>
        <v/>
      </c>
      <c r="L396" s="29"/>
      <c r="M396" s="31" t="str">
        <f>IF($C$2&gt;Table57[[#This Row],[In]],$C$2-Table57[[#This Row],[In]],"")</f>
        <v/>
      </c>
      <c r="N396" s="29" t="str">
        <f>IFERROR(IF(Table57[[#This Row],[Out]]&gt;$C$3,(Table57[[#This Row],[Out]])-($C$3),""),"")</f>
        <v/>
      </c>
    </row>
    <row r="397" spans="1:14" hidden="1" x14ac:dyDescent="0.25">
      <c r="A397" s="23" t="str">
        <f>Table57[[#This Row],[No.]]&amp;Table57[[#This Row],[Date]]</f>
        <v>00</v>
      </c>
      <c r="B397" s="22">
        <f>'Unique Dates'!A394</f>
        <v>0</v>
      </c>
      <c r="C397" s="22" t="e" cm="1">
        <f t="array" ref="C397">_xlfn.XLOOKUP(Table57[[#This Row],[No.]],Table2[[#All],[CODE]],Table2[[#All],[NAME]],,0,1)</f>
        <v>#N/A</v>
      </c>
      <c r="D397" s="6">
        <f>'Unique Dates'!B394</f>
        <v>0</v>
      </c>
      <c r="E397" t="str">
        <f>TEXT(Table57[[#This Row],[Date]],"dddd")</f>
        <v>Saturday</v>
      </c>
      <c r="F397" s="25" t="str" cm="1">
        <f t="array" ref="F397">IFERROR(_xlfn.XLOOKUP(Table57[[#This Row],[Code]],Table1[[#All],[Code]],Table1[[#All],[Time]],,0,1),"")</f>
        <v/>
      </c>
      <c r="G397" s="25" t="str" cm="1">
        <f t="array" ref="G397">IFERROR(_xlfn.XLOOKUP(Table57[[#This Row],[Code]],Table1[[#All],[Code]],Table1[[#All],[Time]],,0,-1),"")</f>
        <v/>
      </c>
      <c r="H397" s="23" t="str">
        <f>IFERROR(IF(Table57[[#This Row],[Out]]&gt;=Table57[[#This Row],[In]],Table57[[#This Row],[Out]]-Table57[[#This Row],[In]],(0.5+Table57[[#This Row],[Out]])-Table57[[#This Row],[In]]),"")</f>
        <v/>
      </c>
      <c r="I397" s="31" t="str">
        <f>IFERROR(IF(Table57[[#This Row],[In]]&gt;$C$2,Table57[[#This Row],[In]]-$C$2,""),"")</f>
        <v/>
      </c>
      <c r="J397" s="31" t="str">
        <f>IF(Table57[[#This Row],[Work_Hours]]=0,"",(IF(Table57[[#This Row],[Out]]&lt;$C$3,$C$3-Table57[[#This Row],[Out]],"")))</f>
        <v/>
      </c>
      <c r="K397" s="32" t="str">
        <f>IFERROR(Table57[[#This Row],[In]]+$C$1,"")</f>
        <v/>
      </c>
      <c r="L397" s="29"/>
      <c r="M397" s="31" t="str">
        <f>IF($C$2&gt;Table57[[#This Row],[In]],$C$2-Table57[[#This Row],[In]],"")</f>
        <v/>
      </c>
      <c r="N397" s="29" t="str">
        <f>IFERROR(IF(Table57[[#This Row],[Out]]&gt;$C$3,(Table57[[#This Row],[Out]])-($C$3),""),"")</f>
        <v/>
      </c>
    </row>
    <row r="398" spans="1:14" hidden="1" x14ac:dyDescent="0.25">
      <c r="A398" s="23" t="str">
        <f>Table57[[#This Row],[No.]]&amp;Table57[[#This Row],[Date]]</f>
        <v>00</v>
      </c>
      <c r="B398" s="22">
        <f>'Unique Dates'!A395</f>
        <v>0</v>
      </c>
      <c r="C398" s="22" t="e" cm="1">
        <f t="array" ref="C398">_xlfn.XLOOKUP(Table57[[#This Row],[No.]],Table2[[#All],[CODE]],Table2[[#All],[NAME]],,0,1)</f>
        <v>#N/A</v>
      </c>
      <c r="D398" s="6">
        <f>'Unique Dates'!B395</f>
        <v>0</v>
      </c>
      <c r="E398" t="str">
        <f>TEXT(Table57[[#This Row],[Date]],"dddd")</f>
        <v>Saturday</v>
      </c>
      <c r="F398" s="25" t="str" cm="1">
        <f t="array" ref="F398">IFERROR(_xlfn.XLOOKUP(Table57[[#This Row],[Code]],Table1[[#All],[Code]],Table1[[#All],[Time]],,0,1),"")</f>
        <v/>
      </c>
      <c r="G398" s="25" t="str" cm="1">
        <f t="array" ref="G398">IFERROR(_xlfn.XLOOKUP(Table57[[#This Row],[Code]],Table1[[#All],[Code]],Table1[[#All],[Time]],,0,-1),"")</f>
        <v/>
      </c>
      <c r="H398" s="23" t="str">
        <f>IFERROR(IF(Table57[[#This Row],[Out]]&gt;=Table57[[#This Row],[In]],Table57[[#This Row],[Out]]-Table57[[#This Row],[In]],(0.5+Table57[[#This Row],[Out]])-Table57[[#This Row],[In]]),"")</f>
        <v/>
      </c>
      <c r="I398" s="31" t="str">
        <f>IFERROR(IF(Table57[[#This Row],[In]]&gt;$C$2,Table57[[#This Row],[In]]-$C$2,""),"")</f>
        <v/>
      </c>
      <c r="J398" s="31" t="str">
        <f>IF(Table57[[#This Row],[Work_Hours]]=0,"",(IF(Table57[[#This Row],[Out]]&lt;$C$3,$C$3-Table57[[#This Row],[Out]],"")))</f>
        <v/>
      </c>
      <c r="K398" s="32" t="str">
        <f>IFERROR(Table57[[#This Row],[In]]+$C$1,"")</f>
        <v/>
      </c>
      <c r="L398" s="29"/>
      <c r="M398" s="31" t="str">
        <f>IF($C$2&gt;Table57[[#This Row],[In]],$C$2-Table57[[#This Row],[In]],"")</f>
        <v/>
      </c>
      <c r="N398" s="29" t="str">
        <f>IFERROR(IF(Table57[[#This Row],[Out]]&gt;$C$3,(Table57[[#This Row],[Out]])-($C$3),""),"")</f>
        <v/>
      </c>
    </row>
    <row r="399" spans="1:14" hidden="1" x14ac:dyDescent="0.25">
      <c r="A399" s="23" t="str">
        <f>Table57[[#This Row],[No.]]&amp;Table57[[#This Row],[Date]]</f>
        <v>00</v>
      </c>
      <c r="B399" s="22">
        <f>'Unique Dates'!A396</f>
        <v>0</v>
      </c>
      <c r="C399" s="22" t="e" cm="1">
        <f t="array" ref="C399">_xlfn.XLOOKUP(Table57[[#This Row],[No.]],Table2[[#All],[CODE]],Table2[[#All],[NAME]],,0,1)</f>
        <v>#N/A</v>
      </c>
      <c r="D399" s="6">
        <f>'Unique Dates'!B396</f>
        <v>0</v>
      </c>
      <c r="E399" t="str">
        <f>TEXT(Table57[[#This Row],[Date]],"dddd")</f>
        <v>Saturday</v>
      </c>
      <c r="F399" s="25" t="str" cm="1">
        <f t="array" ref="F399">IFERROR(_xlfn.XLOOKUP(Table57[[#This Row],[Code]],Table1[[#All],[Code]],Table1[[#All],[Time]],,0,1),"")</f>
        <v/>
      </c>
      <c r="G399" s="25" t="str" cm="1">
        <f t="array" ref="G399">IFERROR(_xlfn.XLOOKUP(Table57[[#This Row],[Code]],Table1[[#All],[Code]],Table1[[#All],[Time]],,0,-1),"")</f>
        <v/>
      </c>
      <c r="H399" s="23" t="str">
        <f>IFERROR(IF(Table57[[#This Row],[Out]]&gt;=Table57[[#This Row],[In]],Table57[[#This Row],[Out]]-Table57[[#This Row],[In]],(0.5+Table57[[#This Row],[Out]])-Table57[[#This Row],[In]]),"")</f>
        <v/>
      </c>
      <c r="I399" s="31" t="str">
        <f>IFERROR(IF(Table57[[#This Row],[In]]&gt;$C$2,Table57[[#This Row],[In]]-$C$2,""),"")</f>
        <v/>
      </c>
      <c r="J399" s="31" t="str">
        <f>IF(Table57[[#This Row],[Work_Hours]]=0,"",(IF(Table57[[#This Row],[Out]]&lt;$C$3,$C$3-Table57[[#This Row],[Out]],"")))</f>
        <v/>
      </c>
      <c r="K399" s="32" t="str">
        <f>IFERROR(Table57[[#This Row],[In]]+$C$1,"")</f>
        <v/>
      </c>
      <c r="L399" s="29"/>
      <c r="M399" s="31" t="str">
        <f>IF($C$2&gt;Table57[[#This Row],[In]],$C$2-Table57[[#This Row],[In]],"")</f>
        <v/>
      </c>
      <c r="N399" s="29" t="str">
        <f>IFERROR(IF(Table57[[#This Row],[Out]]&gt;$C$3,(Table57[[#This Row],[Out]])-($C$3),""),"")</f>
        <v/>
      </c>
    </row>
    <row r="400" spans="1:14" hidden="1" x14ac:dyDescent="0.25">
      <c r="A400" s="23" t="str">
        <f>Table57[[#This Row],[No.]]&amp;Table57[[#This Row],[Date]]</f>
        <v>00</v>
      </c>
      <c r="B400" s="22">
        <f>'Unique Dates'!A397</f>
        <v>0</v>
      </c>
      <c r="C400" s="22" t="e" cm="1">
        <f t="array" ref="C400">_xlfn.XLOOKUP(Table57[[#This Row],[No.]],Table2[[#All],[CODE]],Table2[[#All],[NAME]],,0,1)</f>
        <v>#N/A</v>
      </c>
      <c r="D400" s="6">
        <f>'Unique Dates'!B397</f>
        <v>0</v>
      </c>
      <c r="E400" t="str">
        <f>TEXT(Table57[[#This Row],[Date]],"dddd")</f>
        <v>Saturday</v>
      </c>
      <c r="F400" s="25" t="str" cm="1">
        <f t="array" ref="F400">IFERROR(_xlfn.XLOOKUP(Table57[[#This Row],[Code]],Table1[[#All],[Code]],Table1[[#All],[Time]],,0,1),"")</f>
        <v/>
      </c>
      <c r="G400" s="25" t="str" cm="1">
        <f t="array" ref="G400">IFERROR(_xlfn.XLOOKUP(Table57[[#This Row],[Code]],Table1[[#All],[Code]],Table1[[#All],[Time]],,0,-1),"")</f>
        <v/>
      </c>
      <c r="H400" s="23" t="str">
        <f>IFERROR(IF(Table57[[#This Row],[Out]]&gt;=Table57[[#This Row],[In]],Table57[[#This Row],[Out]]-Table57[[#This Row],[In]],(0.5+Table57[[#This Row],[Out]])-Table57[[#This Row],[In]]),"")</f>
        <v/>
      </c>
      <c r="I400" s="31" t="str">
        <f>IFERROR(IF(Table57[[#This Row],[In]]&gt;$C$2,Table57[[#This Row],[In]]-$C$2,""),"")</f>
        <v/>
      </c>
      <c r="J400" s="31" t="str">
        <f>IF(Table57[[#This Row],[Work_Hours]]=0,"",(IF(Table57[[#This Row],[Out]]&lt;$C$3,$C$3-Table57[[#This Row],[Out]],"")))</f>
        <v/>
      </c>
      <c r="K400" s="32" t="str">
        <f>IFERROR(Table57[[#This Row],[In]]+$C$1,"")</f>
        <v/>
      </c>
      <c r="L400" s="29"/>
      <c r="M400" s="31" t="str">
        <f>IF($C$2&gt;Table57[[#This Row],[In]],$C$2-Table57[[#This Row],[In]],"")</f>
        <v/>
      </c>
      <c r="N400" s="29" t="str">
        <f>IFERROR(IF(Table57[[#This Row],[Out]]&gt;$C$3,(Table57[[#This Row],[Out]])-($C$3),""),"")</f>
        <v/>
      </c>
    </row>
    <row r="401" spans="1:14" hidden="1" x14ac:dyDescent="0.25">
      <c r="A401" s="23" t="str">
        <f>Table57[[#This Row],[No.]]&amp;Table57[[#This Row],[Date]]</f>
        <v>00</v>
      </c>
      <c r="B401" s="22">
        <f>'Unique Dates'!A398</f>
        <v>0</v>
      </c>
      <c r="C401" s="22" t="e" cm="1">
        <f t="array" ref="C401">_xlfn.XLOOKUP(Table57[[#This Row],[No.]],Table2[[#All],[CODE]],Table2[[#All],[NAME]],,0,1)</f>
        <v>#N/A</v>
      </c>
      <c r="D401" s="6">
        <f>'Unique Dates'!B398</f>
        <v>0</v>
      </c>
      <c r="E401" t="str">
        <f>TEXT(Table57[[#This Row],[Date]],"dddd")</f>
        <v>Saturday</v>
      </c>
      <c r="F401" s="25" t="str" cm="1">
        <f t="array" ref="F401">IFERROR(_xlfn.XLOOKUP(Table57[[#This Row],[Code]],Table1[[#All],[Code]],Table1[[#All],[Time]],,0,1),"")</f>
        <v/>
      </c>
      <c r="G401" s="25" t="str" cm="1">
        <f t="array" ref="G401">IFERROR(_xlfn.XLOOKUP(Table57[[#This Row],[Code]],Table1[[#All],[Code]],Table1[[#All],[Time]],,0,-1),"")</f>
        <v/>
      </c>
      <c r="H401" s="23" t="str">
        <f>IFERROR(IF(Table57[[#This Row],[Out]]&gt;=Table57[[#This Row],[In]],Table57[[#This Row],[Out]]-Table57[[#This Row],[In]],(0.5+Table57[[#This Row],[Out]])-Table57[[#This Row],[In]]),"")</f>
        <v/>
      </c>
      <c r="I401" s="31" t="str">
        <f>IFERROR(IF(Table57[[#This Row],[In]]&gt;$C$2,Table57[[#This Row],[In]]-$C$2,""),"")</f>
        <v/>
      </c>
      <c r="J401" s="31" t="str">
        <f>IF(Table57[[#This Row],[Work_Hours]]=0,"",(IF(Table57[[#This Row],[Out]]&lt;$C$3,$C$3-Table57[[#This Row],[Out]],"")))</f>
        <v/>
      </c>
      <c r="K401" s="32" t="str">
        <f>IFERROR(Table57[[#This Row],[In]]+$C$1,"")</f>
        <v/>
      </c>
      <c r="L401" s="29"/>
      <c r="M401" s="31" t="str">
        <f>IF($C$2&gt;Table57[[#This Row],[In]],$C$2-Table57[[#This Row],[In]],"")</f>
        <v/>
      </c>
      <c r="N401" s="29" t="str">
        <f>IFERROR(IF(Table57[[#This Row],[Out]]&gt;$C$3,(Table57[[#This Row],[Out]])-($C$3),""),"")</f>
        <v/>
      </c>
    </row>
    <row r="402" spans="1:14" hidden="1" x14ac:dyDescent="0.25">
      <c r="A402" s="23" t="str">
        <f>Table57[[#This Row],[No.]]&amp;Table57[[#This Row],[Date]]</f>
        <v>00</v>
      </c>
      <c r="B402" s="22">
        <f>'Unique Dates'!A399</f>
        <v>0</v>
      </c>
      <c r="C402" s="22" t="e" cm="1">
        <f t="array" ref="C402">_xlfn.XLOOKUP(Table57[[#This Row],[No.]],Table2[[#All],[CODE]],Table2[[#All],[NAME]],,0,1)</f>
        <v>#N/A</v>
      </c>
      <c r="D402" s="6">
        <f>'Unique Dates'!B399</f>
        <v>0</v>
      </c>
      <c r="E402" t="str">
        <f>TEXT(Table57[[#This Row],[Date]],"dddd")</f>
        <v>Saturday</v>
      </c>
      <c r="F402" s="25" t="str" cm="1">
        <f t="array" ref="F402">IFERROR(_xlfn.XLOOKUP(Table57[[#This Row],[Code]],Table1[[#All],[Code]],Table1[[#All],[Time]],,0,1),"")</f>
        <v/>
      </c>
      <c r="G402" s="25" t="str" cm="1">
        <f t="array" ref="G402">IFERROR(_xlfn.XLOOKUP(Table57[[#This Row],[Code]],Table1[[#All],[Code]],Table1[[#All],[Time]],,0,-1),"")</f>
        <v/>
      </c>
      <c r="H402" s="23" t="str">
        <f>IFERROR(IF(Table57[[#This Row],[Out]]&gt;=Table57[[#This Row],[In]],Table57[[#This Row],[Out]]-Table57[[#This Row],[In]],(0.5+Table57[[#This Row],[Out]])-Table57[[#This Row],[In]]),"")</f>
        <v/>
      </c>
      <c r="I402" s="31" t="str">
        <f>IFERROR(IF(Table57[[#This Row],[In]]&gt;$C$2,Table57[[#This Row],[In]]-$C$2,""),"")</f>
        <v/>
      </c>
      <c r="J402" s="31" t="str">
        <f>IF(Table57[[#This Row],[Work_Hours]]=0,"",(IF(Table57[[#This Row],[Out]]&lt;$C$3,$C$3-Table57[[#This Row],[Out]],"")))</f>
        <v/>
      </c>
      <c r="K402" s="32" t="str">
        <f>IFERROR(Table57[[#This Row],[In]]+$C$1,"")</f>
        <v/>
      </c>
      <c r="L402" s="29"/>
      <c r="M402" s="31" t="str">
        <f>IF($C$2&gt;Table57[[#This Row],[In]],$C$2-Table57[[#This Row],[In]],"")</f>
        <v/>
      </c>
      <c r="N402" s="29" t="str">
        <f>IFERROR(IF(Table57[[#This Row],[Out]]&gt;$C$3,(Table57[[#This Row],[Out]])-($C$3),""),"")</f>
        <v/>
      </c>
    </row>
    <row r="403" spans="1:14" hidden="1" x14ac:dyDescent="0.25">
      <c r="A403" s="23" t="str">
        <f>Table57[[#This Row],[No.]]&amp;Table57[[#This Row],[Date]]</f>
        <v>00</v>
      </c>
      <c r="B403" s="22">
        <f>'Unique Dates'!A400</f>
        <v>0</v>
      </c>
      <c r="C403" s="22" t="e" cm="1">
        <f t="array" ref="C403">_xlfn.XLOOKUP(Table57[[#This Row],[No.]],Table2[[#All],[CODE]],Table2[[#All],[NAME]],,0,1)</f>
        <v>#N/A</v>
      </c>
      <c r="D403" s="6">
        <f>'Unique Dates'!B400</f>
        <v>0</v>
      </c>
      <c r="E403" t="str">
        <f>TEXT(Table57[[#This Row],[Date]],"dddd")</f>
        <v>Saturday</v>
      </c>
      <c r="F403" s="25" t="str" cm="1">
        <f t="array" ref="F403">IFERROR(_xlfn.XLOOKUP(Table57[[#This Row],[Code]],Table1[[#All],[Code]],Table1[[#All],[Time]],,0,1),"")</f>
        <v/>
      </c>
      <c r="G403" s="25" t="str" cm="1">
        <f t="array" ref="G403">IFERROR(_xlfn.XLOOKUP(Table57[[#This Row],[Code]],Table1[[#All],[Code]],Table1[[#All],[Time]],,0,-1),"")</f>
        <v/>
      </c>
      <c r="H403" s="23" t="str">
        <f>IFERROR(IF(Table57[[#This Row],[Out]]&gt;=Table57[[#This Row],[In]],Table57[[#This Row],[Out]]-Table57[[#This Row],[In]],(0.5+Table57[[#This Row],[Out]])-Table57[[#This Row],[In]]),"")</f>
        <v/>
      </c>
      <c r="I403" s="31" t="str">
        <f>IFERROR(IF(Table57[[#This Row],[In]]&gt;$C$2,Table57[[#This Row],[In]]-$C$2,""),"")</f>
        <v/>
      </c>
      <c r="J403" s="31" t="str">
        <f>IF(Table57[[#This Row],[Work_Hours]]=0,"",(IF(Table57[[#This Row],[Out]]&lt;$C$3,$C$3-Table57[[#This Row],[Out]],"")))</f>
        <v/>
      </c>
      <c r="K403" s="32" t="str">
        <f>IFERROR(Table57[[#This Row],[In]]+$C$1,"")</f>
        <v/>
      </c>
      <c r="L403" s="29"/>
      <c r="M403" s="31" t="str">
        <f>IF($C$2&gt;Table57[[#This Row],[In]],$C$2-Table57[[#This Row],[In]],"")</f>
        <v/>
      </c>
      <c r="N403" s="29" t="str">
        <f>IFERROR(IF(Table57[[#This Row],[Out]]&gt;$C$3,(Table57[[#This Row],[Out]])-($C$3),""),"")</f>
        <v/>
      </c>
    </row>
    <row r="404" spans="1:14" hidden="1" x14ac:dyDescent="0.25">
      <c r="A404" s="23" t="str">
        <f>Table57[[#This Row],[No.]]&amp;Table57[[#This Row],[Date]]</f>
        <v>00</v>
      </c>
      <c r="B404" s="22">
        <f>'Unique Dates'!A401</f>
        <v>0</v>
      </c>
      <c r="C404" s="22" t="e" cm="1">
        <f t="array" ref="C404">_xlfn.XLOOKUP(Table57[[#This Row],[No.]],Table2[[#All],[CODE]],Table2[[#All],[NAME]],,0,1)</f>
        <v>#N/A</v>
      </c>
      <c r="D404" s="6">
        <f>'Unique Dates'!B401</f>
        <v>0</v>
      </c>
      <c r="E404" t="str">
        <f>TEXT(Table57[[#This Row],[Date]],"dddd")</f>
        <v>Saturday</v>
      </c>
      <c r="F404" s="25" t="str" cm="1">
        <f t="array" ref="F404">IFERROR(_xlfn.XLOOKUP(Table57[[#This Row],[Code]],Table1[[#All],[Code]],Table1[[#All],[Time]],,0,1),"")</f>
        <v/>
      </c>
      <c r="G404" s="25" t="str" cm="1">
        <f t="array" ref="G404">IFERROR(_xlfn.XLOOKUP(Table57[[#This Row],[Code]],Table1[[#All],[Code]],Table1[[#All],[Time]],,0,-1),"")</f>
        <v/>
      </c>
      <c r="H404" s="23" t="str">
        <f>IFERROR(IF(Table57[[#This Row],[Out]]&gt;=Table57[[#This Row],[In]],Table57[[#This Row],[Out]]-Table57[[#This Row],[In]],(0.5+Table57[[#This Row],[Out]])-Table57[[#This Row],[In]]),"")</f>
        <v/>
      </c>
      <c r="I404" s="31" t="str">
        <f>IFERROR(IF(Table57[[#This Row],[In]]&gt;$C$2,Table57[[#This Row],[In]]-$C$2,""),"")</f>
        <v/>
      </c>
      <c r="J404" s="31" t="str">
        <f>IF(Table57[[#This Row],[Work_Hours]]=0,"",(IF(Table57[[#This Row],[Out]]&lt;$C$3,$C$3-Table57[[#This Row],[Out]],"")))</f>
        <v/>
      </c>
      <c r="K404" s="32" t="str">
        <f>IFERROR(Table57[[#This Row],[In]]+$C$1,"")</f>
        <v/>
      </c>
      <c r="L404" s="29"/>
      <c r="M404" s="31" t="str">
        <f>IF($C$2&gt;Table57[[#This Row],[In]],$C$2-Table57[[#This Row],[In]],"")</f>
        <v/>
      </c>
      <c r="N404" s="29" t="str">
        <f>IFERROR(IF(Table57[[#This Row],[Out]]&gt;$C$3,(Table57[[#This Row],[Out]])-($C$3),""),"")</f>
        <v/>
      </c>
    </row>
    <row r="405" spans="1:14" hidden="1" x14ac:dyDescent="0.25">
      <c r="A405" s="23" t="str">
        <f>Table57[[#This Row],[No.]]&amp;Table57[[#This Row],[Date]]</f>
        <v>00</v>
      </c>
      <c r="B405" s="22">
        <f>'Unique Dates'!A402</f>
        <v>0</v>
      </c>
      <c r="C405" s="22" t="e" cm="1">
        <f t="array" ref="C405">_xlfn.XLOOKUP(Table57[[#This Row],[No.]],Table2[[#All],[CODE]],Table2[[#All],[NAME]],,0,1)</f>
        <v>#N/A</v>
      </c>
      <c r="D405" s="6">
        <f>'Unique Dates'!B402</f>
        <v>0</v>
      </c>
      <c r="E405" t="str">
        <f>TEXT(Table57[[#This Row],[Date]],"dddd")</f>
        <v>Saturday</v>
      </c>
      <c r="F405" s="25" t="str" cm="1">
        <f t="array" ref="F405">IFERROR(_xlfn.XLOOKUP(Table57[[#This Row],[Code]],Table1[[#All],[Code]],Table1[[#All],[Time]],,0,1),"")</f>
        <v/>
      </c>
      <c r="G405" s="25" t="str" cm="1">
        <f t="array" ref="G405">IFERROR(_xlfn.XLOOKUP(Table57[[#This Row],[Code]],Table1[[#All],[Code]],Table1[[#All],[Time]],,0,-1),"")</f>
        <v/>
      </c>
      <c r="H405" s="23" t="str">
        <f>IFERROR(IF(Table57[[#This Row],[Out]]&gt;=Table57[[#This Row],[In]],Table57[[#This Row],[Out]]-Table57[[#This Row],[In]],(0.5+Table57[[#This Row],[Out]])-Table57[[#This Row],[In]]),"")</f>
        <v/>
      </c>
      <c r="I405" s="31" t="str">
        <f>IFERROR(IF(Table57[[#This Row],[In]]&gt;$C$2,Table57[[#This Row],[In]]-$C$2,""),"")</f>
        <v/>
      </c>
      <c r="J405" s="31" t="str">
        <f>IF(Table57[[#This Row],[Work_Hours]]=0,"",(IF(Table57[[#This Row],[Out]]&lt;$C$3,$C$3-Table57[[#This Row],[Out]],"")))</f>
        <v/>
      </c>
      <c r="K405" s="32" t="str">
        <f>IFERROR(Table57[[#This Row],[In]]+$C$1,"")</f>
        <v/>
      </c>
      <c r="L405" s="29"/>
      <c r="M405" s="31" t="str">
        <f>IF($C$2&gt;Table57[[#This Row],[In]],$C$2-Table57[[#This Row],[In]],"")</f>
        <v/>
      </c>
      <c r="N405" s="29" t="str">
        <f>IFERROR(IF(Table57[[#This Row],[Out]]&gt;$C$3,(Table57[[#This Row],[Out]])-($C$3),""),"")</f>
        <v/>
      </c>
    </row>
    <row r="406" spans="1:14" hidden="1" x14ac:dyDescent="0.25">
      <c r="A406" s="23" t="str">
        <f>Table57[[#This Row],[No.]]&amp;Table57[[#This Row],[Date]]</f>
        <v>00</v>
      </c>
      <c r="B406" s="22">
        <f>'Unique Dates'!A403</f>
        <v>0</v>
      </c>
      <c r="C406" s="22" t="e" cm="1">
        <f t="array" ref="C406">_xlfn.XLOOKUP(Table57[[#This Row],[No.]],Table2[[#All],[CODE]],Table2[[#All],[NAME]],,0,1)</f>
        <v>#N/A</v>
      </c>
      <c r="D406" s="6">
        <f>'Unique Dates'!B403</f>
        <v>0</v>
      </c>
      <c r="E406" t="str">
        <f>TEXT(Table57[[#This Row],[Date]],"dddd")</f>
        <v>Saturday</v>
      </c>
      <c r="F406" s="25" t="str" cm="1">
        <f t="array" ref="F406">IFERROR(_xlfn.XLOOKUP(Table57[[#This Row],[Code]],Table1[[#All],[Code]],Table1[[#All],[Time]],,0,1),"")</f>
        <v/>
      </c>
      <c r="G406" s="25" t="str" cm="1">
        <f t="array" ref="G406">IFERROR(_xlfn.XLOOKUP(Table57[[#This Row],[Code]],Table1[[#All],[Code]],Table1[[#All],[Time]],,0,-1),"")</f>
        <v/>
      </c>
      <c r="H406" s="23" t="str">
        <f>IFERROR(IF(Table57[[#This Row],[Out]]&gt;=Table57[[#This Row],[In]],Table57[[#This Row],[Out]]-Table57[[#This Row],[In]],(0.5+Table57[[#This Row],[Out]])-Table57[[#This Row],[In]]),"")</f>
        <v/>
      </c>
      <c r="I406" s="31" t="str">
        <f>IFERROR(IF(Table57[[#This Row],[In]]&gt;$C$2,Table57[[#This Row],[In]]-$C$2,""),"")</f>
        <v/>
      </c>
      <c r="J406" s="31" t="str">
        <f>IF(Table57[[#This Row],[Work_Hours]]=0,"",(IF(Table57[[#This Row],[Out]]&lt;$C$3,$C$3-Table57[[#This Row],[Out]],"")))</f>
        <v/>
      </c>
      <c r="K406" s="32" t="str">
        <f>IFERROR(Table57[[#This Row],[In]]+$C$1,"")</f>
        <v/>
      </c>
      <c r="L406" s="29"/>
      <c r="M406" s="31" t="str">
        <f>IF($C$2&gt;Table57[[#This Row],[In]],$C$2-Table57[[#This Row],[In]],"")</f>
        <v/>
      </c>
      <c r="N406" s="29" t="str">
        <f>IFERROR(IF(Table57[[#This Row],[Out]]&gt;$C$3,(Table57[[#This Row],[Out]])-($C$3),""),"")</f>
        <v/>
      </c>
    </row>
    <row r="407" spans="1:14" hidden="1" x14ac:dyDescent="0.25">
      <c r="A407" s="23" t="str">
        <f>Table57[[#This Row],[No.]]&amp;Table57[[#This Row],[Date]]</f>
        <v>00</v>
      </c>
      <c r="B407" s="22">
        <f>'Unique Dates'!A404</f>
        <v>0</v>
      </c>
      <c r="C407" s="22" t="e" cm="1">
        <f t="array" ref="C407">_xlfn.XLOOKUP(Table57[[#This Row],[No.]],Table2[[#All],[CODE]],Table2[[#All],[NAME]],,0,1)</f>
        <v>#N/A</v>
      </c>
      <c r="D407" s="6">
        <f>'Unique Dates'!B404</f>
        <v>0</v>
      </c>
      <c r="E407" t="str">
        <f>TEXT(Table57[[#This Row],[Date]],"dddd")</f>
        <v>Saturday</v>
      </c>
      <c r="F407" s="25" t="str" cm="1">
        <f t="array" ref="F407">IFERROR(_xlfn.XLOOKUP(Table57[[#This Row],[Code]],Table1[[#All],[Code]],Table1[[#All],[Time]],,0,1),"")</f>
        <v/>
      </c>
      <c r="G407" s="25" t="str" cm="1">
        <f t="array" ref="G407">IFERROR(_xlfn.XLOOKUP(Table57[[#This Row],[Code]],Table1[[#All],[Code]],Table1[[#All],[Time]],,0,-1),"")</f>
        <v/>
      </c>
      <c r="H407" s="23" t="str">
        <f>IFERROR(IF(Table57[[#This Row],[Out]]&gt;=Table57[[#This Row],[In]],Table57[[#This Row],[Out]]-Table57[[#This Row],[In]],(0.5+Table57[[#This Row],[Out]])-Table57[[#This Row],[In]]),"")</f>
        <v/>
      </c>
      <c r="I407" s="31" t="str">
        <f>IFERROR(IF(Table57[[#This Row],[In]]&gt;$C$2,Table57[[#This Row],[In]]-$C$2,""),"")</f>
        <v/>
      </c>
      <c r="J407" s="31" t="str">
        <f>IF(Table57[[#This Row],[Work_Hours]]=0,"",(IF(Table57[[#This Row],[Out]]&lt;$C$3,$C$3-Table57[[#This Row],[Out]],"")))</f>
        <v/>
      </c>
      <c r="K407" s="32" t="str">
        <f>IFERROR(Table57[[#This Row],[In]]+$C$1,"")</f>
        <v/>
      </c>
      <c r="L407" s="29"/>
      <c r="M407" s="31" t="str">
        <f>IF($C$2&gt;Table57[[#This Row],[In]],$C$2-Table57[[#This Row],[In]],"")</f>
        <v/>
      </c>
      <c r="N407" s="29" t="str">
        <f>IFERROR(IF(Table57[[#This Row],[Out]]&gt;$C$3,(Table57[[#This Row],[Out]])-($C$3),""),"")</f>
        <v/>
      </c>
    </row>
    <row r="408" spans="1:14" hidden="1" x14ac:dyDescent="0.25">
      <c r="A408" s="23" t="str">
        <f>Table57[[#This Row],[No.]]&amp;Table57[[#This Row],[Date]]</f>
        <v>00</v>
      </c>
      <c r="B408" s="22">
        <f>'Unique Dates'!A405</f>
        <v>0</v>
      </c>
      <c r="C408" s="22" t="e" cm="1">
        <f t="array" ref="C408">_xlfn.XLOOKUP(Table57[[#This Row],[No.]],Table2[[#All],[CODE]],Table2[[#All],[NAME]],,0,1)</f>
        <v>#N/A</v>
      </c>
      <c r="D408" s="6">
        <f>'Unique Dates'!B405</f>
        <v>0</v>
      </c>
      <c r="E408" t="str">
        <f>TEXT(Table57[[#This Row],[Date]],"dddd")</f>
        <v>Saturday</v>
      </c>
      <c r="F408" s="25" t="str" cm="1">
        <f t="array" ref="F408">IFERROR(_xlfn.XLOOKUP(Table57[[#This Row],[Code]],Table1[[#All],[Code]],Table1[[#All],[Time]],,0,1),"")</f>
        <v/>
      </c>
      <c r="G408" s="25" t="str" cm="1">
        <f t="array" ref="G408">IFERROR(_xlfn.XLOOKUP(Table57[[#This Row],[Code]],Table1[[#All],[Code]],Table1[[#All],[Time]],,0,-1),"")</f>
        <v/>
      </c>
      <c r="H408" s="23" t="str">
        <f>IFERROR(IF(Table57[[#This Row],[Out]]&gt;=Table57[[#This Row],[In]],Table57[[#This Row],[Out]]-Table57[[#This Row],[In]],(0.5+Table57[[#This Row],[Out]])-Table57[[#This Row],[In]]),"")</f>
        <v/>
      </c>
      <c r="I408" s="31" t="str">
        <f>IFERROR(IF(Table57[[#This Row],[In]]&gt;$C$2,Table57[[#This Row],[In]]-$C$2,""),"")</f>
        <v/>
      </c>
      <c r="J408" s="31" t="str">
        <f>IF(Table57[[#This Row],[Work_Hours]]=0,"",(IF(Table57[[#This Row],[Out]]&lt;$C$3,$C$3-Table57[[#This Row],[Out]],"")))</f>
        <v/>
      </c>
      <c r="K408" s="32" t="str">
        <f>IFERROR(Table57[[#This Row],[In]]+$C$1,"")</f>
        <v/>
      </c>
      <c r="L408" s="29"/>
      <c r="M408" s="31" t="str">
        <f>IF($C$2&gt;Table57[[#This Row],[In]],$C$2-Table57[[#This Row],[In]],"")</f>
        <v/>
      </c>
      <c r="N408" s="29" t="str">
        <f>IFERROR(IF(Table57[[#This Row],[Out]]&gt;$C$3,(Table57[[#This Row],[Out]])-($C$3),""),"")</f>
        <v/>
      </c>
    </row>
    <row r="409" spans="1:14" hidden="1" x14ac:dyDescent="0.25">
      <c r="A409" s="23" t="str">
        <f>Table57[[#This Row],[No.]]&amp;Table57[[#This Row],[Date]]</f>
        <v>00</v>
      </c>
      <c r="B409" s="22">
        <f>'Unique Dates'!A406</f>
        <v>0</v>
      </c>
      <c r="C409" s="22" t="e" cm="1">
        <f t="array" ref="C409">_xlfn.XLOOKUP(Table57[[#This Row],[No.]],Table2[[#All],[CODE]],Table2[[#All],[NAME]],,0,1)</f>
        <v>#N/A</v>
      </c>
      <c r="D409" s="6">
        <f>'Unique Dates'!B406</f>
        <v>0</v>
      </c>
      <c r="E409" t="str">
        <f>TEXT(Table57[[#This Row],[Date]],"dddd")</f>
        <v>Saturday</v>
      </c>
      <c r="F409" s="25" t="str" cm="1">
        <f t="array" ref="F409">IFERROR(_xlfn.XLOOKUP(Table57[[#This Row],[Code]],Table1[[#All],[Code]],Table1[[#All],[Time]],,0,1),"")</f>
        <v/>
      </c>
      <c r="G409" s="25" t="str" cm="1">
        <f t="array" ref="G409">IFERROR(_xlfn.XLOOKUP(Table57[[#This Row],[Code]],Table1[[#All],[Code]],Table1[[#All],[Time]],,0,-1),"")</f>
        <v/>
      </c>
      <c r="H409" s="23" t="str">
        <f>IFERROR(IF(Table57[[#This Row],[Out]]&gt;=Table57[[#This Row],[In]],Table57[[#This Row],[Out]]-Table57[[#This Row],[In]],(0.5+Table57[[#This Row],[Out]])-Table57[[#This Row],[In]]),"")</f>
        <v/>
      </c>
      <c r="I409" s="31" t="str">
        <f>IFERROR(IF(Table57[[#This Row],[In]]&gt;$C$2,Table57[[#This Row],[In]]-$C$2,""),"")</f>
        <v/>
      </c>
      <c r="J409" s="31" t="str">
        <f>IF(Table57[[#This Row],[Work_Hours]]=0,"",(IF(Table57[[#This Row],[Out]]&lt;$C$3,$C$3-Table57[[#This Row],[Out]],"")))</f>
        <v/>
      </c>
      <c r="K409" s="32" t="str">
        <f>IFERROR(Table57[[#This Row],[In]]+$C$1,"")</f>
        <v/>
      </c>
      <c r="L409" s="29"/>
      <c r="M409" s="31" t="str">
        <f>IF($C$2&gt;Table57[[#This Row],[In]],$C$2-Table57[[#This Row],[In]],"")</f>
        <v/>
      </c>
      <c r="N409" s="29" t="str">
        <f>IFERROR(IF(Table57[[#This Row],[Out]]&gt;$C$3,(Table57[[#This Row],[Out]])-($C$3),""),"")</f>
        <v/>
      </c>
    </row>
    <row r="410" spans="1:14" hidden="1" x14ac:dyDescent="0.25">
      <c r="A410" s="23" t="str">
        <f>Table57[[#This Row],[No.]]&amp;Table57[[#This Row],[Date]]</f>
        <v>00</v>
      </c>
      <c r="B410" s="22">
        <f>'Unique Dates'!A407</f>
        <v>0</v>
      </c>
      <c r="C410" s="22" t="e" cm="1">
        <f t="array" ref="C410">_xlfn.XLOOKUP(Table57[[#This Row],[No.]],Table2[[#All],[CODE]],Table2[[#All],[NAME]],,0,1)</f>
        <v>#N/A</v>
      </c>
      <c r="D410" s="6">
        <f>'Unique Dates'!B407</f>
        <v>0</v>
      </c>
      <c r="E410" t="str">
        <f>TEXT(Table57[[#This Row],[Date]],"dddd")</f>
        <v>Saturday</v>
      </c>
      <c r="F410" s="25" t="str" cm="1">
        <f t="array" ref="F410">IFERROR(_xlfn.XLOOKUP(Table57[[#This Row],[Code]],Table1[[#All],[Code]],Table1[[#All],[Time]],,0,1),"")</f>
        <v/>
      </c>
      <c r="G410" s="25" t="str" cm="1">
        <f t="array" ref="G410">IFERROR(_xlfn.XLOOKUP(Table57[[#This Row],[Code]],Table1[[#All],[Code]],Table1[[#All],[Time]],,0,-1),"")</f>
        <v/>
      </c>
      <c r="H410" s="23" t="str">
        <f>IFERROR(IF(Table57[[#This Row],[Out]]&gt;=Table57[[#This Row],[In]],Table57[[#This Row],[Out]]-Table57[[#This Row],[In]],(0.5+Table57[[#This Row],[Out]])-Table57[[#This Row],[In]]),"")</f>
        <v/>
      </c>
      <c r="I410" s="31" t="str">
        <f>IFERROR(IF(Table57[[#This Row],[In]]&gt;$C$2,Table57[[#This Row],[In]]-$C$2,""),"")</f>
        <v/>
      </c>
      <c r="J410" s="31" t="str">
        <f>IF(Table57[[#This Row],[Work_Hours]]=0,"",(IF(Table57[[#This Row],[Out]]&lt;$C$3,$C$3-Table57[[#This Row],[Out]],"")))</f>
        <v/>
      </c>
      <c r="K410" s="32" t="str">
        <f>IFERROR(Table57[[#This Row],[In]]+$C$1,"")</f>
        <v/>
      </c>
      <c r="L410" s="29"/>
      <c r="M410" s="31" t="str">
        <f>IF($C$2&gt;Table57[[#This Row],[In]],$C$2-Table57[[#This Row],[In]],"")</f>
        <v/>
      </c>
      <c r="N410" s="29" t="str">
        <f>IFERROR(IF(Table57[[#This Row],[Out]]&gt;$C$3,(Table57[[#This Row],[Out]])-($C$3),""),"")</f>
        <v/>
      </c>
    </row>
    <row r="411" spans="1:14" hidden="1" x14ac:dyDescent="0.25">
      <c r="A411" s="23" t="str">
        <f>Table57[[#This Row],[No.]]&amp;Table57[[#This Row],[Date]]</f>
        <v>00</v>
      </c>
      <c r="B411" s="22">
        <f>'Unique Dates'!A408</f>
        <v>0</v>
      </c>
      <c r="C411" s="22" t="e" cm="1">
        <f t="array" ref="C411">_xlfn.XLOOKUP(Table57[[#This Row],[No.]],Table2[[#All],[CODE]],Table2[[#All],[NAME]],,0,1)</f>
        <v>#N/A</v>
      </c>
      <c r="D411" s="6">
        <f>'Unique Dates'!B408</f>
        <v>0</v>
      </c>
      <c r="E411" t="str">
        <f>TEXT(Table57[[#This Row],[Date]],"dddd")</f>
        <v>Saturday</v>
      </c>
      <c r="F411" s="25" t="str" cm="1">
        <f t="array" ref="F411">IFERROR(_xlfn.XLOOKUP(Table57[[#This Row],[Code]],Table1[[#All],[Code]],Table1[[#All],[Time]],,0,1),"")</f>
        <v/>
      </c>
      <c r="G411" s="25" t="str" cm="1">
        <f t="array" ref="G411">IFERROR(_xlfn.XLOOKUP(Table57[[#This Row],[Code]],Table1[[#All],[Code]],Table1[[#All],[Time]],,0,-1),"")</f>
        <v/>
      </c>
      <c r="H411" s="23" t="str">
        <f>IFERROR(IF(Table57[[#This Row],[Out]]&gt;=Table57[[#This Row],[In]],Table57[[#This Row],[Out]]-Table57[[#This Row],[In]],(0.5+Table57[[#This Row],[Out]])-Table57[[#This Row],[In]]),"")</f>
        <v/>
      </c>
      <c r="I411" s="31" t="str">
        <f>IFERROR(IF(Table57[[#This Row],[In]]&gt;$C$2,Table57[[#This Row],[In]]-$C$2,""),"")</f>
        <v/>
      </c>
      <c r="J411" s="31" t="str">
        <f>IF(Table57[[#This Row],[Work_Hours]]=0,"",(IF(Table57[[#This Row],[Out]]&lt;$C$3,$C$3-Table57[[#This Row],[Out]],"")))</f>
        <v/>
      </c>
      <c r="K411" s="32" t="str">
        <f>IFERROR(Table57[[#This Row],[In]]+$C$1,"")</f>
        <v/>
      </c>
      <c r="L411" s="29"/>
      <c r="M411" s="31" t="str">
        <f>IF($C$2&gt;Table57[[#This Row],[In]],$C$2-Table57[[#This Row],[In]],"")</f>
        <v/>
      </c>
      <c r="N411" s="29" t="str">
        <f>IFERROR(IF(Table57[[#This Row],[Out]]&gt;$C$3,(Table57[[#This Row],[Out]])-($C$3),""),"")</f>
        <v/>
      </c>
    </row>
    <row r="412" spans="1:14" hidden="1" x14ac:dyDescent="0.25">
      <c r="A412" s="23" t="str">
        <f>Table57[[#This Row],[No.]]&amp;Table57[[#This Row],[Date]]</f>
        <v>00</v>
      </c>
      <c r="B412" s="22">
        <f>'Unique Dates'!A409</f>
        <v>0</v>
      </c>
      <c r="C412" s="22" t="e" cm="1">
        <f t="array" ref="C412">_xlfn.XLOOKUP(Table57[[#This Row],[No.]],Table2[[#All],[CODE]],Table2[[#All],[NAME]],,0,1)</f>
        <v>#N/A</v>
      </c>
      <c r="D412" s="6">
        <f>'Unique Dates'!B409</f>
        <v>0</v>
      </c>
      <c r="E412" t="str">
        <f>TEXT(Table57[[#This Row],[Date]],"dddd")</f>
        <v>Saturday</v>
      </c>
      <c r="F412" s="25" t="str" cm="1">
        <f t="array" ref="F412">IFERROR(_xlfn.XLOOKUP(Table57[[#This Row],[Code]],Table1[[#All],[Code]],Table1[[#All],[Time]],,0,1),"")</f>
        <v/>
      </c>
      <c r="G412" s="25" t="str" cm="1">
        <f t="array" ref="G412">IFERROR(_xlfn.XLOOKUP(Table57[[#This Row],[Code]],Table1[[#All],[Code]],Table1[[#All],[Time]],,0,-1),"")</f>
        <v/>
      </c>
      <c r="H412" s="23" t="str">
        <f>IFERROR(IF(Table57[[#This Row],[Out]]&gt;=Table57[[#This Row],[In]],Table57[[#This Row],[Out]]-Table57[[#This Row],[In]],(0.5+Table57[[#This Row],[Out]])-Table57[[#This Row],[In]]),"")</f>
        <v/>
      </c>
      <c r="I412" s="31" t="str">
        <f>IFERROR(IF(Table57[[#This Row],[In]]&gt;$C$2,Table57[[#This Row],[In]]-$C$2,""),"")</f>
        <v/>
      </c>
      <c r="J412" s="31" t="str">
        <f>IF(Table57[[#This Row],[Work_Hours]]=0,"",(IF(Table57[[#This Row],[Out]]&lt;$C$3,$C$3-Table57[[#This Row],[Out]],"")))</f>
        <v/>
      </c>
      <c r="K412" s="32" t="str">
        <f>IFERROR(Table57[[#This Row],[In]]+$C$1,"")</f>
        <v/>
      </c>
      <c r="L412" s="29"/>
      <c r="M412" s="31" t="str">
        <f>IF($C$2&gt;Table57[[#This Row],[In]],$C$2-Table57[[#This Row],[In]],"")</f>
        <v/>
      </c>
      <c r="N412" s="29" t="str">
        <f>IFERROR(IF(Table57[[#This Row],[Out]]&gt;$C$3,(Table57[[#This Row],[Out]])-($C$3),""),"")</f>
        <v/>
      </c>
    </row>
    <row r="413" spans="1:14" hidden="1" x14ac:dyDescent="0.25">
      <c r="A413" s="23" t="str">
        <f>Table57[[#This Row],[No.]]&amp;Table57[[#This Row],[Date]]</f>
        <v>00</v>
      </c>
      <c r="B413" s="22">
        <f>'Unique Dates'!A410</f>
        <v>0</v>
      </c>
      <c r="C413" s="22" t="e" cm="1">
        <f t="array" ref="C413">_xlfn.XLOOKUP(Table57[[#This Row],[No.]],Table2[[#All],[CODE]],Table2[[#All],[NAME]],,0,1)</f>
        <v>#N/A</v>
      </c>
      <c r="D413" s="6">
        <f>'Unique Dates'!B410</f>
        <v>0</v>
      </c>
      <c r="E413" t="str">
        <f>TEXT(Table57[[#This Row],[Date]],"dddd")</f>
        <v>Saturday</v>
      </c>
      <c r="F413" s="25" t="str" cm="1">
        <f t="array" ref="F413">IFERROR(_xlfn.XLOOKUP(Table57[[#This Row],[Code]],Table1[[#All],[Code]],Table1[[#All],[Time]],,0,1),"")</f>
        <v/>
      </c>
      <c r="G413" s="25" t="str" cm="1">
        <f t="array" ref="G413">IFERROR(_xlfn.XLOOKUP(Table57[[#This Row],[Code]],Table1[[#All],[Code]],Table1[[#All],[Time]],,0,-1),"")</f>
        <v/>
      </c>
      <c r="H413" s="23" t="str">
        <f>IFERROR(IF(Table57[[#This Row],[Out]]&gt;=Table57[[#This Row],[In]],Table57[[#This Row],[Out]]-Table57[[#This Row],[In]],(0.5+Table57[[#This Row],[Out]])-Table57[[#This Row],[In]]),"")</f>
        <v/>
      </c>
      <c r="I413" s="31" t="str">
        <f>IFERROR(IF(Table57[[#This Row],[In]]&gt;$C$2,Table57[[#This Row],[In]]-$C$2,""),"")</f>
        <v/>
      </c>
      <c r="J413" s="31" t="str">
        <f>IF(Table57[[#This Row],[Work_Hours]]=0,"",(IF(Table57[[#This Row],[Out]]&lt;$C$3,$C$3-Table57[[#This Row],[Out]],"")))</f>
        <v/>
      </c>
      <c r="K413" s="32" t="str">
        <f>IFERROR(Table57[[#This Row],[In]]+$C$1,"")</f>
        <v/>
      </c>
      <c r="L413" s="29"/>
      <c r="M413" s="31" t="str">
        <f>IF($C$2&gt;Table57[[#This Row],[In]],$C$2-Table57[[#This Row],[In]],"")</f>
        <v/>
      </c>
      <c r="N413" s="29" t="str">
        <f>IFERROR(IF(Table57[[#This Row],[Out]]&gt;$C$3,(Table57[[#This Row],[Out]])-($C$3),""),"")</f>
        <v/>
      </c>
    </row>
    <row r="414" spans="1:14" hidden="1" x14ac:dyDescent="0.25">
      <c r="A414" s="23" t="str">
        <f>Table57[[#This Row],[No.]]&amp;Table57[[#This Row],[Date]]</f>
        <v>00</v>
      </c>
      <c r="B414" s="22">
        <f>'Unique Dates'!A411</f>
        <v>0</v>
      </c>
      <c r="C414" s="22" t="e" cm="1">
        <f t="array" ref="C414">_xlfn.XLOOKUP(Table57[[#This Row],[No.]],Table2[[#All],[CODE]],Table2[[#All],[NAME]],,0,1)</f>
        <v>#N/A</v>
      </c>
      <c r="D414" s="6">
        <f>'Unique Dates'!B411</f>
        <v>0</v>
      </c>
      <c r="E414" t="str">
        <f>TEXT(Table57[[#This Row],[Date]],"dddd")</f>
        <v>Saturday</v>
      </c>
      <c r="F414" s="25" t="str" cm="1">
        <f t="array" ref="F414">IFERROR(_xlfn.XLOOKUP(Table57[[#This Row],[Code]],Table1[[#All],[Code]],Table1[[#All],[Time]],,0,1),"")</f>
        <v/>
      </c>
      <c r="G414" s="25" t="str" cm="1">
        <f t="array" ref="G414">IFERROR(_xlfn.XLOOKUP(Table57[[#This Row],[Code]],Table1[[#All],[Code]],Table1[[#All],[Time]],,0,-1),"")</f>
        <v/>
      </c>
      <c r="H414" s="23" t="str">
        <f>IFERROR(IF(Table57[[#This Row],[Out]]&gt;=Table57[[#This Row],[In]],Table57[[#This Row],[Out]]-Table57[[#This Row],[In]],(0.5+Table57[[#This Row],[Out]])-Table57[[#This Row],[In]]),"")</f>
        <v/>
      </c>
      <c r="I414" s="31" t="str">
        <f>IFERROR(IF(Table57[[#This Row],[In]]&gt;$C$2,Table57[[#This Row],[In]]-$C$2,""),"")</f>
        <v/>
      </c>
      <c r="J414" s="31" t="str">
        <f>IF(Table57[[#This Row],[Work_Hours]]=0,"",(IF(Table57[[#This Row],[Out]]&lt;$C$3,$C$3-Table57[[#This Row],[Out]],"")))</f>
        <v/>
      </c>
      <c r="K414" s="32" t="str">
        <f>IFERROR(Table57[[#This Row],[In]]+$C$1,"")</f>
        <v/>
      </c>
      <c r="L414" s="29"/>
      <c r="M414" s="31" t="str">
        <f>IF($C$2&gt;Table57[[#This Row],[In]],$C$2-Table57[[#This Row],[In]],"")</f>
        <v/>
      </c>
      <c r="N414" s="29" t="str">
        <f>IFERROR(IF(Table57[[#This Row],[Out]]&gt;$C$3,(Table57[[#This Row],[Out]])-($C$3),""),"")</f>
        <v/>
      </c>
    </row>
    <row r="415" spans="1:14" hidden="1" x14ac:dyDescent="0.25">
      <c r="A415" s="23" t="str">
        <f>Table57[[#This Row],[No.]]&amp;Table57[[#This Row],[Date]]</f>
        <v>00</v>
      </c>
      <c r="B415" s="22">
        <f>'Unique Dates'!A412</f>
        <v>0</v>
      </c>
      <c r="C415" s="22" t="e" cm="1">
        <f t="array" ref="C415">_xlfn.XLOOKUP(Table57[[#This Row],[No.]],Table2[[#All],[CODE]],Table2[[#All],[NAME]],,0,1)</f>
        <v>#N/A</v>
      </c>
      <c r="D415" s="6">
        <f>'Unique Dates'!B412</f>
        <v>0</v>
      </c>
      <c r="E415" t="str">
        <f>TEXT(Table57[[#This Row],[Date]],"dddd")</f>
        <v>Saturday</v>
      </c>
      <c r="F415" s="25" t="str" cm="1">
        <f t="array" ref="F415">IFERROR(_xlfn.XLOOKUP(Table57[[#This Row],[Code]],Table1[[#All],[Code]],Table1[[#All],[Time]],,0,1),"")</f>
        <v/>
      </c>
      <c r="G415" s="25" t="str" cm="1">
        <f t="array" ref="G415">IFERROR(_xlfn.XLOOKUP(Table57[[#This Row],[Code]],Table1[[#All],[Code]],Table1[[#All],[Time]],,0,-1),"")</f>
        <v/>
      </c>
      <c r="H415" s="23" t="str">
        <f>IFERROR(IF(Table57[[#This Row],[Out]]&gt;=Table57[[#This Row],[In]],Table57[[#This Row],[Out]]-Table57[[#This Row],[In]],(0.5+Table57[[#This Row],[Out]])-Table57[[#This Row],[In]]),"")</f>
        <v/>
      </c>
      <c r="I415" s="31" t="str">
        <f>IFERROR(IF(Table57[[#This Row],[In]]&gt;$C$2,Table57[[#This Row],[In]]-$C$2,""),"")</f>
        <v/>
      </c>
      <c r="J415" s="31" t="str">
        <f>IF(Table57[[#This Row],[Work_Hours]]=0,"",(IF(Table57[[#This Row],[Out]]&lt;$C$3,$C$3-Table57[[#This Row],[Out]],"")))</f>
        <v/>
      </c>
      <c r="K415" s="32" t="str">
        <f>IFERROR(Table57[[#This Row],[In]]+$C$1,"")</f>
        <v/>
      </c>
      <c r="L415" s="29"/>
      <c r="M415" s="31" t="str">
        <f>IF($C$2&gt;Table57[[#This Row],[In]],$C$2-Table57[[#This Row],[In]],"")</f>
        <v/>
      </c>
      <c r="N415" s="29" t="str">
        <f>IFERROR(IF(Table57[[#This Row],[Out]]&gt;$C$3,(Table57[[#This Row],[Out]])-($C$3),""),"")</f>
        <v/>
      </c>
    </row>
    <row r="416" spans="1:14" hidden="1" x14ac:dyDescent="0.25">
      <c r="A416" s="23" t="str">
        <f>Table57[[#This Row],[No.]]&amp;Table57[[#This Row],[Date]]</f>
        <v>00</v>
      </c>
      <c r="B416" s="22">
        <f>'Unique Dates'!A413</f>
        <v>0</v>
      </c>
      <c r="C416" s="22" t="e" cm="1">
        <f t="array" ref="C416">_xlfn.XLOOKUP(Table57[[#This Row],[No.]],Table2[[#All],[CODE]],Table2[[#All],[NAME]],,0,1)</f>
        <v>#N/A</v>
      </c>
      <c r="D416" s="6">
        <f>'Unique Dates'!B413</f>
        <v>0</v>
      </c>
      <c r="E416" t="str">
        <f>TEXT(Table57[[#This Row],[Date]],"dddd")</f>
        <v>Saturday</v>
      </c>
      <c r="F416" s="25" t="str" cm="1">
        <f t="array" ref="F416">IFERROR(_xlfn.XLOOKUP(Table57[[#This Row],[Code]],Table1[[#All],[Code]],Table1[[#All],[Time]],,0,1),"")</f>
        <v/>
      </c>
      <c r="G416" s="25" t="str" cm="1">
        <f t="array" ref="G416">IFERROR(_xlfn.XLOOKUP(Table57[[#This Row],[Code]],Table1[[#All],[Code]],Table1[[#All],[Time]],,0,-1),"")</f>
        <v/>
      </c>
      <c r="H416" s="23" t="str">
        <f>IFERROR(IF(Table57[[#This Row],[Out]]&gt;=Table57[[#This Row],[In]],Table57[[#This Row],[Out]]-Table57[[#This Row],[In]],(0.5+Table57[[#This Row],[Out]])-Table57[[#This Row],[In]]),"")</f>
        <v/>
      </c>
      <c r="I416" s="31" t="str">
        <f>IFERROR(IF(Table57[[#This Row],[In]]&gt;$C$2,Table57[[#This Row],[In]]-$C$2,""),"")</f>
        <v/>
      </c>
      <c r="J416" s="31" t="str">
        <f>IF(Table57[[#This Row],[Work_Hours]]=0,"",(IF(Table57[[#This Row],[Out]]&lt;$C$3,$C$3-Table57[[#This Row],[Out]],"")))</f>
        <v/>
      </c>
      <c r="K416" s="32" t="str">
        <f>IFERROR(Table57[[#This Row],[In]]+$C$1,"")</f>
        <v/>
      </c>
      <c r="L416" s="29"/>
      <c r="M416" s="31" t="str">
        <f>IF($C$2&gt;Table57[[#This Row],[In]],$C$2-Table57[[#This Row],[In]],"")</f>
        <v/>
      </c>
      <c r="N416" s="29" t="str">
        <f>IFERROR(IF(Table57[[#This Row],[Out]]&gt;$C$3,(Table57[[#This Row],[Out]])-($C$3),""),"")</f>
        <v/>
      </c>
    </row>
    <row r="417" spans="1:14" hidden="1" x14ac:dyDescent="0.25">
      <c r="A417" s="23" t="str">
        <f>Table57[[#This Row],[No.]]&amp;Table57[[#This Row],[Date]]</f>
        <v>00</v>
      </c>
      <c r="B417" s="22">
        <f>'Unique Dates'!A414</f>
        <v>0</v>
      </c>
      <c r="C417" s="22" t="e" cm="1">
        <f t="array" ref="C417">_xlfn.XLOOKUP(Table57[[#This Row],[No.]],Table2[[#All],[CODE]],Table2[[#All],[NAME]],,0,1)</f>
        <v>#N/A</v>
      </c>
      <c r="D417" s="6">
        <f>'Unique Dates'!B414</f>
        <v>0</v>
      </c>
      <c r="E417" t="str">
        <f>TEXT(Table57[[#This Row],[Date]],"dddd")</f>
        <v>Saturday</v>
      </c>
      <c r="F417" s="25" t="str" cm="1">
        <f t="array" ref="F417">IFERROR(_xlfn.XLOOKUP(Table57[[#This Row],[Code]],Table1[[#All],[Code]],Table1[[#All],[Time]],,0,1),"")</f>
        <v/>
      </c>
      <c r="G417" s="25" t="str" cm="1">
        <f t="array" ref="G417">IFERROR(_xlfn.XLOOKUP(Table57[[#This Row],[Code]],Table1[[#All],[Code]],Table1[[#All],[Time]],,0,-1),"")</f>
        <v/>
      </c>
      <c r="H417" s="23" t="str">
        <f>IFERROR(IF(Table57[[#This Row],[Out]]&gt;=Table57[[#This Row],[In]],Table57[[#This Row],[Out]]-Table57[[#This Row],[In]],(0.5+Table57[[#This Row],[Out]])-Table57[[#This Row],[In]]),"")</f>
        <v/>
      </c>
      <c r="I417" s="31" t="str">
        <f>IFERROR(IF(Table57[[#This Row],[In]]&gt;$C$2,Table57[[#This Row],[In]]-$C$2,""),"")</f>
        <v/>
      </c>
      <c r="J417" s="31" t="str">
        <f>IF(Table57[[#This Row],[Work_Hours]]=0,"",(IF(Table57[[#This Row],[Out]]&lt;$C$3,$C$3-Table57[[#This Row],[Out]],"")))</f>
        <v/>
      </c>
      <c r="K417" s="32" t="str">
        <f>IFERROR(Table57[[#This Row],[In]]+$C$1,"")</f>
        <v/>
      </c>
      <c r="L417" s="29"/>
      <c r="M417" s="31" t="str">
        <f>IF($C$2&gt;Table57[[#This Row],[In]],$C$2-Table57[[#This Row],[In]],"")</f>
        <v/>
      </c>
      <c r="N417" s="29" t="str">
        <f>IFERROR(IF(Table57[[#This Row],[Out]]&gt;$C$3,(Table57[[#This Row],[Out]])-($C$3),""),"")</f>
        <v/>
      </c>
    </row>
    <row r="418" spans="1:14" hidden="1" x14ac:dyDescent="0.25">
      <c r="A418" s="23" t="str">
        <f>Table57[[#This Row],[No.]]&amp;Table57[[#This Row],[Date]]</f>
        <v>00</v>
      </c>
      <c r="B418" s="22">
        <f>'Unique Dates'!A415</f>
        <v>0</v>
      </c>
      <c r="C418" s="22" t="e" cm="1">
        <f t="array" ref="C418">_xlfn.XLOOKUP(Table57[[#This Row],[No.]],Table2[[#All],[CODE]],Table2[[#All],[NAME]],,0,1)</f>
        <v>#N/A</v>
      </c>
      <c r="D418" s="6">
        <f>'Unique Dates'!B415</f>
        <v>0</v>
      </c>
      <c r="E418" t="str">
        <f>TEXT(Table57[[#This Row],[Date]],"dddd")</f>
        <v>Saturday</v>
      </c>
      <c r="F418" s="25" t="str" cm="1">
        <f t="array" ref="F418">IFERROR(_xlfn.XLOOKUP(Table57[[#This Row],[Code]],Table1[[#All],[Code]],Table1[[#All],[Time]],,0,1),"")</f>
        <v/>
      </c>
      <c r="G418" s="25" t="str" cm="1">
        <f t="array" ref="G418">IFERROR(_xlfn.XLOOKUP(Table57[[#This Row],[Code]],Table1[[#All],[Code]],Table1[[#All],[Time]],,0,-1),"")</f>
        <v/>
      </c>
      <c r="H418" s="23" t="str">
        <f>IFERROR(IF(Table57[[#This Row],[Out]]&gt;=Table57[[#This Row],[In]],Table57[[#This Row],[Out]]-Table57[[#This Row],[In]],(0.5+Table57[[#This Row],[Out]])-Table57[[#This Row],[In]]),"")</f>
        <v/>
      </c>
      <c r="I418" s="31" t="str">
        <f>IFERROR(IF(Table57[[#This Row],[In]]&gt;$C$2,Table57[[#This Row],[In]]-$C$2,""),"")</f>
        <v/>
      </c>
      <c r="J418" s="31" t="str">
        <f>IF(Table57[[#This Row],[Work_Hours]]=0,"",(IF(Table57[[#This Row],[Out]]&lt;$C$3,$C$3-Table57[[#This Row],[Out]],"")))</f>
        <v/>
      </c>
      <c r="K418" s="32" t="str">
        <f>IFERROR(Table57[[#This Row],[In]]+$C$1,"")</f>
        <v/>
      </c>
      <c r="L418" s="29"/>
      <c r="M418" s="31" t="str">
        <f>IF($C$2&gt;Table57[[#This Row],[In]],$C$2-Table57[[#This Row],[In]],"")</f>
        <v/>
      </c>
      <c r="N418" s="29" t="str">
        <f>IFERROR(IF(Table57[[#This Row],[Out]]&gt;$C$3,(Table57[[#This Row],[Out]])-($C$3),""),"")</f>
        <v/>
      </c>
    </row>
    <row r="419" spans="1:14" hidden="1" x14ac:dyDescent="0.25">
      <c r="A419" s="23" t="str">
        <f>Table57[[#This Row],[No.]]&amp;Table57[[#This Row],[Date]]</f>
        <v>00</v>
      </c>
      <c r="B419" s="22">
        <f>'Unique Dates'!A416</f>
        <v>0</v>
      </c>
      <c r="C419" s="22" t="e" cm="1">
        <f t="array" ref="C419">_xlfn.XLOOKUP(Table57[[#This Row],[No.]],Table2[[#All],[CODE]],Table2[[#All],[NAME]],,0,1)</f>
        <v>#N/A</v>
      </c>
      <c r="D419" s="6">
        <f>'Unique Dates'!B416</f>
        <v>0</v>
      </c>
      <c r="E419" t="str">
        <f>TEXT(Table57[[#This Row],[Date]],"dddd")</f>
        <v>Saturday</v>
      </c>
      <c r="F419" s="25" t="str" cm="1">
        <f t="array" ref="F419">IFERROR(_xlfn.XLOOKUP(Table57[[#This Row],[Code]],Table1[[#All],[Code]],Table1[[#All],[Time]],,0,1),"")</f>
        <v/>
      </c>
      <c r="G419" s="25" t="str" cm="1">
        <f t="array" ref="G419">IFERROR(_xlfn.XLOOKUP(Table57[[#This Row],[Code]],Table1[[#All],[Code]],Table1[[#All],[Time]],,0,-1),"")</f>
        <v/>
      </c>
      <c r="H419" s="23" t="str">
        <f>IFERROR(IF(Table57[[#This Row],[Out]]&gt;=Table57[[#This Row],[In]],Table57[[#This Row],[Out]]-Table57[[#This Row],[In]],(0.5+Table57[[#This Row],[Out]])-Table57[[#This Row],[In]]),"")</f>
        <v/>
      </c>
      <c r="I419" s="31" t="str">
        <f>IFERROR(IF(Table57[[#This Row],[In]]&gt;$C$2,Table57[[#This Row],[In]]-$C$2,""),"")</f>
        <v/>
      </c>
      <c r="J419" s="31" t="str">
        <f>IF(Table57[[#This Row],[Work_Hours]]=0,"",(IF(Table57[[#This Row],[Out]]&lt;$C$3,$C$3-Table57[[#This Row],[Out]],"")))</f>
        <v/>
      </c>
      <c r="K419" s="32" t="str">
        <f>IFERROR(Table57[[#This Row],[In]]+$C$1,"")</f>
        <v/>
      </c>
      <c r="L419" s="29"/>
      <c r="M419" s="31" t="str">
        <f>IF($C$2&gt;Table57[[#This Row],[In]],$C$2-Table57[[#This Row],[In]],"")</f>
        <v/>
      </c>
      <c r="N419" s="29" t="str">
        <f>IFERROR(IF(Table57[[#This Row],[Out]]&gt;$C$3,(Table57[[#This Row],[Out]])-($C$3),""),"")</f>
        <v/>
      </c>
    </row>
    <row r="420" spans="1:14" hidden="1" x14ac:dyDescent="0.25">
      <c r="A420" s="23" t="str">
        <f>Table57[[#This Row],[No.]]&amp;Table57[[#This Row],[Date]]</f>
        <v>00</v>
      </c>
      <c r="B420" s="22">
        <f>'Unique Dates'!A417</f>
        <v>0</v>
      </c>
      <c r="C420" s="22" t="e" cm="1">
        <f t="array" ref="C420">_xlfn.XLOOKUP(Table57[[#This Row],[No.]],Table2[[#All],[CODE]],Table2[[#All],[NAME]],,0,1)</f>
        <v>#N/A</v>
      </c>
      <c r="D420" s="6">
        <f>'Unique Dates'!B417</f>
        <v>0</v>
      </c>
      <c r="E420" t="str">
        <f>TEXT(Table57[[#This Row],[Date]],"dddd")</f>
        <v>Saturday</v>
      </c>
      <c r="F420" s="25" t="str" cm="1">
        <f t="array" ref="F420">IFERROR(_xlfn.XLOOKUP(Table57[[#This Row],[Code]],Table1[[#All],[Code]],Table1[[#All],[Time]],,0,1),"")</f>
        <v/>
      </c>
      <c r="G420" s="25" t="str" cm="1">
        <f t="array" ref="G420">IFERROR(_xlfn.XLOOKUP(Table57[[#This Row],[Code]],Table1[[#All],[Code]],Table1[[#All],[Time]],,0,-1),"")</f>
        <v/>
      </c>
      <c r="H420" s="23" t="str">
        <f>IFERROR(IF(Table57[[#This Row],[Out]]&gt;=Table57[[#This Row],[In]],Table57[[#This Row],[Out]]-Table57[[#This Row],[In]],(0.5+Table57[[#This Row],[Out]])-Table57[[#This Row],[In]]),"")</f>
        <v/>
      </c>
      <c r="I420" s="31" t="str">
        <f>IFERROR(IF(Table57[[#This Row],[In]]&gt;$C$2,Table57[[#This Row],[In]]-$C$2,""),"")</f>
        <v/>
      </c>
      <c r="J420" s="31" t="str">
        <f>IF(Table57[[#This Row],[Work_Hours]]=0,"",(IF(Table57[[#This Row],[Out]]&lt;$C$3,$C$3-Table57[[#This Row],[Out]],"")))</f>
        <v/>
      </c>
      <c r="K420" s="32" t="str">
        <f>IFERROR(Table57[[#This Row],[In]]+$C$1,"")</f>
        <v/>
      </c>
      <c r="L420" s="29"/>
      <c r="M420" s="31" t="str">
        <f>IF($C$2&gt;Table57[[#This Row],[In]],$C$2-Table57[[#This Row],[In]],"")</f>
        <v/>
      </c>
      <c r="N420" s="29" t="str">
        <f>IFERROR(IF(Table57[[#This Row],[Out]]&gt;$C$3,(Table57[[#This Row],[Out]])-($C$3),""),"")</f>
        <v/>
      </c>
    </row>
    <row r="421" spans="1:14" hidden="1" x14ac:dyDescent="0.25">
      <c r="A421" s="23" t="str">
        <f>Table57[[#This Row],[No.]]&amp;Table57[[#This Row],[Date]]</f>
        <v>00</v>
      </c>
      <c r="B421" s="22">
        <f>'Unique Dates'!A418</f>
        <v>0</v>
      </c>
      <c r="C421" s="22" t="e" cm="1">
        <f t="array" ref="C421">_xlfn.XLOOKUP(Table57[[#This Row],[No.]],Table2[[#All],[CODE]],Table2[[#All],[NAME]],,0,1)</f>
        <v>#N/A</v>
      </c>
      <c r="D421" s="6">
        <f>'Unique Dates'!B418</f>
        <v>0</v>
      </c>
      <c r="E421" t="str">
        <f>TEXT(Table57[[#This Row],[Date]],"dddd")</f>
        <v>Saturday</v>
      </c>
      <c r="F421" s="25" t="str" cm="1">
        <f t="array" ref="F421">IFERROR(_xlfn.XLOOKUP(Table57[[#This Row],[Code]],Table1[[#All],[Code]],Table1[[#All],[Time]],,0,1),"")</f>
        <v/>
      </c>
      <c r="G421" s="25" t="str" cm="1">
        <f t="array" ref="G421">IFERROR(_xlfn.XLOOKUP(Table57[[#This Row],[Code]],Table1[[#All],[Code]],Table1[[#All],[Time]],,0,-1),"")</f>
        <v/>
      </c>
      <c r="H421" s="23" t="str">
        <f>IFERROR(IF(Table57[[#This Row],[Out]]&gt;=Table57[[#This Row],[In]],Table57[[#This Row],[Out]]-Table57[[#This Row],[In]],(0.5+Table57[[#This Row],[Out]])-Table57[[#This Row],[In]]),"")</f>
        <v/>
      </c>
      <c r="I421" s="31" t="str">
        <f>IFERROR(IF(Table57[[#This Row],[In]]&gt;$C$2,Table57[[#This Row],[In]]-$C$2,""),"")</f>
        <v/>
      </c>
      <c r="J421" s="31" t="str">
        <f>IF(Table57[[#This Row],[Work_Hours]]=0,"",(IF(Table57[[#This Row],[Out]]&lt;$C$3,$C$3-Table57[[#This Row],[Out]],"")))</f>
        <v/>
      </c>
      <c r="K421" s="32" t="str">
        <f>IFERROR(Table57[[#This Row],[In]]+$C$1,"")</f>
        <v/>
      </c>
      <c r="L421" s="29"/>
      <c r="M421" s="31" t="str">
        <f>IF($C$2&gt;Table57[[#This Row],[In]],$C$2-Table57[[#This Row],[In]],"")</f>
        <v/>
      </c>
      <c r="N421" s="29" t="str">
        <f>IFERROR(IF(Table57[[#This Row],[Out]]&gt;$C$3,(Table57[[#This Row],[Out]])-($C$3),""),"")</f>
        <v/>
      </c>
    </row>
    <row r="422" spans="1:14" hidden="1" x14ac:dyDescent="0.25">
      <c r="A422" s="23" t="str">
        <f>Table57[[#This Row],[No.]]&amp;Table57[[#This Row],[Date]]</f>
        <v>00</v>
      </c>
      <c r="B422" s="22">
        <f>'Unique Dates'!A419</f>
        <v>0</v>
      </c>
      <c r="C422" s="22" t="e" cm="1">
        <f t="array" ref="C422">_xlfn.XLOOKUP(Table57[[#This Row],[No.]],Table2[[#All],[CODE]],Table2[[#All],[NAME]],,0,1)</f>
        <v>#N/A</v>
      </c>
      <c r="D422" s="6">
        <f>'Unique Dates'!B419</f>
        <v>0</v>
      </c>
      <c r="E422" t="str">
        <f>TEXT(Table57[[#This Row],[Date]],"dddd")</f>
        <v>Saturday</v>
      </c>
      <c r="F422" s="25" t="str" cm="1">
        <f t="array" ref="F422">IFERROR(_xlfn.XLOOKUP(Table57[[#This Row],[Code]],Table1[[#All],[Code]],Table1[[#All],[Time]],,0,1),"")</f>
        <v/>
      </c>
      <c r="G422" s="25" t="str" cm="1">
        <f t="array" ref="G422">IFERROR(_xlfn.XLOOKUP(Table57[[#This Row],[Code]],Table1[[#All],[Code]],Table1[[#All],[Time]],,0,-1),"")</f>
        <v/>
      </c>
      <c r="H422" s="23" t="str">
        <f>IFERROR(IF(Table57[[#This Row],[Out]]&gt;=Table57[[#This Row],[In]],Table57[[#This Row],[Out]]-Table57[[#This Row],[In]],(0.5+Table57[[#This Row],[Out]])-Table57[[#This Row],[In]]),"")</f>
        <v/>
      </c>
      <c r="I422" s="31" t="str">
        <f>IFERROR(IF(Table57[[#This Row],[In]]&gt;$C$2,Table57[[#This Row],[In]]-$C$2,""),"")</f>
        <v/>
      </c>
      <c r="J422" s="31" t="str">
        <f>IF(Table57[[#This Row],[Work_Hours]]=0,"",(IF(Table57[[#This Row],[Out]]&lt;$C$3,$C$3-Table57[[#This Row],[Out]],"")))</f>
        <v/>
      </c>
      <c r="K422" s="32" t="str">
        <f>IFERROR(Table57[[#This Row],[In]]+$C$1,"")</f>
        <v/>
      </c>
      <c r="L422" s="29"/>
      <c r="M422" s="31" t="str">
        <f>IF($C$2&gt;Table57[[#This Row],[In]],$C$2-Table57[[#This Row],[In]],"")</f>
        <v/>
      </c>
      <c r="N422" s="29" t="str">
        <f>IFERROR(IF(Table57[[#This Row],[Out]]&gt;$C$3,(Table57[[#This Row],[Out]])-($C$3),""),"")</f>
        <v/>
      </c>
    </row>
    <row r="423" spans="1:14" hidden="1" x14ac:dyDescent="0.25">
      <c r="A423" s="23" t="str">
        <f>Table57[[#This Row],[No.]]&amp;Table57[[#This Row],[Date]]</f>
        <v>00</v>
      </c>
      <c r="B423" s="22">
        <f>'Unique Dates'!A420</f>
        <v>0</v>
      </c>
      <c r="C423" s="22" t="e" cm="1">
        <f t="array" ref="C423">_xlfn.XLOOKUP(Table57[[#This Row],[No.]],Table2[[#All],[CODE]],Table2[[#All],[NAME]],,0,1)</f>
        <v>#N/A</v>
      </c>
      <c r="D423" s="6">
        <f>'Unique Dates'!B420</f>
        <v>0</v>
      </c>
      <c r="E423" t="str">
        <f>TEXT(Table57[[#This Row],[Date]],"dddd")</f>
        <v>Saturday</v>
      </c>
      <c r="F423" s="25" t="str" cm="1">
        <f t="array" ref="F423">IFERROR(_xlfn.XLOOKUP(Table57[[#This Row],[Code]],Table1[[#All],[Code]],Table1[[#All],[Time]],,0,1),"")</f>
        <v/>
      </c>
      <c r="G423" s="25" t="str" cm="1">
        <f t="array" ref="G423">IFERROR(_xlfn.XLOOKUP(Table57[[#This Row],[Code]],Table1[[#All],[Code]],Table1[[#All],[Time]],,0,-1),"")</f>
        <v/>
      </c>
      <c r="H423" s="23" t="str">
        <f>IFERROR(IF(Table57[[#This Row],[Out]]&gt;=Table57[[#This Row],[In]],Table57[[#This Row],[Out]]-Table57[[#This Row],[In]],(0.5+Table57[[#This Row],[Out]])-Table57[[#This Row],[In]]),"")</f>
        <v/>
      </c>
      <c r="I423" s="31" t="str">
        <f>IFERROR(IF(Table57[[#This Row],[In]]&gt;$C$2,Table57[[#This Row],[In]]-$C$2,""),"")</f>
        <v/>
      </c>
      <c r="J423" s="31" t="str">
        <f>IF(Table57[[#This Row],[Work_Hours]]=0,"",(IF(Table57[[#This Row],[Out]]&lt;$C$3,$C$3-Table57[[#This Row],[Out]],"")))</f>
        <v/>
      </c>
      <c r="K423" s="32" t="str">
        <f>IFERROR(Table57[[#This Row],[In]]+$C$1,"")</f>
        <v/>
      </c>
      <c r="L423" s="29"/>
      <c r="M423" s="31" t="str">
        <f>IF($C$2&gt;Table57[[#This Row],[In]],$C$2-Table57[[#This Row],[In]],"")</f>
        <v/>
      </c>
      <c r="N423" s="29" t="str">
        <f>IFERROR(IF(Table57[[#This Row],[Out]]&gt;$C$3,(Table57[[#This Row],[Out]])-($C$3),""),"")</f>
        <v/>
      </c>
    </row>
    <row r="424" spans="1:14" hidden="1" x14ac:dyDescent="0.25">
      <c r="A424" s="23" t="str">
        <f>Table57[[#This Row],[No.]]&amp;Table57[[#This Row],[Date]]</f>
        <v>00</v>
      </c>
      <c r="B424" s="22">
        <f>'Unique Dates'!A421</f>
        <v>0</v>
      </c>
      <c r="C424" s="22" t="e" cm="1">
        <f t="array" ref="C424">_xlfn.XLOOKUP(Table57[[#This Row],[No.]],Table2[[#All],[CODE]],Table2[[#All],[NAME]],,0,1)</f>
        <v>#N/A</v>
      </c>
      <c r="D424" s="6">
        <f>'Unique Dates'!B421</f>
        <v>0</v>
      </c>
      <c r="E424" t="str">
        <f>TEXT(Table57[[#This Row],[Date]],"dddd")</f>
        <v>Saturday</v>
      </c>
      <c r="F424" s="25" t="str" cm="1">
        <f t="array" ref="F424">IFERROR(_xlfn.XLOOKUP(Table57[[#This Row],[Code]],Table1[[#All],[Code]],Table1[[#All],[Time]],,0,1),"")</f>
        <v/>
      </c>
      <c r="G424" s="25" t="str" cm="1">
        <f t="array" ref="G424">IFERROR(_xlfn.XLOOKUP(Table57[[#This Row],[Code]],Table1[[#All],[Code]],Table1[[#All],[Time]],,0,-1),"")</f>
        <v/>
      </c>
      <c r="H424" s="23" t="str">
        <f>IFERROR(IF(Table57[[#This Row],[Out]]&gt;=Table57[[#This Row],[In]],Table57[[#This Row],[Out]]-Table57[[#This Row],[In]],(0.5+Table57[[#This Row],[Out]])-Table57[[#This Row],[In]]),"")</f>
        <v/>
      </c>
      <c r="I424" s="31" t="str">
        <f>IFERROR(IF(Table57[[#This Row],[In]]&gt;$C$2,Table57[[#This Row],[In]]-$C$2,""),"")</f>
        <v/>
      </c>
      <c r="J424" s="31" t="str">
        <f>IF(Table57[[#This Row],[Work_Hours]]=0,"",(IF(Table57[[#This Row],[Out]]&lt;$C$3,$C$3-Table57[[#This Row],[Out]],"")))</f>
        <v/>
      </c>
      <c r="K424" s="32" t="str">
        <f>IFERROR(Table57[[#This Row],[In]]+$C$1,"")</f>
        <v/>
      </c>
      <c r="L424" s="29"/>
      <c r="M424" s="31" t="str">
        <f>IF($C$2&gt;Table57[[#This Row],[In]],$C$2-Table57[[#This Row],[In]],"")</f>
        <v/>
      </c>
      <c r="N424" s="29" t="str">
        <f>IFERROR(IF(Table57[[#This Row],[Out]]&gt;$C$3,(Table57[[#This Row],[Out]])-($C$3),""),"")</f>
        <v/>
      </c>
    </row>
    <row r="425" spans="1:14" hidden="1" x14ac:dyDescent="0.25">
      <c r="A425" s="23" t="str">
        <f>Table57[[#This Row],[No.]]&amp;Table57[[#This Row],[Date]]</f>
        <v>00</v>
      </c>
      <c r="B425" s="22">
        <f>'Unique Dates'!A422</f>
        <v>0</v>
      </c>
      <c r="C425" s="22" t="e" cm="1">
        <f t="array" ref="C425">_xlfn.XLOOKUP(Table57[[#This Row],[No.]],Table2[[#All],[CODE]],Table2[[#All],[NAME]],,0,1)</f>
        <v>#N/A</v>
      </c>
      <c r="D425" s="6">
        <f>'Unique Dates'!B422</f>
        <v>0</v>
      </c>
      <c r="E425" t="str">
        <f>TEXT(Table57[[#This Row],[Date]],"dddd")</f>
        <v>Saturday</v>
      </c>
      <c r="F425" s="25" t="str" cm="1">
        <f t="array" ref="F425">IFERROR(_xlfn.XLOOKUP(Table57[[#This Row],[Code]],Table1[[#All],[Code]],Table1[[#All],[Time]],,0,1),"")</f>
        <v/>
      </c>
      <c r="G425" s="25" t="str" cm="1">
        <f t="array" ref="G425">IFERROR(_xlfn.XLOOKUP(Table57[[#This Row],[Code]],Table1[[#All],[Code]],Table1[[#All],[Time]],,0,-1),"")</f>
        <v/>
      </c>
      <c r="H425" s="23" t="str">
        <f>IFERROR(IF(Table57[[#This Row],[Out]]&gt;=Table57[[#This Row],[In]],Table57[[#This Row],[Out]]-Table57[[#This Row],[In]],(0.5+Table57[[#This Row],[Out]])-Table57[[#This Row],[In]]),"")</f>
        <v/>
      </c>
      <c r="I425" s="31" t="str">
        <f>IFERROR(IF(Table57[[#This Row],[In]]&gt;$C$2,Table57[[#This Row],[In]]-$C$2,""),"")</f>
        <v/>
      </c>
      <c r="J425" s="31" t="str">
        <f>IF(Table57[[#This Row],[Work_Hours]]=0,"",(IF(Table57[[#This Row],[Out]]&lt;$C$3,$C$3-Table57[[#This Row],[Out]],"")))</f>
        <v/>
      </c>
      <c r="K425" s="32" t="str">
        <f>IFERROR(Table57[[#This Row],[In]]+$C$1,"")</f>
        <v/>
      </c>
      <c r="L425" s="29"/>
      <c r="M425" s="31" t="str">
        <f>IF($C$2&gt;Table57[[#This Row],[In]],$C$2-Table57[[#This Row],[In]],"")</f>
        <v/>
      </c>
      <c r="N425" s="29" t="str">
        <f>IFERROR(IF(Table57[[#This Row],[Out]]&gt;$C$3,(Table57[[#This Row],[Out]])-($C$3),""),"")</f>
        <v/>
      </c>
    </row>
    <row r="426" spans="1:14" hidden="1" x14ac:dyDescent="0.25">
      <c r="A426" s="23" t="str">
        <f>Table57[[#This Row],[No.]]&amp;Table57[[#This Row],[Date]]</f>
        <v>00</v>
      </c>
      <c r="B426" s="22">
        <f>'Unique Dates'!A423</f>
        <v>0</v>
      </c>
      <c r="C426" s="22" t="e" cm="1">
        <f t="array" ref="C426">_xlfn.XLOOKUP(Table57[[#This Row],[No.]],Table2[[#All],[CODE]],Table2[[#All],[NAME]],,0,1)</f>
        <v>#N/A</v>
      </c>
      <c r="D426" s="6">
        <f>'Unique Dates'!B423</f>
        <v>0</v>
      </c>
      <c r="E426" t="str">
        <f>TEXT(Table57[[#This Row],[Date]],"dddd")</f>
        <v>Saturday</v>
      </c>
      <c r="F426" s="25" t="str" cm="1">
        <f t="array" ref="F426">IFERROR(_xlfn.XLOOKUP(Table57[[#This Row],[Code]],Table1[[#All],[Code]],Table1[[#All],[Time]],,0,1),"")</f>
        <v/>
      </c>
      <c r="G426" s="25" t="str" cm="1">
        <f t="array" ref="G426">IFERROR(_xlfn.XLOOKUP(Table57[[#This Row],[Code]],Table1[[#All],[Code]],Table1[[#All],[Time]],,0,-1),"")</f>
        <v/>
      </c>
      <c r="H426" s="23" t="str">
        <f>IFERROR(IF(Table57[[#This Row],[Out]]&gt;=Table57[[#This Row],[In]],Table57[[#This Row],[Out]]-Table57[[#This Row],[In]],(0.5+Table57[[#This Row],[Out]])-Table57[[#This Row],[In]]),"")</f>
        <v/>
      </c>
      <c r="I426" s="31" t="str">
        <f>IFERROR(IF(Table57[[#This Row],[In]]&gt;$C$2,Table57[[#This Row],[In]]-$C$2,""),"")</f>
        <v/>
      </c>
      <c r="J426" s="31" t="str">
        <f>IF(Table57[[#This Row],[Work_Hours]]=0,"",(IF(Table57[[#This Row],[Out]]&lt;$C$3,$C$3-Table57[[#This Row],[Out]],"")))</f>
        <v/>
      </c>
      <c r="K426" s="32" t="str">
        <f>IFERROR(Table57[[#This Row],[In]]+$C$1,"")</f>
        <v/>
      </c>
      <c r="L426" s="29"/>
      <c r="M426" s="31" t="str">
        <f>IF($C$2&gt;Table57[[#This Row],[In]],$C$2-Table57[[#This Row],[In]],"")</f>
        <v/>
      </c>
      <c r="N426" s="29" t="str">
        <f>IFERROR(IF(Table57[[#This Row],[Out]]&gt;$C$3,(Table57[[#This Row],[Out]])-($C$3),""),"")</f>
        <v/>
      </c>
    </row>
    <row r="427" spans="1:14" hidden="1" x14ac:dyDescent="0.25">
      <c r="A427" s="23" t="str">
        <f>Table57[[#This Row],[No.]]&amp;Table57[[#This Row],[Date]]</f>
        <v>00</v>
      </c>
      <c r="B427" s="22">
        <f>'Unique Dates'!A424</f>
        <v>0</v>
      </c>
      <c r="C427" s="22" t="e" cm="1">
        <f t="array" ref="C427">_xlfn.XLOOKUP(Table57[[#This Row],[No.]],Table2[[#All],[CODE]],Table2[[#All],[NAME]],,0,1)</f>
        <v>#N/A</v>
      </c>
      <c r="D427" s="6">
        <f>'Unique Dates'!B424</f>
        <v>0</v>
      </c>
      <c r="E427" t="str">
        <f>TEXT(Table57[[#This Row],[Date]],"dddd")</f>
        <v>Saturday</v>
      </c>
      <c r="F427" s="25" t="str" cm="1">
        <f t="array" ref="F427">IFERROR(_xlfn.XLOOKUP(Table57[[#This Row],[Code]],Table1[[#All],[Code]],Table1[[#All],[Time]],,0,1),"")</f>
        <v/>
      </c>
      <c r="G427" s="25" t="str" cm="1">
        <f t="array" ref="G427">IFERROR(_xlfn.XLOOKUP(Table57[[#This Row],[Code]],Table1[[#All],[Code]],Table1[[#All],[Time]],,0,-1),"")</f>
        <v/>
      </c>
      <c r="H427" s="23" t="str">
        <f>IFERROR(IF(Table57[[#This Row],[Out]]&gt;=Table57[[#This Row],[In]],Table57[[#This Row],[Out]]-Table57[[#This Row],[In]],(0.5+Table57[[#This Row],[Out]])-Table57[[#This Row],[In]]),"")</f>
        <v/>
      </c>
      <c r="I427" s="31" t="str">
        <f>IFERROR(IF(Table57[[#This Row],[In]]&gt;$C$2,Table57[[#This Row],[In]]-$C$2,""),"")</f>
        <v/>
      </c>
      <c r="J427" s="31" t="str">
        <f>IF(Table57[[#This Row],[Work_Hours]]=0,"",(IF(Table57[[#This Row],[Out]]&lt;$C$3,$C$3-Table57[[#This Row],[Out]],"")))</f>
        <v/>
      </c>
      <c r="K427" s="32" t="str">
        <f>IFERROR(Table57[[#This Row],[In]]+$C$1,"")</f>
        <v/>
      </c>
      <c r="L427" s="29"/>
      <c r="M427" s="31" t="str">
        <f>IF($C$2&gt;Table57[[#This Row],[In]],$C$2-Table57[[#This Row],[In]],"")</f>
        <v/>
      </c>
      <c r="N427" s="29" t="str">
        <f>IFERROR(IF(Table57[[#This Row],[Out]]&gt;$C$3,(Table57[[#This Row],[Out]])-($C$3),""),"")</f>
        <v/>
      </c>
    </row>
    <row r="428" spans="1:14" hidden="1" x14ac:dyDescent="0.25">
      <c r="A428" s="23" t="str">
        <f>Table57[[#This Row],[No.]]&amp;Table57[[#This Row],[Date]]</f>
        <v>00</v>
      </c>
      <c r="B428" s="22">
        <f>'Unique Dates'!A425</f>
        <v>0</v>
      </c>
      <c r="C428" s="22" t="e" cm="1">
        <f t="array" ref="C428">_xlfn.XLOOKUP(Table57[[#This Row],[No.]],Table2[[#All],[CODE]],Table2[[#All],[NAME]],,0,1)</f>
        <v>#N/A</v>
      </c>
      <c r="D428" s="6">
        <f>'Unique Dates'!B425</f>
        <v>0</v>
      </c>
      <c r="E428" t="str">
        <f>TEXT(Table57[[#This Row],[Date]],"dddd")</f>
        <v>Saturday</v>
      </c>
      <c r="F428" s="25" t="str" cm="1">
        <f t="array" ref="F428">IFERROR(_xlfn.XLOOKUP(Table57[[#This Row],[Code]],Table1[[#All],[Code]],Table1[[#All],[Time]],,0,1),"")</f>
        <v/>
      </c>
      <c r="G428" s="25" t="str" cm="1">
        <f t="array" ref="G428">IFERROR(_xlfn.XLOOKUP(Table57[[#This Row],[Code]],Table1[[#All],[Code]],Table1[[#All],[Time]],,0,-1),"")</f>
        <v/>
      </c>
      <c r="H428" s="23" t="str">
        <f>IFERROR(IF(Table57[[#This Row],[Out]]&gt;=Table57[[#This Row],[In]],Table57[[#This Row],[Out]]-Table57[[#This Row],[In]],(0.5+Table57[[#This Row],[Out]])-Table57[[#This Row],[In]]),"")</f>
        <v/>
      </c>
      <c r="I428" s="31" t="str">
        <f>IFERROR(IF(Table57[[#This Row],[In]]&gt;$C$2,Table57[[#This Row],[In]]-$C$2,""),"")</f>
        <v/>
      </c>
      <c r="J428" s="31" t="str">
        <f>IF(Table57[[#This Row],[Work_Hours]]=0,"",(IF(Table57[[#This Row],[Out]]&lt;$C$3,$C$3-Table57[[#This Row],[Out]],"")))</f>
        <v/>
      </c>
      <c r="K428" s="32" t="str">
        <f>IFERROR(Table57[[#This Row],[In]]+$C$1,"")</f>
        <v/>
      </c>
      <c r="L428" s="29"/>
      <c r="M428" s="31" t="str">
        <f>IF($C$2&gt;Table57[[#This Row],[In]],$C$2-Table57[[#This Row],[In]],"")</f>
        <v/>
      </c>
      <c r="N428" s="29" t="str">
        <f>IFERROR(IF(Table57[[#This Row],[Out]]&gt;$C$3,(Table57[[#This Row],[Out]])-($C$3),""),"")</f>
        <v/>
      </c>
    </row>
    <row r="429" spans="1:14" hidden="1" x14ac:dyDescent="0.25">
      <c r="A429" s="23" t="str">
        <f>Table57[[#This Row],[No.]]&amp;Table57[[#This Row],[Date]]</f>
        <v>00</v>
      </c>
      <c r="B429" s="22">
        <f>'Unique Dates'!A426</f>
        <v>0</v>
      </c>
      <c r="C429" s="22" t="e" cm="1">
        <f t="array" ref="C429">_xlfn.XLOOKUP(Table57[[#This Row],[No.]],Table2[[#All],[CODE]],Table2[[#All],[NAME]],,0,1)</f>
        <v>#N/A</v>
      </c>
      <c r="D429" s="6">
        <f>'Unique Dates'!B426</f>
        <v>0</v>
      </c>
      <c r="E429" t="str">
        <f>TEXT(Table57[[#This Row],[Date]],"dddd")</f>
        <v>Saturday</v>
      </c>
      <c r="F429" s="25" t="str" cm="1">
        <f t="array" ref="F429">IFERROR(_xlfn.XLOOKUP(Table57[[#This Row],[Code]],Table1[[#All],[Code]],Table1[[#All],[Time]],,0,1),"")</f>
        <v/>
      </c>
      <c r="G429" s="25" t="str" cm="1">
        <f t="array" ref="G429">IFERROR(_xlfn.XLOOKUP(Table57[[#This Row],[Code]],Table1[[#All],[Code]],Table1[[#All],[Time]],,0,-1),"")</f>
        <v/>
      </c>
      <c r="H429" s="23" t="str">
        <f>IFERROR(IF(Table57[[#This Row],[Out]]&gt;=Table57[[#This Row],[In]],Table57[[#This Row],[Out]]-Table57[[#This Row],[In]],(0.5+Table57[[#This Row],[Out]])-Table57[[#This Row],[In]]),"")</f>
        <v/>
      </c>
      <c r="I429" s="31" t="str">
        <f>IFERROR(IF(Table57[[#This Row],[In]]&gt;$C$2,Table57[[#This Row],[In]]-$C$2,""),"")</f>
        <v/>
      </c>
      <c r="J429" s="31" t="str">
        <f>IF(Table57[[#This Row],[Work_Hours]]=0,"",(IF(Table57[[#This Row],[Out]]&lt;$C$3,$C$3-Table57[[#This Row],[Out]],"")))</f>
        <v/>
      </c>
      <c r="K429" s="32" t="str">
        <f>IFERROR(Table57[[#This Row],[In]]+$C$1,"")</f>
        <v/>
      </c>
      <c r="L429" s="29"/>
      <c r="M429" s="31" t="str">
        <f>IF($C$2&gt;Table57[[#This Row],[In]],$C$2-Table57[[#This Row],[In]],"")</f>
        <v/>
      </c>
      <c r="N429" s="29" t="str">
        <f>IFERROR(IF(Table57[[#This Row],[Out]]&gt;$C$3,(Table57[[#This Row],[Out]])-($C$3),""),"")</f>
        <v/>
      </c>
    </row>
    <row r="430" spans="1:14" hidden="1" x14ac:dyDescent="0.25">
      <c r="A430" s="23" t="str">
        <f>Table57[[#This Row],[No.]]&amp;Table57[[#This Row],[Date]]</f>
        <v>00</v>
      </c>
      <c r="B430" s="22">
        <f>'Unique Dates'!A427</f>
        <v>0</v>
      </c>
      <c r="C430" s="22" t="e" cm="1">
        <f t="array" ref="C430">_xlfn.XLOOKUP(Table57[[#This Row],[No.]],Table2[[#All],[CODE]],Table2[[#All],[NAME]],,0,1)</f>
        <v>#N/A</v>
      </c>
      <c r="D430" s="6">
        <f>'Unique Dates'!B427</f>
        <v>0</v>
      </c>
      <c r="E430" t="str">
        <f>TEXT(Table57[[#This Row],[Date]],"dddd")</f>
        <v>Saturday</v>
      </c>
      <c r="F430" s="25" t="str" cm="1">
        <f t="array" ref="F430">IFERROR(_xlfn.XLOOKUP(Table57[[#This Row],[Code]],Table1[[#All],[Code]],Table1[[#All],[Time]],,0,1),"")</f>
        <v/>
      </c>
      <c r="G430" s="25" t="str" cm="1">
        <f t="array" ref="G430">IFERROR(_xlfn.XLOOKUP(Table57[[#This Row],[Code]],Table1[[#All],[Code]],Table1[[#All],[Time]],,0,-1),"")</f>
        <v/>
      </c>
      <c r="H430" s="23" t="str">
        <f>IFERROR(IF(Table57[[#This Row],[Out]]&gt;=Table57[[#This Row],[In]],Table57[[#This Row],[Out]]-Table57[[#This Row],[In]],(0.5+Table57[[#This Row],[Out]])-Table57[[#This Row],[In]]),"")</f>
        <v/>
      </c>
      <c r="I430" s="31" t="str">
        <f>IFERROR(IF(Table57[[#This Row],[In]]&gt;$C$2,Table57[[#This Row],[In]]-$C$2,""),"")</f>
        <v/>
      </c>
      <c r="J430" s="31" t="str">
        <f>IF(Table57[[#This Row],[Work_Hours]]=0,"",(IF(Table57[[#This Row],[Out]]&lt;$C$3,$C$3-Table57[[#This Row],[Out]],"")))</f>
        <v/>
      </c>
      <c r="K430" s="32" t="str">
        <f>IFERROR(Table57[[#This Row],[In]]+$C$1,"")</f>
        <v/>
      </c>
      <c r="L430" s="29"/>
      <c r="M430" s="31" t="str">
        <f>IF($C$2&gt;Table57[[#This Row],[In]],$C$2-Table57[[#This Row],[In]],"")</f>
        <v/>
      </c>
      <c r="N430" s="29" t="str">
        <f>IFERROR(IF(Table57[[#This Row],[Out]]&gt;$C$3,(Table57[[#This Row],[Out]])-($C$3),""),"")</f>
        <v/>
      </c>
    </row>
    <row r="431" spans="1:14" hidden="1" x14ac:dyDescent="0.25">
      <c r="A431" s="23" t="str">
        <f>Table57[[#This Row],[No.]]&amp;Table57[[#This Row],[Date]]</f>
        <v>00</v>
      </c>
      <c r="B431" s="22">
        <f>'Unique Dates'!A428</f>
        <v>0</v>
      </c>
      <c r="C431" s="22" t="e" cm="1">
        <f t="array" ref="C431">_xlfn.XLOOKUP(Table57[[#This Row],[No.]],Table2[[#All],[CODE]],Table2[[#All],[NAME]],,0,1)</f>
        <v>#N/A</v>
      </c>
      <c r="D431" s="6">
        <f>'Unique Dates'!B428</f>
        <v>0</v>
      </c>
      <c r="E431" t="str">
        <f>TEXT(Table57[[#This Row],[Date]],"dddd")</f>
        <v>Saturday</v>
      </c>
      <c r="F431" s="25" t="str" cm="1">
        <f t="array" ref="F431">IFERROR(_xlfn.XLOOKUP(Table57[[#This Row],[Code]],Table1[[#All],[Code]],Table1[[#All],[Time]],,0,1),"")</f>
        <v/>
      </c>
      <c r="G431" s="25" t="str" cm="1">
        <f t="array" ref="G431">IFERROR(_xlfn.XLOOKUP(Table57[[#This Row],[Code]],Table1[[#All],[Code]],Table1[[#All],[Time]],,0,-1),"")</f>
        <v/>
      </c>
      <c r="H431" s="23" t="str">
        <f>IFERROR(IF(Table57[[#This Row],[Out]]&gt;=Table57[[#This Row],[In]],Table57[[#This Row],[Out]]-Table57[[#This Row],[In]],(0.5+Table57[[#This Row],[Out]])-Table57[[#This Row],[In]]),"")</f>
        <v/>
      </c>
      <c r="I431" s="31" t="str">
        <f>IFERROR(IF(Table57[[#This Row],[In]]&gt;$C$2,Table57[[#This Row],[In]]-$C$2,""),"")</f>
        <v/>
      </c>
      <c r="J431" s="31" t="str">
        <f>IF(Table57[[#This Row],[Work_Hours]]=0,"",(IF(Table57[[#This Row],[Out]]&lt;$C$3,$C$3-Table57[[#This Row],[Out]],"")))</f>
        <v/>
      </c>
      <c r="K431" s="32" t="str">
        <f>IFERROR(Table57[[#This Row],[In]]+$C$1,"")</f>
        <v/>
      </c>
      <c r="L431" s="29"/>
      <c r="M431" s="31" t="str">
        <f>IF($C$2&gt;Table57[[#This Row],[In]],$C$2-Table57[[#This Row],[In]],"")</f>
        <v/>
      </c>
      <c r="N431" s="29" t="str">
        <f>IFERROR(IF(Table57[[#This Row],[Out]]&gt;$C$3,(Table57[[#This Row],[Out]])-($C$3),""),"")</f>
        <v/>
      </c>
    </row>
    <row r="432" spans="1:14" hidden="1" x14ac:dyDescent="0.25">
      <c r="A432" s="23" t="str">
        <f>Table57[[#This Row],[No.]]&amp;Table57[[#This Row],[Date]]</f>
        <v>00</v>
      </c>
      <c r="B432" s="22">
        <f>'Unique Dates'!A429</f>
        <v>0</v>
      </c>
      <c r="C432" s="22" t="e" cm="1">
        <f t="array" ref="C432">_xlfn.XLOOKUP(Table57[[#This Row],[No.]],Table2[[#All],[CODE]],Table2[[#All],[NAME]],,0,1)</f>
        <v>#N/A</v>
      </c>
      <c r="D432" s="6">
        <f>'Unique Dates'!B429</f>
        <v>0</v>
      </c>
      <c r="E432" t="str">
        <f>TEXT(Table57[[#This Row],[Date]],"dddd")</f>
        <v>Saturday</v>
      </c>
      <c r="F432" s="25" t="str" cm="1">
        <f t="array" ref="F432">IFERROR(_xlfn.XLOOKUP(Table57[[#This Row],[Code]],Table1[[#All],[Code]],Table1[[#All],[Time]],,0,1),"")</f>
        <v/>
      </c>
      <c r="G432" s="25" t="str" cm="1">
        <f t="array" ref="G432">IFERROR(_xlfn.XLOOKUP(Table57[[#This Row],[Code]],Table1[[#All],[Code]],Table1[[#All],[Time]],,0,-1),"")</f>
        <v/>
      </c>
      <c r="H432" s="23" t="str">
        <f>IFERROR(IF(Table57[[#This Row],[Out]]&gt;=Table57[[#This Row],[In]],Table57[[#This Row],[Out]]-Table57[[#This Row],[In]],(0.5+Table57[[#This Row],[Out]])-Table57[[#This Row],[In]]),"")</f>
        <v/>
      </c>
      <c r="I432" s="31" t="str">
        <f>IFERROR(IF(Table57[[#This Row],[In]]&gt;$C$2,Table57[[#This Row],[In]]-$C$2,""),"")</f>
        <v/>
      </c>
      <c r="J432" s="31" t="str">
        <f>IF(Table57[[#This Row],[Work_Hours]]=0,"",(IF(Table57[[#This Row],[Out]]&lt;$C$3,$C$3-Table57[[#This Row],[Out]],"")))</f>
        <v/>
      </c>
      <c r="K432" s="32" t="str">
        <f>IFERROR(Table57[[#This Row],[In]]+$C$1,"")</f>
        <v/>
      </c>
      <c r="L432" s="29"/>
      <c r="M432" s="31" t="str">
        <f>IF($C$2&gt;Table57[[#This Row],[In]],$C$2-Table57[[#This Row],[In]],"")</f>
        <v/>
      </c>
      <c r="N432" s="29" t="str">
        <f>IFERROR(IF(Table57[[#This Row],[Out]]&gt;$C$3,(Table57[[#This Row],[Out]])-($C$3),""),"")</f>
        <v/>
      </c>
    </row>
    <row r="433" spans="1:14" hidden="1" x14ac:dyDescent="0.25">
      <c r="A433" s="23" t="str">
        <f>Table57[[#This Row],[No.]]&amp;Table57[[#This Row],[Date]]</f>
        <v>00</v>
      </c>
      <c r="B433" s="22">
        <f>'Unique Dates'!A430</f>
        <v>0</v>
      </c>
      <c r="C433" s="22" t="e" cm="1">
        <f t="array" ref="C433">_xlfn.XLOOKUP(Table57[[#This Row],[No.]],Table2[[#All],[CODE]],Table2[[#All],[NAME]],,0,1)</f>
        <v>#N/A</v>
      </c>
      <c r="D433" s="6">
        <f>'Unique Dates'!B430</f>
        <v>0</v>
      </c>
      <c r="E433" t="str">
        <f>TEXT(Table57[[#This Row],[Date]],"dddd")</f>
        <v>Saturday</v>
      </c>
      <c r="F433" s="25" t="str" cm="1">
        <f t="array" ref="F433">IFERROR(_xlfn.XLOOKUP(Table57[[#This Row],[Code]],Table1[[#All],[Code]],Table1[[#All],[Time]],,0,1),"")</f>
        <v/>
      </c>
      <c r="G433" s="25" t="str" cm="1">
        <f t="array" ref="G433">IFERROR(_xlfn.XLOOKUP(Table57[[#This Row],[Code]],Table1[[#All],[Code]],Table1[[#All],[Time]],,0,-1),"")</f>
        <v/>
      </c>
      <c r="H433" s="23" t="str">
        <f>IFERROR(IF(Table57[[#This Row],[Out]]&gt;=Table57[[#This Row],[In]],Table57[[#This Row],[Out]]-Table57[[#This Row],[In]],(0.5+Table57[[#This Row],[Out]])-Table57[[#This Row],[In]]),"")</f>
        <v/>
      </c>
      <c r="I433" s="31" t="str">
        <f>IFERROR(IF(Table57[[#This Row],[In]]&gt;$C$2,Table57[[#This Row],[In]]-$C$2,""),"")</f>
        <v/>
      </c>
      <c r="J433" s="31" t="str">
        <f>IF(Table57[[#This Row],[Work_Hours]]=0,"",(IF(Table57[[#This Row],[Out]]&lt;$C$3,$C$3-Table57[[#This Row],[Out]],"")))</f>
        <v/>
      </c>
      <c r="K433" s="32" t="str">
        <f>IFERROR(Table57[[#This Row],[In]]+$C$1,"")</f>
        <v/>
      </c>
      <c r="L433" s="29"/>
      <c r="M433" s="31" t="str">
        <f>IF($C$2&gt;Table57[[#This Row],[In]],$C$2-Table57[[#This Row],[In]],"")</f>
        <v/>
      </c>
      <c r="N433" s="29" t="str">
        <f>IFERROR(IF(Table57[[#This Row],[Out]]&gt;$C$3,(Table57[[#This Row],[Out]])-($C$3),""),"")</f>
        <v/>
      </c>
    </row>
    <row r="434" spans="1:14" hidden="1" x14ac:dyDescent="0.25">
      <c r="A434" s="23" t="str">
        <f>Table57[[#This Row],[No.]]&amp;Table57[[#This Row],[Date]]</f>
        <v>00</v>
      </c>
      <c r="B434" s="22">
        <f>'Unique Dates'!A431</f>
        <v>0</v>
      </c>
      <c r="C434" s="22" t="e" cm="1">
        <f t="array" ref="C434">_xlfn.XLOOKUP(Table57[[#This Row],[No.]],Table2[[#All],[CODE]],Table2[[#All],[NAME]],,0,1)</f>
        <v>#N/A</v>
      </c>
      <c r="D434" s="6">
        <f>'Unique Dates'!B431</f>
        <v>0</v>
      </c>
      <c r="E434" t="str">
        <f>TEXT(Table57[[#This Row],[Date]],"dddd")</f>
        <v>Saturday</v>
      </c>
      <c r="F434" s="25" t="str" cm="1">
        <f t="array" ref="F434">IFERROR(_xlfn.XLOOKUP(Table57[[#This Row],[Code]],Table1[[#All],[Code]],Table1[[#All],[Time]],,0,1),"")</f>
        <v/>
      </c>
      <c r="G434" s="25" t="str" cm="1">
        <f t="array" ref="G434">IFERROR(_xlfn.XLOOKUP(Table57[[#This Row],[Code]],Table1[[#All],[Code]],Table1[[#All],[Time]],,0,-1),"")</f>
        <v/>
      </c>
      <c r="H434" s="23" t="str">
        <f>IFERROR(IF(Table57[[#This Row],[Out]]&gt;=Table57[[#This Row],[In]],Table57[[#This Row],[Out]]-Table57[[#This Row],[In]],(0.5+Table57[[#This Row],[Out]])-Table57[[#This Row],[In]]),"")</f>
        <v/>
      </c>
      <c r="I434" s="31" t="str">
        <f>IFERROR(IF(Table57[[#This Row],[In]]&gt;$C$2,Table57[[#This Row],[In]]-$C$2,""),"")</f>
        <v/>
      </c>
      <c r="J434" s="31" t="str">
        <f>IF(Table57[[#This Row],[Work_Hours]]=0,"",(IF(Table57[[#This Row],[Out]]&lt;$C$3,$C$3-Table57[[#This Row],[Out]],"")))</f>
        <v/>
      </c>
      <c r="K434" s="32" t="str">
        <f>IFERROR(Table57[[#This Row],[In]]+$C$1,"")</f>
        <v/>
      </c>
      <c r="L434" s="29"/>
      <c r="M434" s="31" t="str">
        <f>IF($C$2&gt;Table57[[#This Row],[In]],$C$2-Table57[[#This Row],[In]],"")</f>
        <v/>
      </c>
      <c r="N434" s="29" t="str">
        <f>IFERROR(IF(Table57[[#This Row],[Out]]&gt;$C$3,(Table57[[#This Row],[Out]])-($C$3),""),"")</f>
        <v/>
      </c>
    </row>
    <row r="435" spans="1:14" hidden="1" x14ac:dyDescent="0.25">
      <c r="A435" s="23" t="str">
        <f>Table57[[#This Row],[No.]]&amp;Table57[[#This Row],[Date]]</f>
        <v>00</v>
      </c>
      <c r="B435" s="22">
        <f>'Unique Dates'!A432</f>
        <v>0</v>
      </c>
      <c r="C435" s="22" t="e" cm="1">
        <f t="array" ref="C435">_xlfn.XLOOKUP(Table57[[#This Row],[No.]],Table2[[#All],[CODE]],Table2[[#All],[NAME]],,0,1)</f>
        <v>#N/A</v>
      </c>
      <c r="D435" s="6">
        <f>'Unique Dates'!B432</f>
        <v>0</v>
      </c>
      <c r="E435" t="str">
        <f>TEXT(Table57[[#This Row],[Date]],"dddd")</f>
        <v>Saturday</v>
      </c>
      <c r="F435" s="25" t="str" cm="1">
        <f t="array" ref="F435">IFERROR(_xlfn.XLOOKUP(Table57[[#This Row],[Code]],Table1[[#All],[Code]],Table1[[#All],[Time]],,0,1),"")</f>
        <v/>
      </c>
      <c r="G435" s="25" t="str" cm="1">
        <f t="array" ref="G435">IFERROR(_xlfn.XLOOKUP(Table57[[#This Row],[Code]],Table1[[#All],[Code]],Table1[[#All],[Time]],,0,-1),"")</f>
        <v/>
      </c>
      <c r="H435" s="23" t="str">
        <f>IFERROR(IF(Table57[[#This Row],[Out]]&gt;=Table57[[#This Row],[In]],Table57[[#This Row],[Out]]-Table57[[#This Row],[In]],(0.5+Table57[[#This Row],[Out]])-Table57[[#This Row],[In]]),"")</f>
        <v/>
      </c>
      <c r="I435" s="31" t="str">
        <f>IFERROR(IF(Table57[[#This Row],[In]]&gt;$C$2,Table57[[#This Row],[In]]-$C$2,""),"")</f>
        <v/>
      </c>
      <c r="J435" s="31" t="str">
        <f>IF(Table57[[#This Row],[Work_Hours]]=0,"",(IF(Table57[[#This Row],[Out]]&lt;$C$3,$C$3-Table57[[#This Row],[Out]],"")))</f>
        <v/>
      </c>
      <c r="K435" s="32" t="str">
        <f>IFERROR(Table57[[#This Row],[In]]+$C$1,"")</f>
        <v/>
      </c>
      <c r="L435" s="29"/>
      <c r="M435" s="31" t="str">
        <f>IF($C$2&gt;Table57[[#This Row],[In]],$C$2-Table57[[#This Row],[In]],"")</f>
        <v/>
      </c>
      <c r="N435" s="29" t="str">
        <f>IFERROR(IF(Table57[[#This Row],[Out]]&gt;$C$3,(Table57[[#This Row],[Out]])-($C$3),""),"")</f>
        <v/>
      </c>
    </row>
    <row r="436" spans="1:14" hidden="1" x14ac:dyDescent="0.25">
      <c r="A436" s="23" t="str">
        <f>Table57[[#This Row],[No.]]&amp;Table57[[#This Row],[Date]]</f>
        <v>00</v>
      </c>
      <c r="B436" s="22">
        <f>'Unique Dates'!A433</f>
        <v>0</v>
      </c>
      <c r="C436" s="22" t="e" cm="1">
        <f t="array" ref="C436">_xlfn.XLOOKUP(Table57[[#This Row],[No.]],Table2[[#All],[CODE]],Table2[[#All],[NAME]],,0,1)</f>
        <v>#N/A</v>
      </c>
      <c r="D436" s="6">
        <f>'Unique Dates'!B433</f>
        <v>0</v>
      </c>
      <c r="E436" t="str">
        <f>TEXT(Table57[[#This Row],[Date]],"dddd")</f>
        <v>Saturday</v>
      </c>
      <c r="F436" s="25" t="str" cm="1">
        <f t="array" ref="F436">IFERROR(_xlfn.XLOOKUP(Table57[[#This Row],[Code]],Table1[[#All],[Code]],Table1[[#All],[Time]],,0,1),"")</f>
        <v/>
      </c>
      <c r="G436" s="25" t="str" cm="1">
        <f t="array" ref="G436">IFERROR(_xlfn.XLOOKUP(Table57[[#This Row],[Code]],Table1[[#All],[Code]],Table1[[#All],[Time]],,0,-1),"")</f>
        <v/>
      </c>
      <c r="H436" s="23" t="str">
        <f>IFERROR(IF(Table57[[#This Row],[Out]]&gt;=Table57[[#This Row],[In]],Table57[[#This Row],[Out]]-Table57[[#This Row],[In]],(0.5+Table57[[#This Row],[Out]])-Table57[[#This Row],[In]]),"")</f>
        <v/>
      </c>
      <c r="I436" s="31" t="str">
        <f>IFERROR(IF(Table57[[#This Row],[In]]&gt;$C$2,Table57[[#This Row],[In]]-$C$2,""),"")</f>
        <v/>
      </c>
      <c r="J436" s="31" t="str">
        <f>IF(Table57[[#This Row],[Work_Hours]]=0,"",(IF(Table57[[#This Row],[Out]]&lt;$C$3,$C$3-Table57[[#This Row],[Out]],"")))</f>
        <v/>
      </c>
      <c r="K436" s="32" t="str">
        <f>IFERROR(Table57[[#This Row],[In]]+$C$1,"")</f>
        <v/>
      </c>
      <c r="L436" s="29"/>
      <c r="M436" s="31" t="str">
        <f>IF($C$2&gt;Table57[[#This Row],[In]],$C$2-Table57[[#This Row],[In]],"")</f>
        <v/>
      </c>
      <c r="N436" s="29" t="str">
        <f>IFERROR(IF(Table57[[#This Row],[Out]]&gt;$C$3,(Table57[[#This Row],[Out]])-($C$3),""),"")</f>
        <v/>
      </c>
    </row>
    <row r="437" spans="1:14" hidden="1" x14ac:dyDescent="0.25">
      <c r="A437" s="23" t="str">
        <f>Table57[[#This Row],[No.]]&amp;Table57[[#This Row],[Date]]</f>
        <v>00</v>
      </c>
      <c r="B437" s="22">
        <f>'Unique Dates'!A434</f>
        <v>0</v>
      </c>
      <c r="C437" s="22" t="e" cm="1">
        <f t="array" ref="C437">_xlfn.XLOOKUP(Table57[[#This Row],[No.]],Table2[[#All],[CODE]],Table2[[#All],[NAME]],,0,1)</f>
        <v>#N/A</v>
      </c>
      <c r="D437" s="6">
        <f>'Unique Dates'!B434</f>
        <v>0</v>
      </c>
      <c r="E437" t="str">
        <f>TEXT(Table57[[#This Row],[Date]],"dddd")</f>
        <v>Saturday</v>
      </c>
      <c r="F437" s="25" t="str" cm="1">
        <f t="array" ref="F437">IFERROR(_xlfn.XLOOKUP(Table57[[#This Row],[Code]],Table1[[#All],[Code]],Table1[[#All],[Time]],,0,1),"")</f>
        <v/>
      </c>
      <c r="G437" s="25" t="str" cm="1">
        <f t="array" ref="G437">IFERROR(_xlfn.XLOOKUP(Table57[[#This Row],[Code]],Table1[[#All],[Code]],Table1[[#All],[Time]],,0,-1),"")</f>
        <v/>
      </c>
      <c r="H437" s="23" t="str">
        <f>IFERROR(IF(Table57[[#This Row],[Out]]&gt;=Table57[[#This Row],[In]],Table57[[#This Row],[Out]]-Table57[[#This Row],[In]],(0.5+Table57[[#This Row],[Out]])-Table57[[#This Row],[In]]),"")</f>
        <v/>
      </c>
      <c r="I437" s="31" t="str">
        <f>IFERROR(IF(Table57[[#This Row],[In]]&gt;$C$2,Table57[[#This Row],[In]]-$C$2,""),"")</f>
        <v/>
      </c>
      <c r="J437" s="31" t="str">
        <f>IF(Table57[[#This Row],[Work_Hours]]=0,"",(IF(Table57[[#This Row],[Out]]&lt;$C$3,$C$3-Table57[[#This Row],[Out]],"")))</f>
        <v/>
      </c>
      <c r="K437" s="32" t="str">
        <f>IFERROR(Table57[[#This Row],[In]]+$C$1,"")</f>
        <v/>
      </c>
      <c r="L437" s="29"/>
      <c r="M437" s="31" t="str">
        <f>IF($C$2&gt;Table57[[#This Row],[In]],$C$2-Table57[[#This Row],[In]],"")</f>
        <v/>
      </c>
      <c r="N437" s="29" t="str">
        <f>IFERROR(IF(Table57[[#This Row],[Out]]&gt;$C$3,(Table57[[#This Row],[Out]])-($C$3),""),"")</f>
        <v/>
      </c>
    </row>
    <row r="438" spans="1:14" hidden="1" x14ac:dyDescent="0.25">
      <c r="A438" s="23" t="str">
        <f>Table57[[#This Row],[No.]]&amp;Table57[[#This Row],[Date]]</f>
        <v>00</v>
      </c>
      <c r="B438" s="22">
        <f>'Unique Dates'!A435</f>
        <v>0</v>
      </c>
      <c r="C438" s="22" t="e" cm="1">
        <f t="array" ref="C438">_xlfn.XLOOKUP(Table57[[#This Row],[No.]],Table2[[#All],[CODE]],Table2[[#All],[NAME]],,0,1)</f>
        <v>#N/A</v>
      </c>
      <c r="D438" s="6">
        <f>'Unique Dates'!B435</f>
        <v>0</v>
      </c>
      <c r="E438" t="str">
        <f>TEXT(Table57[[#This Row],[Date]],"dddd")</f>
        <v>Saturday</v>
      </c>
      <c r="F438" s="25" t="str" cm="1">
        <f t="array" ref="F438">IFERROR(_xlfn.XLOOKUP(Table57[[#This Row],[Code]],Table1[[#All],[Code]],Table1[[#All],[Time]],,0,1),"")</f>
        <v/>
      </c>
      <c r="G438" s="25" t="str" cm="1">
        <f t="array" ref="G438">IFERROR(_xlfn.XLOOKUP(Table57[[#This Row],[Code]],Table1[[#All],[Code]],Table1[[#All],[Time]],,0,-1),"")</f>
        <v/>
      </c>
      <c r="H438" s="23" t="str">
        <f>IFERROR(IF(Table57[[#This Row],[Out]]&gt;=Table57[[#This Row],[In]],Table57[[#This Row],[Out]]-Table57[[#This Row],[In]],(0.5+Table57[[#This Row],[Out]])-Table57[[#This Row],[In]]),"")</f>
        <v/>
      </c>
      <c r="I438" s="31" t="str">
        <f>IFERROR(IF(Table57[[#This Row],[In]]&gt;$C$2,Table57[[#This Row],[In]]-$C$2,""),"")</f>
        <v/>
      </c>
      <c r="J438" s="31" t="str">
        <f>IF(Table57[[#This Row],[Work_Hours]]=0,"",(IF(Table57[[#This Row],[Out]]&lt;$C$3,$C$3-Table57[[#This Row],[Out]],"")))</f>
        <v/>
      </c>
      <c r="K438" s="32" t="str">
        <f>IFERROR(Table57[[#This Row],[In]]+$C$1,"")</f>
        <v/>
      </c>
      <c r="L438" s="29"/>
      <c r="M438" s="31" t="str">
        <f>IF($C$2&gt;Table57[[#This Row],[In]],$C$2-Table57[[#This Row],[In]],"")</f>
        <v/>
      </c>
      <c r="N438" s="29" t="str">
        <f>IFERROR(IF(Table57[[#This Row],[Out]]&gt;$C$3,(Table57[[#This Row],[Out]])-($C$3),""),"")</f>
        <v/>
      </c>
    </row>
    <row r="439" spans="1:14" hidden="1" x14ac:dyDescent="0.25">
      <c r="A439" s="23" t="str">
        <f>Table57[[#This Row],[No.]]&amp;Table57[[#This Row],[Date]]</f>
        <v>00</v>
      </c>
      <c r="B439" s="22">
        <f>'Unique Dates'!A436</f>
        <v>0</v>
      </c>
      <c r="C439" s="22" t="e" cm="1">
        <f t="array" ref="C439">_xlfn.XLOOKUP(Table57[[#This Row],[No.]],Table2[[#All],[CODE]],Table2[[#All],[NAME]],,0,1)</f>
        <v>#N/A</v>
      </c>
      <c r="D439" s="6">
        <f>'Unique Dates'!B436</f>
        <v>0</v>
      </c>
      <c r="E439" t="str">
        <f>TEXT(Table57[[#This Row],[Date]],"dddd")</f>
        <v>Saturday</v>
      </c>
      <c r="F439" s="25" t="str" cm="1">
        <f t="array" ref="F439">IFERROR(_xlfn.XLOOKUP(Table57[[#This Row],[Code]],Table1[[#All],[Code]],Table1[[#All],[Time]],,0,1),"")</f>
        <v/>
      </c>
      <c r="G439" s="25" t="str" cm="1">
        <f t="array" ref="G439">IFERROR(_xlfn.XLOOKUP(Table57[[#This Row],[Code]],Table1[[#All],[Code]],Table1[[#All],[Time]],,0,-1),"")</f>
        <v/>
      </c>
      <c r="H439" s="23" t="str">
        <f>IFERROR(IF(Table57[[#This Row],[Out]]&gt;=Table57[[#This Row],[In]],Table57[[#This Row],[Out]]-Table57[[#This Row],[In]],(0.5+Table57[[#This Row],[Out]])-Table57[[#This Row],[In]]),"")</f>
        <v/>
      </c>
      <c r="I439" s="31" t="str">
        <f>IFERROR(IF(Table57[[#This Row],[In]]&gt;$C$2,Table57[[#This Row],[In]]-$C$2,""),"")</f>
        <v/>
      </c>
      <c r="J439" s="31" t="str">
        <f>IF(Table57[[#This Row],[Work_Hours]]=0,"",(IF(Table57[[#This Row],[Out]]&lt;$C$3,$C$3-Table57[[#This Row],[Out]],"")))</f>
        <v/>
      </c>
      <c r="K439" s="32" t="str">
        <f>IFERROR(Table57[[#This Row],[In]]+$C$1,"")</f>
        <v/>
      </c>
      <c r="L439" s="29"/>
      <c r="M439" s="31" t="str">
        <f>IF($C$2&gt;Table57[[#This Row],[In]],$C$2-Table57[[#This Row],[In]],"")</f>
        <v/>
      </c>
      <c r="N439" s="29" t="str">
        <f>IFERROR(IF(Table57[[#This Row],[Out]]&gt;$C$3,(Table57[[#This Row],[Out]])-($C$3),""),"")</f>
        <v/>
      </c>
    </row>
    <row r="440" spans="1:14" hidden="1" x14ac:dyDescent="0.25">
      <c r="A440" s="23" t="str">
        <f>Table57[[#This Row],[No.]]&amp;Table57[[#This Row],[Date]]</f>
        <v>00</v>
      </c>
      <c r="B440" s="22">
        <f>'Unique Dates'!A437</f>
        <v>0</v>
      </c>
      <c r="C440" s="22" t="e" cm="1">
        <f t="array" ref="C440">_xlfn.XLOOKUP(Table57[[#This Row],[No.]],Table2[[#All],[CODE]],Table2[[#All],[NAME]],,0,1)</f>
        <v>#N/A</v>
      </c>
      <c r="D440" s="6">
        <f>'Unique Dates'!B437</f>
        <v>0</v>
      </c>
      <c r="E440" t="str">
        <f>TEXT(Table57[[#This Row],[Date]],"dddd")</f>
        <v>Saturday</v>
      </c>
      <c r="F440" s="25" t="str" cm="1">
        <f t="array" ref="F440">IFERROR(_xlfn.XLOOKUP(Table57[[#This Row],[Code]],Table1[[#All],[Code]],Table1[[#All],[Time]],,0,1),"")</f>
        <v/>
      </c>
      <c r="G440" s="25" t="str" cm="1">
        <f t="array" ref="G440">IFERROR(_xlfn.XLOOKUP(Table57[[#This Row],[Code]],Table1[[#All],[Code]],Table1[[#All],[Time]],,0,-1),"")</f>
        <v/>
      </c>
      <c r="H440" s="23" t="str">
        <f>IFERROR(IF(Table57[[#This Row],[Out]]&gt;=Table57[[#This Row],[In]],Table57[[#This Row],[Out]]-Table57[[#This Row],[In]],(0.5+Table57[[#This Row],[Out]])-Table57[[#This Row],[In]]),"")</f>
        <v/>
      </c>
      <c r="I440" s="31" t="str">
        <f>IFERROR(IF(Table57[[#This Row],[In]]&gt;$C$2,Table57[[#This Row],[In]]-$C$2,""),"")</f>
        <v/>
      </c>
      <c r="J440" s="31" t="str">
        <f>IF(Table57[[#This Row],[Work_Hours]]=0,"",(IF(Table57[[#This Row],[Out]]&lt;$C$3,$C$3-Table57[[#This Row],[Out]],"")))</f>
        <v/>
      </c>
      <c r="K440" s="32" t="str">
        <f>IFERROR(Table57[[#This Row],[In]]+$C$1,"")</f>
        <v/>
      </c>
      <c r="L440" s="29"/>
      <c r="M440" s="31" t="str">
        <f>IF($C$2&gt;Table57[[#This Row],[In]],$C$2-Table57[[#This Row],[In]],"")</f>
        <v/>
      </c>
      <c r="N440" s="29" t="str">
        <f>IFERROR(IF(Table57[[#This Row],[Out]]&gt;$C$3,(Table57[[#This Row],[Out]])-($C$3),""),"")</f>
        <v/>
      </c>
    </row>
    <row r="441" spans="1:14" hidden="1" x14ac:dyDescent="0.25">
      <c r="A441" s="23" t="str">
        <f>Table57[[#This Row],[No.]]&amp;Table57[[#This Row],[Date]]</f>
        <v>00</v>
      </c>
      <c r="B441" s="22">
        <f>'Unique Dates'!A438</f>
        <v>0</v>
      </c>
      <c r="C441" s="22" t="e" cm="1">
        <f t="array" ref="C441">_xlfn.XLOOKUP(Table57[[#This Row],[No.]],Table2[[#All],[CODE]],Table2[[#All],[NAME]],,0,1)</f>
        <v>#N/A</v>
      </c>
      <c r="D441" s="6">
        <f>'Unique Dates'!B438</f>
        <v>0</v>
      </c>
      <c r="E441" t="str">
        <f>TEXT(Table57[[#This Row],[Date]],"dddd")</f>
        <v>Saturday</v>
      </c>
      <c r="F441" s="25" t="str" cm="1">
        <f t="array" ref="F441">IFERROR(_xlfn.XLOOKUP(Table57[[#This Row],[Code]],Table1[[#All],[Code]],Table1[[#All],[Time]],,0,1),"")</f>
        <v/>
      </c>
      <c r="G441" s="25" t="str" cm="1">
        <f t="array" ref="G441">IFERROR(_xlfn.XLOOKUP(Table57[[#This Row],[Code]],Table1[[#All],[Code]],Table1[[#All],[Time]],,0,-1),"")</f>
        <v/>
      </c>
      <c r="H441" s="23" t="str">
        <f>IFERROR(IF(Table57[[#This Row],[Out]]&gt;=Table57[[#This Row],[In]],Table57[[#This Row],[Out]]-Table57[[#This Row],[In]],(0.5+Table57[[#This Row],[Out]])-Table57[[#This Row],[In]]),"")</f>
        <v/>
      </c>
      <c r="I441" s="31" t="str">
        <f>IFERROR(IF(Table57[[#This Row],[In]]&gt;$C$2,Table57[[#This Row],[In]]-$C$2,""),"")</f>
        <v/>
      </c>
      <c r="J441" s="31" t="str">
        <f>IF(Table57[[#This Row],[Work_Hours]]=0,"",(IF(Table57[[#This Row],[Out]]&lt;$C$3,$C$3-Table57[[#This Row],[Out]],"")))</f>
        <v/>
      </c>
      <c r="K441" s="32" t="str">
        <f>IFERROR(Table57[[#This Row],[In]]+$C$1,"")</f>
        <v/>
      </c>
      <c r="L441" s="29"/>
      <c r="M441" s="31" t="str">
        <f>IF($C$2&gt;Table57[[#This Row],[In]],$C$2-Table57[[#This Row],[In]],"")</f>
        <v/>
      </c>
      <c r="N441" s="29" t="str">
        <f>IFERROR(IF(Table57[[#This Row],[Out]]&gt;$C$3,(Table57[[#This Row],[Out]])-($C$3),""),"")</f>
        <v/>
      </c>
    </row>
    <row r="442" spans="1:14" hidden="1" x14ac:dyDescent="0.25">
      <c r="A442" s="23" t="str">
        <f>Table57[[#This Row],[No.]]&amp;Table57[[#This Row],[Date]]</f>
        <v>00</v>
      </c>
      <c r="B442" s="22">
        <f>'Unique Dates'!A439</f>
        <v>0</v>
      </c>
      <c r="C442" s="22" t="e" cm="1">
        <f t="array" ref="C442">_xlfn.XLOOKUP(Table57[[#This Row],[No.]],Table2[[#All],[CODE]],Table2[[#All],[NAME]],,0,1)</f>
        <v>#N/A</v>
      </c>
      <c r="D442" s="6">
        <f>'Unique Dates'!B439</f>
        <v>0</v>
      </c>
      <c r="E442" t="str">
        <f>TEXT(Table57[[#This Row],[Date]],"dddd")</f>
        <v>Saturday</v>
      </c>
      <c r="F442" s="25" t="str" cm="1">
        <f t="array" ref="F442">IFERROR(_xlfn.XLOOKUP(Table57[[#This Row],[Code]],Table1[[#All],[Code]],Table1[[#All],[Time]],,0,1),"")</f>
        <v/>
      </c>
      <c r="G442" s="25" t="str" cm="1">
        <f t="array" ref="G442">IFERROR(_xlfn.XLOOKUP(Table57[[#This Row],[Code]],Table1[[#All],[Code]],Table1[[#All],[Time]],,0,-1),"")</f>
        <v/>
      </c>
      <c r="H442" s="23" t="str">
        <f>IFERROR(IF(Table57[[#This Row],[Out]]&gt;=Table57[[#This Row],[In]],Table57[[#This Row],[Out]]-Table57[[#This Row],[In]],(0.5+Table57[[#This Row],[Out]])-Table57[[#This Row],[In]]),"")</f>
        <v/>
      </c>
      <c r="I442" s="31" t="str">
        <f>IFERROR(IF(Table57[[#This Row],[In]]&gt;$C$2,Table57[[#This Row],[In]]-$C$2,""),"")</f>
        <v/>
      </c>
      <c r="J442" s="31" t="str">
        <f>IF(Table57[[#This Row],[Work_Hours]]=0,"",(IF(Table57[[#This Row],[Out]]&lt;$C$3,$C$3-Table57[[#This Row],[Out]],"")))</f>
        <v/>
      </c>
      <c r="K442" s="32" t="str">
        <f>IFERROR(Table57[[#This Row],[In]]+$C$1,"")</f>
        <v/>
      </c>
      <c r="L442" s="29"/>
      <c r="M442" s="31" t="str">
        <f>IF($C$2&gt;Table57[[#This Row],[In]],$C$2-Table57[[#This Row],[In]],"")</f>
        <v/>
      </c>
      <c r="N442" s="29" t="str">
        <f>IFERROR(IF(Table57[[#This Row],[Out]]&gt;$C$3,(Table57[[#This Row],[Out]])-($C$3),""),"")</f>
        <v/>
      </c>
    </row>
    <row r="443" spans="1:14" hidden="1" x14ac:dyDescent="0.25">
      <c r="A443" s="23" t="str">
        <f>Table57[[#This Row],[No.]]&amp;Table57[[#This Row],[Date]]</f>
        <v>00</v>
      </c>
      <c r="B443" s="22">
        <f>'Unique Dates'!A440</f>
        <v>0</v>
      </c>
      <c r="C443" s="22" t="e" cm="1">
        <f t="array" ref="C443">_xlfn.XLOOKUP(Table57[[#This Row],[No.]],Table2[[#All],[CODE]],Table2[[#All],[NAME]],,0,1)</f>
        <v>#N/A</v>
      </c>
      <c r="D443" s="6">
        <f>'Unique Dates'!B440</f>
        <v>0</v>
      </c>
      <c r="E443" t="str">
        <f>TEXT(Table57[[#This Row],[Date]],"dddd")</f>
        <v>Saturday</v>
      </c>
      <c r="F443" s="25" t="str" cm="1">
        <f t="array" ref="F443">IFERROR(_xlfn.XLOOKUP(Table57[[#This Row],[Code]],Table1[[#All],[Code]],Table1[[#All],[Time]],,0,1),"")</f>
        <v/>
      </c>
      <c r="G443" s="25" t="str" cm="1">
        <f t="array" ref="G443">IFERROR(_xlfn.XLOOKUP(Table57[[#This Row],[Code]],Table1[[#All],[Code]],Table1[[#All],[Time]],,0,-1),"")</f>
        <v/>
      </c>
      <c r="H443" s="23" t="str">
        <f>IFERROR(IF(Table57[[#This Row],[Out]]&gt;=Table57[[#This Row],[In]],Table57[[#This Row],[Out]]-Table57[[#This Row],[In]],(0.5+Table57[[#This Row],[Out]])-Table57[[#This Row],[In]]),"")</f>
        <v/>
      </c>
      <c r="I443" s="31" t="str">
        <f>IFERROR(IF(Table57[[#This Row],[In]]&gt;$C$2,Table57[[#This Row],[In]]-$C$2,""),"")</f>
        <v/>
      </c>
      <c r="J443" s="31" t="str">
        <f>IF(Table57[[#This Row],[Work_Hours]]=0,"",(IF(Table57[[#This Row],[Out]]&lt;$C$3,$C$3-Table57[[#This Row],[Out]],"")))</f>
        <v/>
      </c>
      <c r="K443" s="32" t="str">
        <f>IFERROR(Table57[[#This Row],[In]]+$C$1,"")</f>
        <v/>
      </c>
      <c r="L443" s="29"/>
      <c r="M443" s="31" t="str">
        <f>IF($C$2&gt;Table57[[#This Row],[In]],$C$2-Table57[[#This Row],[In]],"")</f>
        <v/>
      </c>
      <c r="N443" s="29" t="str">
        <f>IFERROR(IF(Table57[[#This Row],[Out]]&gt;$C$3,(Table57[[#This Row],[Out]])-($C$3),""),"")</f>
        <v/>
      </c>
    </row>
    <row r="444" spans="1:14" hidden="1" x14ac:dyDescent="0.25">
      <c r="A444" s="23" t="str">
        <f>Table57[[#This Row],[No.]]&amp;Table57[[#This Row],[Date]]</f>
        <v>00</v>
      </c>
      <c r="B444" s="22">
        <f>'Unique Dates'!A441</f>
        <v>0</v>
      </c>
      <c r="C444" s="22" t="e" cm="1">
        <f t="array" ref="C444">_xlfn.XLOOKUP(Table57[[#This Row],[No.]],Table2[[#All],[CODE]],Table2[[#All],[NAME]],,0,1)</f>
        <v>#N/A</v>
      </c>
      <c r="D444" s="6">
        <f>'Unique Dates'!B441</f>
        <v>0</v>
      </c>
      <c r="E444" t="str">
        <f>TEXT(Table57[[#This Row],[Date]],"dddd")</f>
        <v>Saturday</v>
      </c>
      <c r="F444" s="25" t="str" cm="1">
        <f t="array" ref="F444">IFERROR(_xlfn.XLOOKUP(Table57[[#This Row],[Code]],Table1[[#All],[Code]],Table1[[#All],[Time]],,0,1),"")</f>
        <v/>
      </c>
      <c r="G444" s="25" t="str" cm="1">
        <f t="array" ref="G444">IFERROR(_xlfn.XLOOKUP(Table57[[#This Row],[Code]],Table1[[#All],[Code]],Table1[[#All],[Time]],,0,-1),"")</f>
        <v/>
      </c>
      <c r="H444" s="23" t="str">
        <f>IFERROR(IF(Table57[[#This Row],[Out]]&gt;=Table57[[#This Row],[In]],Table57[[#This Row],[Out]]-Table57[[#This Row],[In]],(0.5+Table57[[#This Row],[Out]])-Table57[[#This Row],[In]]),"")</f>
        <v/>
      </c>
      <c r="I444" s="31" t="str">
        <f>IFERROR(IF(Table57[[#This Row],[In]]&gt;$C$2,Table57[[#This Row],[In]]-$C$2,""),"")</f>
        <v/>
      </c>
      <c r="J444" s="31" t="str">
        <f>IF(Table57[[#This Row],[Work_Hours]]=0,"",(IF(Table57[[#This Row],[Out]]&lt;$C$3,$C$3-Table57[[#This Row],[Out]],"")))</f>
        <v/>
      </c>
      <c r="K444" s="32" t="str">
        <f>IFERROR(Table57[[#This Row],[In]]+$C$1,"")</f>
        <v/>
      </c>
      <c r="L444" s="29"/>
      <c r="M444" s="31" t="str">
        <f>IF($C$2&gt;Table57[[#This Row],[In]],$C$2-Table57[[#This Row],[In]],"")</f>
        <v/>
      </c>
      <c r="N444" s="29" t="str">
        <f>IFERROR(IF(Table57[[#This Row],[Out]]&gt;$C$3,(Table57[[#This Row],[Out]])-($C$3),""),"")</f>
        <v/>
      </c>
    </row>
    <row r="445" spans="1:14" hidden="1" x14ac:dyDescent="0.25">
      <c r="A445" s="23" t="str">
        <f>Table57[[#This Row],[No.]]&amp;Table57[[#This Row],[Date]]</f>
        <v>00</v>
      </c>
      <c r="B445" s="22">
        <f>'Unique Dates'!A442</f>
        <v>0</v>
      </c>
      <c r="C445" s="22" t="e" cm="1">
        <f t="array" ref="C445">_xlfn.XLOOKUP(Table57[[#This Row],[No.]],Table2[[#All],[CODE]],Table2[[#All],[NAME]],,0,1)</f>
        <v>#N/A</v>
      </c>
      <c r="D445" s="6">
        <f>'Unique Dates'!B442</f>
        <v>0</v>
      </c>
      <c r="E445" t="str">
        <f>TEXT(Table57[[#This Row],[Date]],"dddd")</f>
        <v>Saturday</v>
      </c>
      <c r="F445" s="25" t="str" cm="1">
        <f t="array" ref="F445">IFERROR(_xlfn.XLOOKUP(Table57[[#This Row],[Code]],Table1[[#All],[Code]],Table1[[#All],[Time]],,0,1),"")</f>
        <v/>
      </c>
      <c r="G445" s="25" t="str" cm="1">
        <f t="array" ref="G445">IFERROR(_xlfn.XLOOKUP(Table57[[#This Row],[Code]],Table1[[#All],[Code]],Table1[[#All],[Time]],,0,-1),"")</f>
        <v/>
      </c>
      <c r="H445" s="23" t="str">
        <f>IFERROR(IF(Table57[[#This Row],[Out]]&gt;=Table57[[#This Row],[In]],Table57[[#This Row],[Out]]-Table57[[#This Row],[In]],(0.5+Table57[[#This Row],[Out]])-Table57[[#This Row],[In]]),"")</f>
        <v/>
      </c>
      <c r="I445" s="31" t="str">
        <f>IFERROR(IF(Table57[[#This Row],[In]]&gt;$C$2,Table57[[#This Row],[In]]-$C$2,""),"")</f>
        <v/>
      </c>
      <c r="J445" s="31" t="str">
        <f>IF(Table57[[#This Row],[Work_Hours]]=0,"",(IF(Table57[[#This Row],[Out]]&lt;$C$3,$C$3-Table57[[#This Row],[Out]],"")))</f>
        <v/>
      </c>
      <c r="K445" s="32" t="str">
        <f>IFERROR(Table57[[#This Row],[In]]+$C$1,"")</f>
        <v/>
      </c>
      <c r="L445" s="29"/>
      <c r="M445" s="31" t="str">
        <f>IF($C$2&gt;Table57[[#This Row],[In]],$C$2-Table57[[#This Row],[In]],"")</f>
        <v/>
      </c>
      <c r="N445" s="29" t="str">
        <f>IFERROR(IF(Table57[[#This Row],[Out]]&gt;$C$3,(Table57[[#This Row],[Out]])-($C$3),""),"")</f>
        <v/>
      </c>
    </row>
    <row r="446" spans="1:14" hidden="1" x14ac:dyDescent="0.25">
      <c r="A446" s="23" t="str">
        <f>Table57[[#This Row],[No.]]&amp;Table57[[#This Row],[Date]]</f>
        <v>00</v>
      </c>
      <c r="B446" s="22">
        <f>'Unique Dates'!A443</f>
        <v>0</v>
      </c>
      <c r="C446" s="22" t="e" cm="1">
        <f t="array" ref="C446">_xlfn.XLOOKUP(Table57[[#This Row],[No.]],Table2[[#All],[CODE]],Table2[[#All],[NAME]],,0,1)</f>
        <v>#N/A</v>
      </c>
      <c r="D446" s="6">
        <f>'Unique Dates'!B443</f>
        <v>0</v>
      </c>
      <c r="E446" t="str">
        <f>TEXT(Table57[[#This Row],[Date]],"dddd")</f>
        <v>Saturday</v>
      </c>
      <c r="F446" s="25" t="str" cm="1">
        <f t="array" ref="F446">IFERROR(_xlfn.XLOOKUP(Table57[[#This Row],[Code]],Table1[[#All],[Code]],Table1[[#All],[Time]],,0,1),"")</f>
        <v/>
      </c>
      <c r="G446" s="25" t="str" cm="1">
        <f t="array" ref="G446">IFERROR(_xlfn.XLOOKUP(Table57[[#This Row],[Code]],Table1[[#All],[Code]],Table1[[#All],[Time]],,0,-1),"")</f>
        <v/>
      </c>
      <c r="H446" s="23" t="str">
        <f>IFERROR(IF(Table57[[#This Row],[Out]]&gt;=Table57[[#This Row],[In]],Table57[[#This Row],[Out]]-Table57[[#This Row],[In]],(0.5+Table57[[#This Row],[Out]])-Table57[[#This Row],[In]]),"")</f>
        <v/>
      </c>
      <c r="I446" s="31" t="str">
        <f>IFERROR(IF(Table57[[#This Row],[In]]&gt;$C$2,Table57[[#This Row],[In]]-$C$2,""),"")</f>
        <v/>
      </c>
      <c r="J446" s="31" t="str">
        <f>IF(Table57[[#This Row],[Work_Hours]]=0,"",(IF(Table57[[#This Row],[Out]]&lt;$C$3,$C$3-Table57[[#This Row],[Out]],"")))</f>
        <v/>
      </c>
      <c r="K446" s="32" t="str">
        <f>IFERROR(Table57[[#This Row],[In]]+$C$1,"")</f>
        <v/>
      </c>
      <c r="L446" s="29"/>
      <c r="M446" s="31" t="str">
        <f>IF($C$2&gt;Table57[[#This Row],[In]],$C$2-Table57[[#This Row],[In]],"")</f>
        <v/>
      </c>
      <c r="N446" s="29" t="str">
        <f>IFERROR(IF(Table57[[#This Row],[Out]]&gt;$C$3,(Table57[[#This Row],[Out]])-($C$3),""),"")</f>
        <v/>
      </c>
    </row>
    <row r="447" spans="1:14" hidden="1" x14ac:dyDescent="0.25">
      <c r="A447" s="23" t="str">
        <f>Table57[[#This Row],[No.]]&amp;Table57[[#This Row],[Date]]</f>
        <v>00</v>
      </c>
      <c r="B447" s="22">
        <f>'Unique Dates'!A444</f>
        <v>0</v>
      </c>
      <c r="C447" s="22" t="e" cm="1">
        <f t="array" ref="C447">_xlfn.XLOOKUP(Table57[[#This Row],[No.]],Table2[[#All],[CODE]],Table2[[#All],[NAME]],,0,1)</f>
        <v>#N/A</v>
      </c>
      <c r="D447" s="6">
        <f>'Unique Dates'!B444</f>
        <v>0</v>
      </c>
      <c r="E447" t="str">
        <f>TEXT(Table57[[#This Row],[Date]],"dddd")</f>
        <v>Saturday</v>
      </c>
      <c r="F447" s="25" t="str" cm="1">
        <f t="array" ref="F447">IFERROR(_xlfn.XLOOKUP(Table57[[#This Row],[Code]],Table1[[#All],[Code]],Table1[[#All],[Time]],,0,1),"")</f>
        <v/>
      </c>
      <c r="G447" s="25" t="str" cm="1">
        <f t="array" ref="G447">IFERROR(_xlfn.XLOOKUP(Table57[[#This Row],[Code]],Table1[[#All],[Code]],Table1[[#All],[Time]],,0,-1),"")</f>
        <v/>
      </c>
      <c r="H447" s="23" t="str">
        <f>IFERROR(IF(Table57[[#This Row],[Out]]&gt;=Table57[[#This Row],[In]],Table57[[#This Row],[Out]]-Table57[[#This Row],[In]],(0.5+Table57[[#This Row],[Out]])-Table57[[#This Row],[In]]),"")</f>
        <v/>
      </c>
      <c r="I447" s="31" t="str">
        <f>IFERROR(IF(Table57[[#This Row],[In]]&gt;$C$2,Table57[[#This Row],[In]]-$C$2,""),"")</f>
        <v/>
      </c>
      <c r="J447" s="31" t="str">
        <f>IF(Table57[[#This Row],[Work_Hours]]=0,"",(IF(Table57[[#This Row],[Out]]&lt;$C$3,$C$3-Table57[[#This Row],[Out]],"")))</f>
        <v/>
      </c>
      <c r="K447" s="32" t="str">
        <f>IFERROR(Table57[[#This Row],[In]]+$C$1,"")</f>
        <v/>
      </c>
      <c r="L447" s="29"/>
      <c r="M447" s="31" t="str">
        <f>IF($C$2&gt;Table57[[#This Row],[In]],$C$2-Table57[[#This Row],[In]],"")</f>
        <v/>
      </c>
      <c r="N447" s="29" t="str">
        <f>IFERROR(IF(Table57[[#This Row],[Out]]&gt;$C$3,(Table57[[#This Row],[Out]])-($C$3),""),"")</f>
        <v/>
      </c>
    </row>
    <row r="448" spans="1:14" hidden="1" x14ac:dyDescent="0.25">
      <c r="A448" s="23" t="str">
        <f>Table57[[#This Row],[No.]]&amp;Table57[[#This Row],[Date]]</f>
        <v>00</v>
      </c>
      <c r="B448" s="22">
        <f>'Unique Dates'!A445</f>
        <v>0</v>
      </c>
      <c r="C448" s="22" t="e" cm="1">
        <f t="array" ref="C448">_xlfn.XLOOKUP(Table57[[#This Row],[No.]],Table2[[#All],[CODE]],Table2[[#All],[NAME]],,0,1)</f>
        <v>#N/A</v>
      </c>
      <c r="D448" s="6">
        <f>'Unique Dates'!B445</f>
        <v>0</v>
      </c>
      <c r="E448" t="str">
        <f>TEXT(Table57[[#This Row],[Date]],"dddd")</f>
        <v>Saturday</v>
      </c>
      <c r="F448" s="25" t="str" cm="1">
        <f t="array" ref="F448">IFERROR(_xlfn.XLOOKUP(Table57[[#This Row],[Code]],Table1[[#All],[Code]],Table1[[#All],[Time]],,0,1),"")</f>
        <v/>
      </c>
      <c r="G448" s="25" t="str" cm="1">
        <f t="array" ref="G448">IFERROR(_xlfn.XLOOKUP(Table57[[#This Row],[Code]],Table1[[#All],[Code]],Table1[[#All],[Time]],,0,-1),"")</f>
        <v/>
      </c>
      <c r="H448" s="23" t="str">
        <f>IFERROR(IF(Table57[[#This Row],[Out]]&gt;=Table57[[#This Row],[In]],Table57[[#This Row],[Out]]-Table57[[#This Row],[In]],(0.5+Table57[[#This Row],[Out]])-Table57[[#This Row],[In]]),"")</f>
        <v/>
      </c>
      <c r="I448" s="31" t="str">
        <f>IFERROR(IF(Table57[[#This Row],[In]]&gt;$C$2,Table57[[#This Row],[In]]-$C$2,""),"")</f>
        <v/>
      </c>
      <c r="J448" s="31" t="str">
        <f>IF(Table57[[#This Row],[Work_Hours]]=0,"",(IF(Table57[[#This Row],[Out]]&lt;$C$3,$C$3-Table57[[#This Row],[Out]],"")))</f>
        <v/>
      </c>
      <c r="K448" s="32" t="str">
        <f>IFERROR(Table57[[#This Row],[In]]+$C$1,"")</f>
        <v/>
      </c>
      <c r="L448" s="29"/>
      <c r="M448" s="31" t="str">
        <f>IF($C$2&gt;Table57[[#This Row],[In]],$C$2-Table57[[#This Row],[In]],"")</f>
        <v/>
      </c>
      <c r="N448" s="29" t="str">
        <f>IFERROR(IF(Table57[[#This Row],[Out]]&gt;$C$3,(Table57[[#This Row],[Out]])-($C$3),""),"")</f>
        <v/>
      </c>
    </row>
    <row r="449" spans="1:14" hidden="1" x14ac:dyDescent="0.25">
      <c r="A449" s="23" t="str">
        <f>Table57[[#This Row],[No.]]&amp;Table57[[#This Row],[Date]]</f>
        <v>00</v>
      </c>
      <c r="B449" s="22">
        <f>'Unique Dates'!A446</f>
        <v>0</v>
      </c>
      <c r="C449" s="22" t="e" cm="1">
        <f t="array" ref="C449">_xlfn.XLOOKUP(Table57[[#This Row],[No.]],Table2[[#All],[CODE]],Table2[[#All],[NAME]],,0,1)</f>
        <v>#N/A</v>
      </c>
      <c r="D449" s="6">
        <f>'Unique Dates'!B446</f>
        <v>0</v>
      </c>
      <c r="E449" t="str">
        <f>TEXT(Table57[[#This Row],[Date]],"dddd")</f>
        <v>Saturday</v>
      </c>
      <c r="F449" s="25" t="str" cm="1">
        <f t="array" ref="F449">IFERROR(_xlfn.XLOOKUP(Table57[[#This Row],[Code]],Table1[[#All],[Code]],Table1[[#All],[Time]],,0,1),"")</f>
        <v/>
      </c>
      <c r="G449" s="25" t="str" cm="1">
        <f t="array" ref="G449">IFERROR(_xlfn.XLOOKUP(Table57[[#This Row],[Code]],Table1[[#All],[Code]],Table1[[#All],[Time]],,0,-1),"")</f>
        <v/>
      </c>
      <c r="H449" s="23" t="str">
        <f>IFERROR(IF(Table57[[#This Row],[Out]]&gt;=Table57[[#This Row],[In]],Table57[[#This Row],[Out]]-Table57[[#This Row],[In]],(0.5+Table57[[#This Row],[Out]])-Table57[[#This Row],[In]]),"")</f>
        <v/>
      </c>
      <c r="I449" s="31" t="str">
        <f>IFERROR(IF(Table57[[#This Row],[In]]&gt;$C$2,Table57[[#This Row],[In]]-$C$2,""),"")</f>
        <v/>
      </c>
      <c r="J449" s="31" t="str">
        <f>IF(Table57[[#This Row],[Work_Hours]]=0,"",(IF(Table57[[#This Row],[Out]]&lt;$C$3,$C$3-Table57[[#This Row],[Out]],"")))</f>
        <v/>
      </c>
      <c r="K449" s="32" t="str">
        <f>IFERROR(Table57[[#This Row],[In]]+$C$1,"")</f>
        <v/>
      </c>
      <c r="L449" s="29"/>
      <c r="M449" s="31" t="str">
        <f>IF($C$2&gt;Table57[[#This Row],[In]],$C$2-Table57[[#This Row],[In]],"")</f>
        <v/>
      </c>
      <c r="N449" s="29" t="str">
        <f>IFERROR(IF(Table57[[#This Row],[Out]]&gt;$C$3,(Table57[[#This Row],[Out]])-($C$3),""),"")</f>
        <v/>
      </c>
    </row>
    <row r="450" spans="1:14" hidden="1" x14ac:dyDescent="0.25">
      <c r="A450" s="23" t="str">
        <f>Table57[[#This Row],[No.]]&amp;Table57[[#This Row],[Date]]</f>
        <v>00</v>
      </c>
      <c r="B450" s="22">
        <f>'Unique Dates'!A447</f>
        <v>0</v>
      </c>
      <c r="C450" s="22" t="e" cm="1">
        <f t="array" ref="C450">_xlfn.XLOOKUP(Table57[[#This Row],[No.]],Table2[[#All],[CODE]],Table2[[#All],[NAME]],,0,1)</f>
        <v>#N/A</v>
      </c>
      <c r="D450" s="6">
        <f>'Unique Dates'!B447</f>
        <v>0</v>
      </c>
      <c r="E450" t="str">
        <f>TEXT(Table57[[#This Row],[Date]],"dddd")</f>
        <v>Saturday</v>
      </c>
      <c r="F450" s="25" t="str" cm="1">
        <f t="array" ref="F450">IFERROR(_xlfn.XLOOKUP(Table57[[#This Row],[Code]],Table1[[#All],[Code]],Table1[[#All],[Time]],,0,1),"")</f>
        <v/>
      </c>
      <c r="G450" s="25" t="str" cm="1">
        <f t="array" ref="G450">IFERROR(_xlfn.XLOOKUP(Table57[[#This Row],[Code]],Table1[[#All],[Code]],Table1[[#All],[Time]],,0,-1),"")</f>
        <v/>
      </c>
      <c r="H450" s="23" t="str">
        <f>IFERROR(IF(Table57[[#This Row],[Out]]&gt;=Table57[[#This Row],[In]],Table57[[#This Row],[Out]]-Table57[[#This Row],[In]],(0.5+Table57[[#This Row],[Out]])-Table57[[#This Row],[In]]),"")</f>
        <v/>
      </c>
      <c r="I450" s="31" t="str">
        <f>IFERROR(IF(Table57[[#This Row],[In]]&gt;$C$2,Table57[[#This Row],[In]]-$C$2,""),"")</f>
        <v/>
      </c>
      <c r="J450" s="31" t="str">
        <f>IF(Table57[[#This Row],[Work_Hours]]=0,"",(IF(Table57[[#This Row],[Out]]&lt;$C$3,$C$3-Table57[[#This Row],[Out]],"")))</f>
        <v/>
      </c>
      <c r="K450" s="32" t="str">
        <f>IFERROR(Table57[[#This Row],[In]]+$C$1,"")</f>
        <v/>
      </c>
      <c r="L450" s="29"/>
      <c r="M450" s="31" t="str">
        <f>IF($C$2&gt;Table57[[#This Row],[In]],$C$2-Table57[[#This Row],[In]],"")</f>
        <v/>
      </c>
      <c r="N450" s="29" t="str">
        <f>IFERROR(IF(Table57[[#This Row],[Out]]&gt;$C$3,(Table57[[#This Row],[Out]])-($C$3),""),"")</f>
        <v/>
      </c>
    </row>
    <row r="451" spans="1:14" hidden="1" x14ac:dyDescent="0.25">
      <c r="A451" s="23" t="str">
        <f>Table57[[#This Row],[No.]]&amp;Table57[[#This Row],[Date]]</f>
        <v>00</v>
      </c>
      <c r="B451" s="22">
        <f>'Unique Dates'!A448</f>
        <v>0</v>
      </c>
      <c r="C451" s="22" t="e" cm="1">
        <f t="array" ref="C451">_xlfn.XLOOKUP(Table57[[#This Row],[No.]],Table2[[#All],[CODE]],Table2[[#All],[NAME]],,0,1)</f>
        <v>#N/A</v>
      </c>
      <c r="D451" s="6">
        <f>'Unique Dates'!B448</f>
        <v>0</v>
      </c>
      <c r="E451" t="str">
        <f>TEXT(Table57[[#This Row],[Date]],"dddd")</f>
        <v>Saturday</v>
      </c>
      <c r="F451" s="25" t="str" cm="1">
        <f t="array" ref="F451">IFERROR(_xlfn.XLOOKUP(Table57[[#This Row],[Code]],Table1[[#All],[Code]],Table1[[#All],[Time]],,0,1),"")</f>
        <v/>
      </c>
      <c r="G451" s="25" t="str" cm="1">
        <f t="array" ref="G451">IFERROR(_xlfn.XLOOKUP(Table57[[#This Row],[Code]],Table1[[#All],[Code]],Table1[[#All],[Time]],,0,-1),"")</f>
        <v/>
      </c>
      <c r="H451" s="23" t="str">
        <f>IFERROR(IF(Table57[[#This Row],[Out]]&gt;=Table57[[#This Row],[In]],Table57[[#This Row],[Out]]-Table57[[#This Row],[In]],(0.5+Table57[[#This Row],[Out]])-Table57[[#This Row],[In]]),"")</f>
        <v/>
      </c>
      <c r="I451" s="31" t="str">
        <f>IFERROR(IF(Table57[[#This Row],[In]]&gt;$C$2,Table57[[#This Row],[In]]-$C$2,""),"")</f>
        <v/>
      </c>
      <c r="J451" s="31" t="str">
        <f>IF(Table57[[#This Row],[Work_Hours]]=0,"",(IF(Table57[[#This Row],[Out]]&lt;$C$3,$C$3-Table57[[#This Row],[Out]],"")))</f>
        <v/>
      </c>
      <c r="K451" s="32" t="str">
        <f>IFERROR(Table57[[#This Row],[In]]+$C$1,"")</f>
        <v/>
      </c>
      <c r="L451" s="29"/>
      <c r="M451" s="31" t="str">
        <f>IF($C$2&gt;Table57[[#This Row],[In]],$C$2-Table57[[#This Row],[In]],"")</f>
        <v/>
      </c>
      <c r="N451" s="29" t="str">
        <f>IFERROR(IF(Table57[[#This Row],[Out]]&gt;$C$3,(Table57[[#This Row],[Out]])-($C$3),""),"")</f>
        <v/>
      </c>
    </row>
    <row r="452" spans="1:14" hidden="1" x14ac:dyDescent="0.25">
      <c r="A452" s="23" t="str">
        <f>Table57[[#This Row],[No.]]&amp;Table57[[#This Row],[Date]]</f>
        <v>00</v>
      </c>
      <c r="B452" s="22">
        <f>'Unique Dates'!A449</f>
        <v>0</v>
      </c>
      <c r="C452" s="22" t="e" cm="1">
        <f t="array" ref="C452">_xlfn.XLOOKUP(Table57[[#This Row],[No.]],Table2[[#All],[CODE]],Table2[[#All],[NAME]],,0,1)</f>
        <v>#N/A</v>
      </c>
      <c r="D452" s="6">
        <f>'Unique Dates'!B449</f>
        <v>0</v>
      </c>
      <c r="E452" t="str">
        <f>TEXT(Table57[[#This Row],[Date]],"dddd")</f>
        <v>Saturday</v>
      </c>
      <c r="F452" s="25" t="str" cm="1">
        <f t="array" ref="F452">IFERROR(_xlfn.XLOOKUP(Table57[[#This Row],[Code]],Table1[[#All],[Code]],Table1[[#All],[Time]],,0,1),"")</f>
        <v/>
      </c>
      <c r="G452" s="25" t="str" cm="1">
        <f t="array" ref="G452">IFERROR(_xlfn.XLOOKUP(Table57[[#This Row],[Code]],Table1[[#All],[Code]],Table1[[#All],[Time]],,0,-1),"")</f>
        <v/>
      </c>
      <c r="H452" s="23" t="str">
        <f>IFERROR(IF(Table57[[#This Row],[Out]]&gt;=Table57[[#This Row],[In]],Table57[[#This Row],[Out]]-Table57[[#This Row],[In]],(0.5+Table57[[#This Row],[Out]])-Table57[[#This Row],[In]]),"")</f>
        <v/>
      </c>
      <c r="I452" s="31" t="str">
        <f>IFERROR(IF(Table57[[#This Row],[In]]&gt;$C$2,Table57[[#This Row],[In]]-$C$2,""),"")</f>
        <v/>
      </c>
      <c r="J452" s="31" t="str">
        <f>IF(Table57[[#This Row],[Work_Hours]]=0,"",(IF(Table57[[#This Row],[Out]]&lt;$C$3,$C$3-Table57[[#This Row],[Out]],"")))</f>
        <v/>
      </c>
      <c r="K452" s="32" t="str">
        <f>IFERROR(Table57[[#This Row],[In]]+$C$1,"")</f>
        <v/>
      </c>
      <c r="L452" s="29"/>
      <c r="M452" s="31" t="str">
        <f>IF($C$2&gt;Table57[[#This Row],[In]],$C$2-Table57[[#This Row],[In]],"")</f>
        <v/>
      </c>
      <c r="N452" s="29" t="str">
        <f>IFERROR(IF(Table57[[#This Row],[Out]]&gt;$C$3,(Table57[[#This Row],[Out]])-($C$3),""),"")</f>
        <v/>
      </c>
    </row>
    <row r="453" spans="1:14" hidden="1" x14ac:dyDescent="0.25">
      <c r="A453" s="23" t="str">
        <f>Table57[[#This Row],[No.]]&amp;Table57[[#This Row],[Date]]</f>
        <v>00</v>
      </c>
      <c r="B453" s="22">
        <f>'Unique Dates'!A450</f>
        <v>0</v>
      </c>
      <c r="C453" s="22" t="e" cm="1">
        <f t="array" ref="C453">_xlfn.XLOOKUP(Table57[[#This Row],[No.]],Table2[[#All],[CODE]],Table2[[#All],[NAME]],,0,1)</f>
        <v>#N/A</v>
      </c>
      <c r="D453" s="6">
        <f>'Unique Dates'!B450</f>
        <v>0</v>
      </c>
      <c r="E453" t="str">
        <f>TEXT(Table57[[#This Row],[Date]],"dddd")</f>
        <v>Saturday</v>
      </c>
      <c r="F453" s="25" t="str" cm="1">
        <f t="array" ref="F453">IFERROR(_xlfn.XLOOKUP(Table57[[#This Row],[Code]],Table1[[#All],[Code]],Table1[[#All],[Time]],,0,1),"")</f>
        <v/>
      </c>
      <c r="G453" s="25" t="str" cm="1">
        <f t="array" ref="G453">IFERROR(_xlfn.XLOOKUP(Table57[[#This Row],[Code]],Table1[[#All],[Code]],Table1[[#All],[Time]],,0,-1),"")</f>
        <v/>
      </c>
      <c r="H453" s="23" t="str">
        <f>IFERROR(IF(Table57[[#This Row],[Out]]&gt;=Table57[[#This Row],[In]],Table57[[#This Row],[Out]]-Table57[[#This Row],[In]],(0.5+Table57[[#This Row],[Out]])-Table57[[#This Row],[In]]),"")</f>
        <v/>
      </c>
      <c r="I453" s="31" t="str">
        <f>IFERROR(IF(Table57[[#This Row],[In]]&gt;$C$2,Table57[[#This Row],[In]]-$C$2,""),"")</f>
        <v/>
      </c>
      <c r="J453" s="31" t="str">
        <f>IF(Table57[[#This Row],[Work_Hours]]=0,"",(IF(Table57[[#This Row],[Out]]&lt;$C$3,$C$3-Table57[[#This Row],[Out]],"")))</f>
        <v/>
      </c>
      <c r="K453" s="32" t="str">
        <f>IFERROR(Table57[[#This Row],[In]]+$C$1,"")</f>
        <v/>
      </c>
      <c r="L453" s="29"/>
      <c r="M453" s="31" t="str">
        <f>IF($C$2&gt;Table57[[#This Row],[In]],$C$2-Table57[[#This Row],[In]],"")</f>
        <v/>
      </c>
      <c r="N453" s="29" t="str">
        <f>IFERROR(IF(Table57[[#This Row],[Out]]&gt;$C$3,(Table57[[#This Row],[Out]])-($C$3),""),"")</f>
        <v/>
      </c>
    </row>
    <row r="454" spans="1:14" hidden="1" x14ac:dyDescent="0.25">
      <c r="A454" s="23" t="str">
        <f>Table57[[#This Row],[No.]]&amp;Table57[[#This Row],[Date]]</f>
        <v>00</v>
      </c>
      <c r="B454" s="22">
        <f>'Unique Dates'!A451</f>
        <v>0</v>
      </c>
      <c r="C454" s="22" t="e" cm="1">
        <f t="array" ref="C454">_xlfn.XLOOKUP(Table57[[#This Row],[No.]],Table2[[#All],[CODE]],Table2[[#All],[NAME]],,0,1)</f>
        <v>#N/A</v>
      </c>
      <c r="D454" s="6">
        <f>'Unique Dates'!B451</f>
        <v>0</v>
      </c>
      <c r="E454" t="str">
        <f>TEXT(Table57[[#This Row],[Date]],"dddd")</f>
        <v>Saturday</v>
      </c>
      <c r="F454" s="25" t="str" cm="1">
        <f t="array" ref="F454">IFERROR(_xlfn.XLOOKUP(Table57[[#This Row],[Code]],Table1[[#All],[Code]],Table1[[#All],[Time]],,0,1),"")</f>
        <v/>
      </c>
      <c r="G454" s="25" t="str" cm="1">
        <f t="array" ref="G454">IFERROR(_xlfn.XLOOKUP(Table57[[#This Row],[Code]],Table1[[#All],[Code]],Table1[[#All],[Time]],,0,-1),"")</f>
        <v/>
      </c>
      <c r="H454" s="23" t="str">
        <f>IFERROR(IF(Table57[[#This Row],[Out]]&gt;=Table57[[#This Row],[In]],Table57[[#This Row],[Out]]-Table57[[#This Row],[In]],(0.5+Table57[[#This Row],[Out]])-Table57[[#This Row],[In]]),"")</f>
        <v/>
      </c>
      <c r="I454" s="31" t="str">
        <f>IFERROR(IF(Table57[[#This Row],[In]]&gt;$C$2,Table57[[#This Row],[In]]-$C$2,""),"")</f>
        <v/>
      </c>
      <c r="J454" s="31" t="str">
        <f>IF(Table57[[#This Row],[Work_Hours]]=0,"",(IF(Table57[[#This Row],[Out]]&lt;$C$3,$C$3-Table57[[#This Row],[Out]],"")))</f>
        <v/>
      </c>
      <c r="K454" s="32" t="str">
        <f>IFERROR(Table57[[#This Row],[In]]+$C$1,"")</f>
        <v/>
      </c>
      <c r="L454" s="29"/>
      <c r="M454" s="31" t="str">
        <f>IF($C$2&gt;Table57[[#This Row],[In]],$C$2-Table57[[#This Row],[In]],"")</f>
        <v/>
      </c>
      <c r="N454" s="29" t="str">
        <f>IFERROR(IF(Table57[[#This Row],[Out]]&gt;$C$3,(Table57[[#This Row],[Out]])-($C$3),""),"")</f>
        <v/>
      </c>
    </row>
    <row r="455" spans="1:14" hidden="1" x14ac:dyDescent="0.25">
      <c r="A455" s="23" t="str">
        <f>Table57[[#This Row],[No.]]&amp;Table57[[#This Row],[Date]]</f>
        <v>00</v>
      </c>
      <c r="B455" s="22">
        <f>'Unique Dates'!A452</f>
        <v>0</v>
      </c>
      <c r="C455" s="22" t="e" cm="1">
        <f t="array" ref="C455">_xlfn.XLOOKUP(Table57[[#This Row],[No.]],Table2[[#All],[CODE]],Table2[[#All],[NAME]],,0,1)</f>
        <v>#N/A</v>
      </c>
      <c r="D455" s="6">
        <f>'Unique Dates'!B452</f>
        <v>0</v>
      </c>
      <c r="E455" t="str">
        <f>TEXT(Table57[[#This Row],[Date]],"dddd")</f>
        <v>Saturday</v>
      </c>
      <c r="F455" s="25" t="str" cm="1">
        <f t="array" ref="F455">IFERROR(_xlfn.XLOOKUP(Table57[[#This Row],[Code]],Table1[[#All],[Code]],Table1[[#All],[Time]],,0,1),"")</f>
        <v/>
      </c>
      <c r="G455" s="25" t="str" cm="1">
        <f t="array" ref="G455">IFERROR(_xlfn.XLOOKUP(Table57[[#This Row],[Code]],Table1[[#All],[Code]],Table1[[#All],[Time]],,0,-1),"")</f>
        <v/>
      </c>
      <c r="H455" s="23" t="str">
        <f>IFERROR(IF(Table57[[#This Row],[Out]]&gt;=Table57[[#This Row],[In]],Table57[[#This Row],[Out]]-Table57[[#This Row],[In]],(0.5+Table57[[#This Row],[Out]])-Table57[[#This Row],[In]]),"")</f>
        <v/>
      </c>
      <c r="I455" s="31" t="str">
        <f>IFERROR(IF(Table57[[#This Row],[In]]&gt;$C$2,Table57[[#This Row],[In]]-$C$2,""),"")</f>
        <v/>
      </c>
      <c r="J455" s="31" t="str">
        <f>IF(Table57[[#This Row],[Work_Hours]]=0,"",(IF(Table57[[#This Row],[Out]]&lt;$C$3,$C$3-Table57[[#This Row],[Out]],"")))</f>
        <v/>
      </c>
      <c r="K455" s="32" t="str">
        <f>IFERROR(Table57[[#This Row],[In]]+$C$1,"")</f>
        <v/>
      </c>
      <c r="L455" s="29"/>
      <c r="M455" s="31" t="str">
        <f>IF($C$2&gt;Table57[[#This Row],[In]],$C$2-Table57[[#This Row],[In]],"")</f>
        <v/>
      </c>
      <c r="N455" s="29" t="str">
        <f>IFERROR(IF(Table57[[#This Row],[Out]]&gt;$C$3,(Table57[[#This Row],[Out]])-($C$3),""),"")</f>
        <v/>
      </c>
    </row>
    <row r="456" spans="1:14" hidden="1" x14ac:dyDescent="0.25">
      <c r="A456" s="23" t="str">
        <f>Table57[[#This Row],[No.]]&amp;Table57[[#This Row],[Date]]</f>
        <v>00</v>
      </c>
      <c r="B456" s="22">
        <f>'Unique Dates'!A453</f>
        <v>0</v>
      </c>
      <c r="C456" s="22" t="e" cm="1">
        <f t="array" ref="C456">_xlfn.XLOOKUP(Table57[[#This Row],[No.]],Table2[[#All],[CODE]],Table2[[#All],[NAME]],,0,1)</f>
        <v>#N/A</v>
      </c>
      <c r="D456" s="6">
        <f>'Unique Dates'!B453</f>
        <v>0</v>
      </c>
      <c r="E456" t="str">
        <f>TEXT(Table57[[#This Row],[Date]],"dddd")</f>
        <v>Saturday</v>
      </c>
      <c r="F456" s="25" t="str" cm="1">
        <f t="array" ref="F456">IFERROR(_xlfn.XLOOKUP(Table57[[#This Row],[Code]],Table1[[#All],[Code]],Table1[[#All],[Time]],,0,1),"")</f>
        <v/>
      </c>
      <c r="G456" s="25" t="str" cm="1">
        <f t="array" ref="G456">IFERROR(_xlfn.XLOOKUP(Table57[[#This Row],[Code]],Table1[[#All],[Code]],Table1[[#All],[Time]],,0,-1),"")</f>
        <v/>
      </c>
      <c r="H456" s="23" t="str">
        <f>IFERROR(IF(Table57[[#This Row],[Out]]&gt;=Table57[[#This Row],[In]],Table57[[#This Row],[Out]]-Table57[[#This Row],[In]],(0.5+Table57[[#This Row],[Out]])-Table57[[#This Row],[In]]),"")</f>
        <v/>
      </c>
      <c r="I456" s="31" t="str">
        <f>IFERROR(IF(Table57[[#This Row],[In]]&gt;$C$2,Table57[[#This Row],[In]]-$C$2,""),"")</f>
        <v/>
      </c>
      <c r="J456" s="31" t="str">
        <f>IF(Table57[[#This Row],[Work_Hours]]=0,"",(IF(Table57[[#This Row],[Out]]&lt;$C$3,$C$3-Table57[[#This Row],[Out]],"")))</f>
        <v/>
      </c>
      <c r="K456" s="32" t="str">
        <f>IFERROR(Table57[[#This Row],[In]]+$C$1,"")</f>
        <v/>
      </c>
      <c r="L456" s="29"/>
      <c r="M456" s="31" t="str">
        <f>IF($C$2&gt;Table57[[#This Row],[In]],$C$2-Table57[[#This Row],[In]],"")</f>
        <v/>
      </c>
      <c r="N456" s="29" t="str">
        <f>IFERROR(IF(Table57[[#This Row],[Out]]&gt;$C$3,(Table57[[#This Row],[Out]])-($C$3),""),"")</f>
        <v/>
      </c>
    </row>
    <row r="457" spans="1:14" hidden="1" x14ac:dyDescent="0.25">
      <c r="A457" s="23" t="str">
        <f>Table57[[#This Row],[No.]]&amp;Table57[[#This Row],[Date]]</f>
        <v>00</v>
      </c>
      <c r="B457" s="22">
        <f>'Unique Dates'!A454</f>
        <v>0</v>
      </c>
      <c r="C457" s="22" t="e" cm="1">
        <f t="array" ref="C457">_xlfn.XLOOKUP(Table57[[#This Row],[No.]],Table2[[#All],[CODE]],Table2[[#All],[NAME]],,0,1)</f>
        <v>#N/A</v>
      </c>
      <c r="D457" s="6">
        <f>'Unique Dates'!B454</f>
        <v>0</v>
      </c>
      <c r="E457" t="str">
        <f>TEXT(Table57[[#This Row],[Date]],"dddd")</f>
        <v>Saturday</v>
      </c>
      <c r="F457" s="25" t="str" cm="1">
        <f t="array" ref="F457">IFERROR(_xlfn.XLOOKUP(Table57[[#This Row],[Code]],Table1[[#All],[Code]],Table1[[#All],[Time]],,0,1),"")</f>
        <v/>
      </c>
      <c r="G457" s="25" t="str" cm="1">
        <f t="array" ref="G457">IFERROR(_xlfn.XLOOKUP(Table57[[#This Row],[Code]],Table1[[#All],[Code]],Table1[[#All],[Time]],,0,-1),"")</f>
        <v/>
      </c>
      <c r="H457" s="23" t="str">
        <f>IFERROR(IF(Table57[[#This Row],[Out]]&gt;=Table57[[#This Row],[In]],Table57[[#This Row],[Out]]-Table57[[#This Row],[In]],(0.5+Table57[[#This Row],[Out]])-Table57[[#This Row],[In]]),"")</f>
        <v/>
      </c>
      <c r="I457" s="31" t="str">
        <f>IFERROR(IF(Table57[[#This Row],[In]]&gt;$C$2,Table57[[#This Row],[In]]-$C$2,""),"")</f>
        <v/>
      </c>
      <c r="J457" s="31" t="str">
        <f>IF(Table57[[#This Row],[Work_Hours]]=0,"",(IF(Table57[[#This Row],[Out]]&lt;$C$3,$C$3-Table57[[#This Row],[Out]],"")))</f>
        <v/>
      </c>
      <c r="K457" s="32" t="str">
        <f>IFERROR(Table57[[#This Row],[In]]+$C$1,"")</f>
        <v/>
      </c>
      <c r="L457" s="29"/>
      <c r="M457" s="31" t="str">
        <f>IF($C$2&gt;Table57[[#This Row],[In]],$C$2-Table57[[#This Row],[In]],"")</f>
        <v/>
      </c>
      <c r="N457" s="29" t="str">
        <f>IFERROR(IF(Table57[[#This Row],[Out]]&gt;$C$3,(Table57[[#This Row],[Out]])-($C$3),""),"")</f>
        <v/>
      </c>
    </row>
    <row r="458" spans="1:14" hidden="1" x14ac:dyDescent="0.25">
      <c r="A458" s="23" t="str">
        <f>Table57[[#This Row],[No.]]&amp;Table57[[#This Row],[Date]]</f>
        <v>00</v>
      </c>
      <c r="B458" s="22">
        <f>'Unique Dates'!A455</f>
        <v>0</v>
      </c>
      <c r="C458" s="22" t="e" cm="1">
        <f t="array" ref="C458">_xlfn.XLOOKUP(Table57[[#This Row],[No.]],Table2[[#All],[CODE]],Table2[[#All],[NAME]],,0,1)</f>
        <v>#N/A</v>
      </c>
      <c r="D458" s="6">
        <f>'Unique Dates'!B455</f>
        <v>0</v>
      </c>
      <c r="E458" t="str">
        <f>TEXT(Table57[[#This Row],[Date]],"dddd")</f>
        <v>Saturday</v>
      </c>
      <c r="F458" s="25" t="str" cm="1">
        <f t="array" ref="F458">IFERROR(_xlfn.XLOOKUP(Table57[[#This Row],[Code]],Table1[[#All],[Code]],Table1[[#All],[Time]],,0,1),"")</f>
        <v/>
      </c>
      <c r="G458" s="25" t="str" cm="1">
        <f t="array" ref="G458">IFERROR(_xlfn.XLOOKUP(Table57[[#This Row],[Code]],Table1[[#All],[Code]],Table1[[#All],[Time]],,0,-1),"")</f>
        <v/>
      </c>
      <c r="H458" s="23" t="str">
        <f>IFERROR(IF(Table57[[#This Row],[Out]]&gt;=Table57[[#This Row],[In]],Table57[[#This Row],[Out]]-Table57[[#This Row],[In]],(0.5+Table57[[#This Row],[Out]])-Table57[[#This Row],[In]]),"")</f>
        <v/>
      </c>
      <c r="I458" s="31" t="str">
        <f>IFERROR(IF(Table57[[#This Row],[In]]&gt;$C$2,Table57[[#This Row],[In]]-$C$2,""),"")</f>
        <v/>
      </c>
      <c r="J458" s="31" t="str">
        <f>IF(Table57[[#This Row],[Work_Hours]]=0,"",(IF(Table57[[#This Row],[Out]]&lt;$C$3,$C$3-Table57[[#This Row],[Out]],"")))</f>
        <v/>
      </c>
      <c r="K458" s="32" t="str">
        <f>IFERROR(Table57[[#This Row],[In]]+$C$1,"")</f>
        <v/>
      </c>
      <c r="L458" s="29"/>
      <c r="M458" s="31" t="str">
        <f>IF($C$2&gt;Table57[[#This Row],[In]],$C$2-Table57[[#This Row],[In]],"")</f>
        <v/>
      </c>
      <c r="N458" s="29" t="str">
        <f>IFERROR(IF(Table57[[#This Row],[Out]]&gt;$C$3,(Table57[[#This Row],[Out]])-($C$3),""),"")</f>
        <v/>
      </c>
    </row>
    <row r="459" spans="1:14" hidden="1" x14ac:dyDescent="0.25">
      <c r="A459" s="23" t="str">
        <f>Table57[[#This Row],[No.]]&amp;Table57[[#This Row],[Date]]</f>
        <v>00</v>
      </c>
      <c r="B459" s="22">
        <f>'Unique Dates'!A456</f>
        <v>0</v>
      </c>
      <c r="C459" s="22" t="e" cm="1">
        <f t="array" ref="C459">_xlfn.XLOOKUP(Table57[[#This Row],[No.]],Table2[[#All],[CODE]],Table2[[#All],[NAME]],,0,1)</f>
        <v>#N/A</v>
      </c>
      <c r="D459" s="6">
        <f>'Unique Dates'!B456</f>
        <v>0</v>
      </c>
      <c r="E459" t="str">
        <f>TEXT(Table57[[#This Row],[Date]],"dddd")</f>
        <v>Saturday</v>
      </c>
      <c r="F459" s="25" t="str" cm="1">
        <f t="array" ref="F459">IFERROR(_xlfn.XLOOKUP(Table57[[#This Row],[Code]],Table1[[#All],[Code]],Table1[[#All],[Time]],,0,1),"")</f>
        <v/>
      </c>
      <c r="G459" s="25" t="str" cm="1">
        <f t="array" ref="G459">IFERROR(_xlfn.XLOOKUP(Table57[[#This Row],[Code]],Table1[[#All],[Code]],Table1[[#All],[Time]],,0,-1),"")</f>
        <v/>
      </c>
      <c r="H459" s="23" t="str">
        <f>IFERROR(IF(Table57[[#This Row],[Out]]&gt;=Table57[[#This Row],[In]],Table57[[#This Row],[Out]]-Table57[[#This Row],[In]],(0.5+Table57[[#This Row],[Out]])-Table57[[#This Row],[In]]),"")</f>
        <v/>
      </c>
      <c r="I459" s="31" t="str">
        <f>IFERROR(IF(Table57[[#This Row],[In]]&gt;$C$2,Table57[[#This Row],[In]]-$C$2,""),"")</f>
        <v/>
      </c>
      <c r="J459" s="31" t="str">
        <f>IF(Table57[[#This Row],[Work_Hours]]=0,"",(IF(Table57[[#This Row],[Out]]&lt;$C$3,$C$3-Table57[[#This Row],[Out]],"")))</f>
        <v/>
      </c>
      <c r="K459" s="32" t="str">
        <f>IFERROR(Table57[[#This Row],[In]]+$C$1,"")</f>
        <v/>
      </c>
      <c r="L459" s="29"/>
      <c r="M459" s="31" t="str">
        <f>IF($C$2&gt;Table57[[#This Row],[In]],$C$2-Table57[[#This Row],[In]],"")</f>
        <v/>
      </c>
      <c r="N459" s="29" t="str">
        <f>IFERROR(IF(Table57[[#This Row],[Out]]&gt;$C$3,(Table57[[#This Row],[Out]])-($C$3),""),"")</f>
        <v/>
      </c>
    </row>
    <row r="460" spans="1:14" hidden="1" x14ac:dyDescent="0.25">
      <c r="A460" s="23" t="str">
        <f>Table57[[#This Row],[No.]]&amp;Table57[[#This Row],[Date]]</f>
        <v>00</v>
      </c>
      <c r="B460" s="22">
        <f>'Unique Dates'!A457</f>
        <v>0</v>
      </c>
      <c r="C460" s="22" t="e" cm="1">
        <f t="array" ref="C460">_xlfn.XLOOKUP(Table57[[#This Row],[No.]],Table2[[#All],[CODE]],Table2[[#All],[NAME]],,0,1)</f>
        <v>#N/A</v>
      </c>
      <c r="D460" s="6">
        <f>'Unique Dates'!B457</f>
        <v>0</v>
      </c>
      <c r="E460" t="str">
        <f>TEXT(Table57[[#This Row],[Date]],"dddd")</f>
        <v>Saturday</v>
      </c>
      <c r="F460" s="25" t="str" cm="1">
        <f t="array" ref="F460">IFERROR(_xlfn.XLOOKUP(Table57[[#This Row],[Code]],Table1[[#All],[Code]],Table1[[#All],[Time]],,0,1),"")</f>
        <v/>
      </c>
      <c r="G460" s="25" t="str" cm="1">
        <f t="array" ref="G460">IFERROR(_xlfn.XLOOKUP(Table57[[#This Row],[Code]],Table1[[#All],[Code]],Table1[[#All],[Time]],,0,-1),"")</f>
        <v/>
      </c>
      <c r="H460" s="23" t="str">
        <f>IFERROR(IF(Table57[[#This Row],[Out]]&gt;=Table57[[#This Row],[In]],Table57[[#This Row],[Out]]-Table57[[#This Row],[In]],(0.5+Table57[[#This Row],[Out]])-Table57[[#This Row],[In]]),"")</f>
        <v/>
      </c>
      <c r="I460" s="31" t="str">
        <f>IFERROR(IF(Table57[[#This Row],[In]]&gt;$C$2,Table57[[#This Row],[In]]-$C$2,""),"")</f>
        <v/>
      </c>
      <c r="J460" s="31" t="str">
        <f>IF(Table57[[#This Row],[Work_Hours]]=0,"",(IF(Table57[[#This Row],[Out]]&lt;$C$3,$C$3-Table57[[#This Row],[Out]],"")))</f>
        <v/>
      </c>
      <c r="K460" s="32" t="str">
        <f>IFERROR(Table57[[#This Row],[In]]+$C$1,"")</f>
        <v/>
      </c>
      <c r="L460" s="29"/>
      <c r="M460" s="31" t="str">
        <f>IF($C$2&gt;Table57[[#This Row],[In]],$C$2-Table57[[#This Row],[In]],"")</f>
        <v/>
      </c>
      <c r="N460" s="29" t="str">
        <f>IFERROR(IF(Table57[[#This Row],[Out]]&gt;$C$3,(Table57[[#This Row],[Out]])-($C$3),""),"")</f>
        <v/>
      </c>
    </row>
    <row r="461" spans="1:14" hidden="1" x14ac:dyDescent="0.25">
      <c r="A461" s="23" t="str">
        <f>Table57[[#This Row],[No.]]&amp;Table57[[#This Row],[Date]]</f>
        <v>00</v>
      </c>
      <c r="B461" s="22">
        <f>'Unique Dates'!A458</f>
        <v>0</v>
      </c>
      <c r="C461" s="22" t="e" cm="1">
        <f t="array" ref="C461">_xlfn.XLOOKUP(Table57[[#This Row],[No.]],Table2[[#All],[CODE]],Table2[[#All],[NAME]],,0,1)</f>
        <v>#N/A</v>
      </c>
      <c r="D461" s="6">
        <f>'Unique Dates'!B458</f>
        <v>0</v>
      </c>
      <c r="E461" t="str">
        <f>TEXT(Table57[[#This Row],[Date]],"dddd")</f>
        <v>Saturday</v>
      </c>
      <c r="F461" s="25" t="str" cm="1">
        <f t="array" ref="F461">IFERROR(_xlfn.XLOOKUP(Table57[[#This Row],[Code]],Table1[[#All],[Code]],Table1[[#All],[Time]],,0,1),"")</f>
        <v/>
      </c>
      <c r="G461" s="25" t="str" cm="1">
        <f t="array" ref="G461">IFERROR(_xlfn.XLOOKUP(Table57[[#This Row],[Code]],Table1[[#All],[Code]],Table1[[#All],[Time]],,0,-1),"")</f>
        <v/>
      </c>
      <c r="H461" s="23" t="str">
        <f>IFERROR(IF(Table57[[#This Row],[Out]]&gt;=Table57[[#This Row],[In]],Table57[[#This Row],[Out]]-Table57[[#This Row],[In]],(0.5+Table57[[#This Row],[Out]])-Table57[[#This Row],[In]]),"")</f>
        <v/>
      </c>
      <c r="I461" s="31" t="str">
        <f>IFERROR(IF(Table57[[#This Row],[In]]&gt;$C$2,Table57[[#This Row],[In]]-$C$2,""),"")</f>
        <v/>
      </c>
      <c r="J461" s="31" t="str">
        <f>IF(Table57[[#This Row],[Work_Hours]]=0,"",(IF(Table57[[#This Row],[Out]]&lt;$C$3,$C$3-Table57[[#This Row],[Out]],"")))</f>
        <v/>
      </c>
      <c r="K461" s="32" t="str">
        <f>IFERROR(Table57[[#This Row],[In]]+$C$1,"")</f>
        <v/>
      </c>
      <c r="L461" s="29"/>
      <c r="M461" s="31" t="str">
        <f>IF($C$2&gt;Table57[[#This Row],[In]],$C$2-Table57[[#This Row],[In]],"")</f>
        <v/>
      </c>
      <c r="N461" s="29" t="str">
        <f>IFERROR(IF(Table57[[#This Row],[Out]]&gt;$C$3,(Table57[[#This Row],[Out]])-($C$3),""),"")</f>
        <v/>
      </c>
    </row>
    <row r="462" spans="1:14" hidden="1" x14ac:dyDescent="0.25">
      <c r="A462" s="23" t="str">
        <f>Table57[[#This Row],[No.]]&amp;Table57[[#This Row],[Date]]</f>
        <v>00</v>
      </c>
      <c r="B462" s="22">
        <f>'Unique Dates'!A459</f>
        <v>0</v>
      </c>
      <c r="C462" s="22" t="e" cm="1">
        <f t="array" ref="C462">_xlfn.XLOOKUP(Table57[[#This Row],[No.]],Table2[[#All],[CODE]],Table2[[#All],[NAME]],,0,1)</f>
        <v>#N/A</v>
      </c>
      <c r="D462" s="6">
        <f>'Unique Dates'!B459</f>
        <v>0</v>
      </c>
      <c r="E462" t="str">
        <f>TEXT(Table57[[#This Row],[Date]],"dddd")</f>
        <v>Saturday</v>
      </c>
      <c r="F462" s="25" t="str" cm="1">
        <f t="array" ref="F462">IFERROR(_xlfn.XLOOKUP(Table57[[#This Row],[Code]],Table1[[#All],[Code]],Table1[[#All],[Time]],,0,1),"")</f>
        <v/>
      </c>
      <c r="G462" s="25" t="str" cm="1">
        <f t="array" ref="G462">IFERROR(_xlfn.XLOOKUP(Table57[[#This Row],[Code]],Table1[[#All],[Code]],Table1[[#All],[Time]],,0,-1),"")</f>
        <v/>
      </c>
      <c r="H462" s="23" t="str">
        <f>IFERROR(IF(Table57[[#This Row],[Out]]&gt;=Table57[[#This Row],[In]],Table57[[#This Row],[Out]]-Table57[[#This Row],[In]],(0.5+Table57[[#This Row],[Out]])-Table57[[#This Row],[In]]),"")</f>
        <v/>
      </c>
      <c r="I462" s="31" t="str">
        <f>IFERROR(IF(Table57[[#This Row],[In]]&gt;$C$2,Table57[[#This Row],[In]]-$C$2,""),"")</f>
        <v/>
      </c>
      <c r="J462" s="31" t="str">
        <f>IF(Table57[[#This Row],[Work_Hours]]=0,"",(IF(Table57[[#This Row],[Out]]&lt;$C$3,$C$3-Table57[[#This Row],[Out]],"")))</f>
        <v/>
      </c>
      <c r="K462" s="32" t="str">
        <f>IFERROR(Table57[[#This Row],[In]]+$C$1,"")</f>
        <v/>
      </c>
      <c r="L462" s="29"/>
      <c r="M462" s="31" t="str">
        <f>IF($C$2&gt;Table57[[#This Row],[In]],$C$2-Table57[[#This Row],[In]],"")</f>
        <v/>
      </c>
      <c r="N462" s="29" t="str">
        <f>IFERROR(IF(Table57[[#This Row],[Out]]&gt;$C$3,(Table57[[#This Row],[Out]])-($C$3),""),"")</f>
        <v/>
      </c>
    </row>
    <row r="463" spans="1:14" hidden="1" x14ac:dyDescent="0.25">
      <c r="A463" s="23" t="str">
        <f>Table57[[#This Row],[No.]]&amp;Table57[[#This Row],[Date]]</f>
        <v>00</v>
      </c>
      <c r="B463" s="22">
        <f>'Unique Dates'!A460</f>
        <v>0</v>
      </c>
      <c r="C463" s="22" t="e" cm="1">
        <f t="array" ref="C463">_xlfn.XLOOKUP(Table57[[#This Row],[No.]],Table2[[#All],[CODE]],Table2[[#All],[NAME]],,0,1)</f>
        <v>#N/A</v>
      </c>
      <c r="D463" s="6">
        <f>'Unique Dates'!B460</f>
        <v>0</v>
      </c>
      <c r="E463" t="str">
        <f>TEXT(Table57[[#This Row],[Date]],"dddd")</f>
        <v>Saturday</v>
      </c>
      <c r="F463" s="25" t="str" cm="1">
        <f t="array" ref="F463">IFERROR(_xlfn.XLOOKUP(Table57[[#This Row],[Code]],Table1[[#All],[Code]],Table1[[#All],[Time]],,0,1),"")</f>
        <v/>
      </c>
      <c r="G463" s="25" t="str" cm="1">
        <f t="array" ref="G463">IFERROR(_xlfn.XLOOKUP(Table57[[#This Row],[Code]],Table1[[#All],[Code]],Table1[[#All],[Time]],,0,-1),"")</f>
        <v/>
      </c>
      <c r="H463" s="23" t="str">
        <f>IFERROR(IF(Table57[[#This Row],[Out]]&gt;=Table57[[#This Row],[In]],Table57[[#This Row],[Out]]-Table57[[#This Row],[In]],(0.5+Table57[[#This Row],[Out]])-Table57[[#This Row],[In]]),"")</f>
        <v/>
      </c>
      <c r="I463" s="31" t="str">
        <f>IFERROR(IF(Table57[[#This Row],[In]]&gt;$C$2,Table57[[#This Row],[In]]-$C$2,""),"")</f>
        <v/>
      </c>
      <c r="J463" s="31" t="str">
        <f>IF(Table57[[#This Row],[Work_Hours]]=0,"",(IF(Table57[[#This Row],[Out]]&lt;$C$3,$C$3-Table57[[#This Row],[Out]],"")))</f>
        <v/>
      </c>
      <c r="K463" s="32" t="str">
        <f>IFERROR(Table57[[#This Row],[In]]+$C$1,"")</f>
        <v/>
      </c>
      <c r="L463" s="29"/>
      <c r="M463" s="31" t="str">
        <f>IF($C$2&gt;Table57[[#This Row],[In]],$C$2-Table57[[#This Row],[In]],"")</f>
        <v/>
      </c>
      <c r="N463" s="29" t="str">
        <f>IFERROR(IF(Table57[[#This Row],[Out]]&gt;$C$3,(Table57[[#This Row],[Out]])-($C$3),""),"")</f>
        <v/>
      </c>
    </row>
    <row r="464" spans="1:14" hidden="1" x14ac:dyDescent="0.25">
      <c r="A464" s="23" t="str">
        <f>Table57[[#This Row],[No.]]&amp;Table57[[#This Row],[Date]]</f>
        <v>00</v>
      </c>
      <c r="B464" s="22">
        <f>'Unique Dates'!A461</f>
        <v>0</v>
      </c>
      <c r="C464" s="22" t="e" cm="1">
        <f t="array" ref="C464">_xlfn.XLOOKUP(Table57[[#This Row],[No.]],Table2[[#All],[CODE]],Table2[[#All],[NAME]],,0,1)</f>
        <v>#N/A</v>
      </c>
      <c r="D464" s="6">
        <f>'Unique Dates'!B461</f>
        <v>0</v>
      </c>
      <c r="E464" t="str">
        <f>TEXT(Table57[[#This Row],[Date]],"dddd")</f>
        <v>Saturday</v>
      </c>
      <c r="F464" s="25" t="str" cm="1">
        <f t="array" ref="F464">IFERROR(_xlfn.XLOOKUP(Table57[[#This Row],[Code]],Table1[[#All],[Code]],Table1[[#All],[Time]],,0,1),"")</f>
        <v/>
      </c>
      <c r="G464" s="25" t="str" cm="1">
        <f t="array" ref="G464">IFERROR(_xlfn.XLOOKUP(Table57[[#This Row],[Code]],Table1[[#All],[Code]],Table1[[#All],[Time]],,0,-1),"")</f>
        <v/>
      </c>
      <c r="H464" s="23" t="str">
        <f>IFERROR(IF(Table57[[#This Row],[Out]]&gt;=Table57[[#This Row],[In]],Table57[[#This Row],[Out]]-Table57[[#This Row],[In]],(0.5+Table57[[#This Row],[Out]])-Table57[[#This Row],[In]]),"")</f>
        <v/>
      </c>
      <c r="I464" s="31" t="str">
        <f>IFERROR(IF(Table57[[#This Row],[In]]&gt;$C$2,Table57[[#This Row],[In]]-$C$2,""),"")</f>
        <v/>
      </c>
      <c r="J464" s="31" t="str">
        <f>IF(Table57[[#This Row],[Work_Hours]]=0,"",(IF(Table57[[#This Row],[Out]]&lt;$C$3,$C$3-Table57[[#This Row],[Out]],"")))</f>
        <v/>
      </c>
      <c r="K464" s="32" t="str">
        <f>IFERROR(Table57[[#This Row],[In]]+$C$1,"")</f>
        <v/>
      </c>
      <c r="L464" s="29"/>
      <c r="M464" s="31" t="str">
        <f>IF($C$2&gt;Table57[[#This Row],[In]],$C$2-Table57[[#This Row],[In]],"")</f>
        <v/>
      </c>
      <c r="N464" s="29" t="str">
        <f>IFERROR(IF(Table57[[#This Row],[Out]]&gt;$C$3,(Table57[[#This Row],[Out]])-($C$3),""),"")</f>
        <v/>
      </c>
    </row>
    <row r="465" spans="1:14" hidden="1" x14ac:dyDescent="0.25">
      <c r="A465" s="23" t="str">
        <f>Table57[[#This Row],[No.]]&amp;Table57[[#This Row],[Date]]</f>
        <v>00</v>
      </c>
      <c r="B465" s="22">
        <f>'Unique Dates'!A462</f>
        <v>0</v>
      </c>
      <c r="C465" s="22" t="e" cm="1">
        <f t="array" ref="C465">_xlfn.XLOOKUP(Table57[[#This Row],[No.]],Table2[[#All],[CODE]],Table2[[#All],[NAME]],,0,1)</f>
        <v>#N/A</v>
      </c>
      <c r="D465" s="6">
        <f>'Unique Dates'!B462</f>
        <v>0</v>
      </c>
      <c r="E465" t="str">
        <f>TEXT(Table57[[#This Row],[Date]],"dddd")</f>
        <v>Saturday</v>
      </c>
      <c r="F465" s="25" t="str" cm="1">
        <f t="array" ref="F465">IFERROR(_xlfn.XLOOKUP(Table57[[#This Row],[Code]],Table1[[#All],[Code]],Table1[[#All],[Time]],,0,1),"")</f>
        <v/>
      </c>
      <c r="G465" s="25" t="str" cm="1">
        <f t="array" ref="G465">IFERROR(_xlfn.XLOOKUP(Table57[[#This Row],[Code]],Table1[[#All],[Code]],Table1[[#All],[Time]],,0,-1),"")</f>
        <v/>
      </c>
      <c r="H465" s="23" t="str">
        <f>IFERROR(IF(Table57[[#This Row],[Out]]&gt;=Table57[[#This Row],[In]],Table57[[#This Row],[Out]]-Table57[[#This Row],[In]],(0.5+Table57[[#This Row],[Out]])-Table57[[#This Row],[In]]),"")</f>
        <v/>
      </c>
      <c r="I465" s="31" t="str">
        <f>IFERROR(IF(Table57[[#This Row],[In]]&gt;$C$2,Table57[[#This Row],[In]]-$C$2,""),"")</f>
        <v/>
      </c>
      <c r="J465" s="31" t="str">
        <f>IF(Table57[[#This Row],[Work_Hours]]=0,"",(IF(Table57[[#This Row],[Out]]&lt;$C$3,$C$3-Table57[[#This Row],[Out]],"")))</f>
        <v/>
      </c>
      <c r="K465" s="32" t="str">
        <f>IFERROR(Table57[[#This Row],[In]]+$C$1,"")</f>
        <v/>
      </c>
      <c r="L465" s="29"/>
      <c r="M465" s="31" t="str">
        <f>IF($C$2&gt;Table57[[#This Row],[In]],$C$2-Table57[[#This Row],[In]],"")</f>
        <v/>
      </c>
      <c r="N465" s="29" t="str">
        <f>IFERROR(IF(Table57[[#This Row],[Out]]&gt;$C$3,(Table57[[#This Row],[Out]])-($C$3),""),"")</f>
        <v/>
      </c>
    </row>
    <row r="466" spans="1:14" hidden="1" x14ac:dyDescent="0.25">
      <c r="A466" s="23" t="str">
        <f>Table57[[#This Row],[No.]]&amp;Table57[[#This Row],[Date]]</f>
        <v>00</v>
      </c>
      <c r="B466" s="22">
        <f>'Unique Dates'!A463</f>
        <v>0</v>
      </c>
      <c r="C466" s="22" t="e" cm="1">
        <f t="array" ref="C466">_xlfn.XLOOKUP(Table57[[#This Row],[No.]],Table2[[#All],[CODE]],Table2[[#All],[NAME]],,0,1)</f>
        <v>#N/A</v>
      </c>
      <c r="D466" s="6">
        <f>'Unique Dates'!B463</f>
        <v>0</v>
      </c>
      <c r="E466" t="str">
        <f>TEXT(Table57[[#This Row],[Date]],"dddd")</f>
        <v>Saturday</v>
      </c>
      <c r="F466" s="25" t="str" cm="1">
        <f t="array" ref="F466">IFERROR(_xlfn.XLOOKUP(Table57[[#This Row],[Code]],Table1[[#All],[Code]],Table1[[#All],[Time]],,0,1),"")</f>
        <v/>
      </c>
      <c r="G466" s="25" t="str" cm="1">
        <f t="array" ref="G466">IFERROR(_xlfn.XLOOKUP(Table57[[#This Row],[Code]],Table1[[#All],[Code]],Table1[[#All],[Time]],,0,-1),"")</f>
        <v/>
      </c>
      <c r="H466" s="23" t="str">
        <f>IFERROR(IF(Table57[[#This Row],[Out]]&gt;=Table57[[#This Row],[In]],Table57[[#This Row],[Out]]-Table57[[#This Row],[In]],(0.5+Table57[[#This Row],[Out]])-Table57[[#This Row],[In]]),"")</f>
        <v/>
      </c>
      <c r="I466" s="31" t="str">
        <f>IFERROR(IF(Table57[[#This Row],[In]]&gt;$C$2,Table57[[#This Row],[In]]-$C$2,""),"")</f>
        <v/>
      </c>
      <c r="J466" s="31" t="str">
        <f>IF(Table57[[#This Row],[Work_Hours]]=0,"",(IF(Table57[[#This Row],[Out]]&lt;$C$3,$C$3-Table57[[#This Row],[Out]],"")))</f>
        <v/>
      </c>
      <c r="K466" s="32" t="str">
        <f>IFERROR(Table57[[#This Row],[In]]+$C$1,"")</f>
        <v/>
      </c>
      <c r="L466" s="29"/>
      <c r="M466" s="31" t="str">
        <f>IF($C$2&gt;Table57[[#This Row],[In]],$C$2-Table57[[#This Row],[In]],"")</f>
        <v/>
      </c>
      <c r="N466" s="29" t="str">
        <f>IFERROR(IF(Table57[[#This Row],[Out]]&gt;$C$3,(Table57[[#This Row],[Out]])-($C$3),""),"")</f>
        <v/>
      </c>
    </row>
    <row r="467" spans="1:14" hidden="1" x14ac:dyDescent="0.25">
      <c r="A467" s="23" t="str">
        <f>Table57[[#This Row],[No.]]&amp;Table57[[#This Row],[Date]]</f>
        <v>00</v>
      </c>
      <c r="B467" s="22">
        <f>'Unique Dates'!A464</f>
        <v>0</v>
      </c>
      <c r="C467" s="22" t="e" cm="1">
        <f t="array" ref="C467">_xlfn.XLOOKUP(Table57[[#This Row],[No.]],Table2[[#All],[CODE]],Table2[[#All],[NAME]],,0,1)</f>
        <v>#N/A</v>
      </c>
      <c r="D467" s="6">
        <f>'Unique Dates'!B464</f>
        <v>0</v>
      </c>
      <c r="E467" t="str">
        <f>TEXT(Table57[[#This Row],[Date]],"dddd")</f>
        <v>Saturday</v>
      </c>
      <c r="F467" s="25" t="str" cm="1">
        <f t="array" ref="F467">IFERROR(_xlfn.XLOOKUP(Table57[[#This Row],[Code]],Table1[[#All],[Code]],Table1[[#All],[Time]],,0,1),"")</f>
        <v/>
      </c>
      <c r="G467" s="25" t="str" cm="1">
        <f t="array" ref="G467">IFERROR(_xlfn.XLOOKUP(Table57[[#This Row],[Code]],Table1[[#All],[Code]],Table1[[#All],[Time]],,0,-1),"")</f>
        <v/>
      </c>
      <c r="H467" s="23" t="str">
        <f>IFERROR(IF(Table57[[#This Row],[Out]]&gt;=Table57[[#This Row],[In]],Table57[[#This Row],[Out]]-Table57[[#This Row],[In]],(0.5+Table57[[#This Row],[Out]])-Table57[[#This Row],[In]]),"")</f>
        <v/>
      </c>
      <c r="I467" s="31" t="str">
        <f>IFERROR(IF(Table57[[#This Row],[In]]&gt;$C$2,Table57[[#This Row],[In]]-$C$2,""),"")</f>
        <v/>
      </c>
      <c r="J467" s="31" t="str">
        <f>IF(Table57[[#This Row],[Work_Hours]]=0,"",(IF(Table57[[#This Row],[Out]]&lt;$C$3,$C$3-Table57[[#This Row],[Out]],"")))</f>
        <v/>
      </c>
      <c r="K467" s="32" t="str">
        <f>IFERROR(Table57[[#This Row],[In]]+$C$1,"")</f>
        <v/>
      </c>
      <c r="L467" s="29"/>
      <c r="M467" s="31" t="str">
        <f>IF($C$2&gt;Table57[[#This Row],[In]],$C$2-Table57[[#This Row],[In]],"")</f>
        <v/>
      </c>
      <c r="N467" s="29" t="str">
        <f>IFERROR(IF(Table57[[#This Row],[Out]]&gt;$C$3,(Table57[[#This Row],[Out]])-($C$3),""),"")</f>
        <v/>
      </c>
    </row>
    <row r="468" spans="1:14" hidden="1" x14ac:dyDescent="0.25">
      <c r="A468" s="23" t="str">
        <f>Table57[[#This Row],[No.]]&amp;Table57[[#This Row],[Date]]</f>
        <v>00</v>
      </c>
      <c r="B468" s="22">
        <f>'Unique Dates'!A465</f>
        <v>0</v>
      </c>
      <c r="C468" s="22" t="e" cm="1">
        <f t="array" ref="C468">_xlfn.XLOOKUP(Table57[[#This Row],[No.]],Table2[[#All],[CODE]],Table2[[#All],[NAME]],,0,1)</f>
        <v>#N/A</v>
      </c>
      <c r="D468" s="6">
        <f>'Unique Dates'!B465</f>
        <v>0</v>
      </c>
      <c r="E468" t="str">
        <f>TEXT(Table57[[#This Row],[Date]],"dddd")</f>
        <v>Saturday</v>
      </c>
      <c r="F468" s="25" t="str" cm="1">
        <f t="array" ref="F468">IFERROR(_xlfn.XLOOKUP(Table57[[#This Row],[Code]],Table1[[#All],[Code]],Table1[[#All],[Time]],,0,1),"")</f>
        <v/>
      </c>
      <c r="G468" s="25" t="str" cm="1">
        <f t="array" ref="G468">IFERROR(_xlfn.XLOOKUP(Table57[[#This Row],[Code]],Table1[[#All],[Code]],Table1[[#All],[Time]],,0,-1),"")</f>
        <v/>
      </c>
      <c r="H468" s="23" t="str">
        <f>IFERROR(IF(Table57[[#This Row],[Out]]&gt;=Table57[[#This Row],[In]],Table57[[#This Row],[Out]]-Table57[[#This Row],[In]],(0.5+Table57[[#This Row],[Out]])-Table57[[#This Row],[In]]),"")</f>
        <v/>
      </c>
      <c r="I468" s="31" t="str">
        <f>IFERROR(IF(Table57[[#This Row],[In]]&gt;$C$2,Table57[[#This Row],[In]]-$C$2,""),"")</f>
        <v/>
      </c>
      <c r="J468" s="31" t="str">
        <f>IF(Table57[[#This Row],[Work_Hours]]=0,"",(IF(Table57[[#This Row],[Out]]&lt;$C$3,$C$3-Table57[[#This Row],[Out]],"")))</f>
        <v/>
      </c>
      <c r="K468" s="32" t="str">
        <f>IFERROR(Table57[[#This Row],[In]]+$C$1,"")</f>
        <v/>
      </c>
      <c r="L468" s="29"/>
      <c r="M468" s="31" t="str">
        <f>IF($C$2&gt;Table57[[#This Row],[In]],$C$2-Table57[[#This Row],[In]],"")</f>
        <v/>
      </c>
      <c r="N468" s="29" t="str">
        <f>IFERROR(IF(Table57[[#This Row],[Out]]&gt;$C$3,(Table57[[#This Row],[Out]])-($C$3),""),"")</f>
        <v/>
      </c>
    </row>
    <row r="469" spans="1:14" hidden="1" x14ac:dyDescent="0.25">
      <c r="A469" s="23" t="str">
        <f>Table57[[#This Row],[No.]]&amp;Table57[[#This Row],[Date]]</f>
        <v>00</v>
      </c>
      <c r="B469" s="22">
        <f>'Unique Dates'!A466</f>
        <v>0</v>
      </c>
      <c r="C469" s="22" t="e" cm="1">
        <f t="array" ref="C469">_xlfn.XLOOKUP(Table57[[#This Row],[No.]],Table2[[#All],[CODE]],Table2[[#All],[NAME]],,0,1)</f>
        <v>#N/A</v>
      </c>
      <c r="D469" s="6">
        <f>'Unique Dates'!B466</f>
        <v>0</v>
      </c>
      <c r="E469" t="str">
        <f>TEXT(Table57[[#This Row],[Date]],"dddd")</f>
        <v>Saturday</v>
      </c>
      <c r="F469" s="25" t="str" cm="1">
        <f t="array" ref="F469">IFERROR(_xlfn.XLOOKUP(Table57[[#This Row],[Code]],Table1[[#All],[Code]],Table1[[#All],[Time]],,0,1),"")</f>
        <v/>
      </c>
      <c r="G469" s="25" t="str" cm="1">
        <f t="array" ref="G469">IFERROR(_xlfn.XLOOKUP(Table57[[#This Row],[Code]],Table1[[#All],[Code]],Table1[[#All],[Time]],,0,-1),"")</f>
        <v/>
      </c>
      <c r="H469" s="23" t="str">
        <f>IFERROR(IF(Table57[[#This Row],[Out]]&gt;=Table57[[#This Row],[In]],Table57[[#This Row],[Out]]-Table57[[#This Row],[In]],(0.5+Table57[[#This Row],[Out]])-Table57[[#This Row],[In]]),"")</f>
        <v/>
      </c>
      <c r="I469" s="31" t="str">
        <f>IFERROR(IF(Table57[[#This Row],[In]]&gt;$C$2,Table57[[#This Row],[In]]-$C$2,""),"")</f>
        <v/>
      </c>
      <c r="J469" s="31" t="str">
        <f>IF(Table57[[#This Row],[Work_Hours]]=0,"",(IF(Table57[[#This Row],[Out]]&lt;$C$3,$C$3-Table57[[#This Row],[Out]],"")))</f>
        <v/>
      </c>
      <c r="K469" s="32" t="str">
        <f>IFERROR(Table57[[#This Row],[In]]+$C$1,"")</f>
        <v/>
      </c>
      <c r="L469" s="29"/>
      <c r="M469" s="31" t="str">
        <f>IF($C$2&gt;Table57[[#This Row],[In]],$C$2-Table57[[#This Row],[In]],"")</f>
        <v/>
      </c>
      <c r="N469" s="29" t="str">
        <f>IFERROR(IF(Table57[[#This Row],[Out]]&gt;$C$3,(Table57[[#This Row],[Out]])-($C$3),""),"")</f>
        <v/>
      </c>
    </row>
    <row r="470" spans="1:14" hidden="1" x14ac:dyDescent="0.25">
      <c r="A470" s="23" t="str">
        <f>Table57[[#This Row],[No.]]&amp;Table57[[#This Row],[Date]]</f>
        <v>00</v>
      </c>
      <c r="B470" s="22">
        <f>'Unique Dates'!A467</f>
        <v>0</v>
      </c>
      <c r="C470" s="22" t="e" cm="1">
        <f t="array" ref="C470">_xlfn.XLOOKUP(Table57[[#This Row],[No.]],Table2[[#All],[CODE]],Table2[[#All],[NAME]],,0,1)</f>
        <v>#N/A</v>
      </c>
      <c r="D470" s="6">
        <f>'Unique Dates'!B467</f>
        <v>0</v>
      </c>
      <c r="E470" t="str">
        <f>TEXT(Table57[[#This Row],[Date]],"dddd")</f>
        <v>Saturday</v>
      </c>
      <c r="F470" s="25" t="str" cm="1">
        <f t="array" ref="F470">IFERROR(_xlfn.XLOOKUP(Table57[[#This Row],[Code]],Table1[[#All],[Code]],Table1[[#All],[Time]],,0,1),"")</f>
        <v/>
      </c>
      <c r="G470" s="25" t="str" cm="1">
        <f t="array" ref="G470">IFERROR(_xlfn.XLOOKUP(Table57[[#This Row],[Code]],Table1[[#All],[Code]],Table1[[#All],[Time]],,0,-1),"")</f>
        <v/>
      </c>
      <c r="H470" s="23" t="str">
        <f>IFERROR(IF(Table57[[#This Row],[Out]]&gt;=Table57[[#This Row],[In]],Table57[[#This Row],[Out]]-Table57[[#This Row],[In]],(0.5+Table57[[#This Row],[Out]])-Table57[[#This Row],[In]]),"")</f>
        <v/>
      </c>
      <c r="I470" s="31" t="str">
        <f>IFERROR(IF(Table57[[#This Row],[In]]&gt;$C$2,Table57[[#This Row],[In]]-$C$2,""),"")</f>
        <v/>
      </c>
      <c r="J470" s="31" t="str">
        <f>IF(Table57[[#This Row],[Work_Hours]]=0,"",(IF(Table57[[#This Row],[Out]]&lt;$C$3,$C$3-Table57[[#This Row],[Out]],"")))</f>
        <v/>
      </c>
      <c r="K470" s="32" t="str">
        <f>IFERROR(Table57[[#This Row],[In]]+$C$1,"")</f>
        <v/>
      </c>
      <c r="L470" s="29"/>
      <c r="M470" s="31" t="str">
        <f>IF($C$2&gt;Table57[[#This Row],[In]],$C$2-Table57[[#This Row],[In]],"")</f>
        <v/>
      </c>
      <c r="N470" s="29" t="str">
        <f>IFERROR(IF(Table57[[#This Row],[Out]]&gt;$C$3,(Table57[[#This Row],[Out]])-($C$3),""),"")</f>
        <v/>
      </c>
    </row>
    <row r="471" spans="1:14" hidden="1" x14ac:dyDescent="0.25">
      <c r="A471" s="23" t="str">
        <f>Table57[[#This Row],[No.]]&amp;Table57[[#This Row],[Date]]</f>
        <v>00</v>
      </c>
      <c r="B471" s="22">
        <f>'Unique Dates'!A468</f>
        <v>0</v>
      </c>
      <c r="C471" s="22" t="e" cm="1">
        <f t="array" ref="C471">_xlfn.XLOOKUP(Table57[[#This Row],[No.]],Table2[[#All],[CODE]],Table2[[#All],[NAME]],,0,1)</f>
        <v>#N/A</v>
      </c>
      <c r="D471" s="6">
        <f>'Unique Dates'!B468</f>
        <v>0</v>
      </c>
      <c r="E471" t="str">
        <f>TEXT(Table57[[#This Row],[Date]],"dddd")</f>
        <v>Saturday</v>
      </c>
      <c r="F471" s="25" t="str" cm="1">
        <f t="array" ref="F471">IFERROR(_xlfn.XLOOKUP(Table57[[#This Row],[Code]],Table1[[#All],[Code]],Table1[[#All],[Time]],,0,1),"")</f>
        <v/>
      </c>
      <c r="G471" s="25" t="str" cm="1">
        <f t="array" ref="G471">IFERROR(_xlfn.XLOOKUP(Table57[[#This Row],[Code]],Table1[[#All],[Code]],Table1[[#All],[Time]],,0,-1),"")</f>
        <v/>
      </c>
      <c r="H471" s="23" t="str">
        <f>IFERROR(IF(Table57[[#This Row],[Out]]&gt;=Table57[[#This Row],[In]],Table57[[#This Row],[Out]]-Table57[[#This Row],[In]],(0.5+Table57[[#This Row],[Out]])-Table57[[#This Row],[In]]),"")</f>
        <v/>
      </c>
      <c r="I471" s="31" t="str">
        <f>IFERROR(IF(Table57[[#This Row],[In]]&gt;$C$2,Table57[[#This Row],[In]]-$C$2,""),"")</f>
        <v/>
      </c>
      <c r="J471" s="31" t="str">
        <f>IF(Table57[[#This Row],[Work_Hours]]=0,"",(IF(Table57[[#This Row],[Out]]&lt;$C$3,$C$3-Table57[[#This Row],[Out]],"")))</f>
        <v/>
      </c>
      <c r="K471" s="32" t="str">
        <f>IFERROR(Table57[[#This Row],[In]]+$C$1,"")</f>
        <v/>
      </c>
      <c r="L471" s="29"/>
      <c r="M471" s="31" t="str">
        <f>IF($C$2&gt;Table57[[#This Row],[In]],$C$2-Table57[[#This Row],[In]],"")</f>
        <v/>
      </c>
      <c r="N471" s="29" t="str">
        <f>IFERROR(IF(Table57[[#This Row],[Out]]&gt;$C$3,(Table57[[#This Row],[Out]])-($C$3),""),"")</f>
        <v/>
      </c>
    </row>
    <row r="472" spans="1:14" hidden="1" x14ac:dyDescent="0.25">
      <c r="A472" s="23" t="str">
        <f>Table57[[#This Row],[No.]]&amp;Table57[[#This Row],[Date]]</f>
        <v>00</v>
      </c>
      <c r="B472" s="22">
        <f>'Unique Dates'!A469</f>
        <v>0</v>
      </c>
      <c r="C472" s="22" t="e" cm="1">
        <f t="array" ref="C472">_xlfn.XLOOKUP(Table57[[#This Row],[No.]],Table2[[#All],[CODE]],Table2[[#All],[NAME]],,0,1)</f>
        <v>#N/A</v>
      </c>
      <c r="D472" s="6">
        <f>'Unique Dates'!B469</f>
        <v>0</v>
      </c>
      <c r="E472" t="str">
        <f>TEXT(Table57[[#This Row],[Date]],"dddd")</f>
        <v>Saturday</v>
      </c>
      <c r="F472" s="25" t="str" cm="1">
        <f t="array" ref="F472">IFERROR(_xlfn.XLOOKUP(Table57[[#This Row],[Code]],Table1[[#All],[Code]],Table1[[#All],[Time]],,0,1),"")</f>
        <v/>
      </c>
      <c r="G472" s="25" t="str" cm="1">
        <f t="array" ref="G472">IFERROR(_xlfn.XLOOKUP(Table57[[#This Row],[Code]],Table1[[#All],[Code]],Table1[[#All],[Time]],,0,-1),"")</f>
        <v/>
      </c>
      <c r="H472" s="23" t="str">
        <f>IFERROR(IF(Table57[[#This Row],[Out]]&gt;=Table57[[#This Row],[In]],Table57[[#This Row],[Out]]-Table57[[#This Row],[In]],(0.5+Table57[[#This Row],[Out]])-Table57[[#This Row],[In]]),"")</f>
        <v/>
      </c>
      <c r="I472" s="31" t="str">
        <f>IFERROR(IF(Table57[[#This Row],[In]]&gt;$C$2,Table57[[#This Row],[In]]-$C$2,""),"")</f>
        <v/>
      </c>
      <c r="J472" s="31" t="str">
        <f>IF(Table57[[#This Row],[Work_Hours]]=0,"",(IF(Table57[[#This Row],[Out]]&lt;$C$3,$C$3-Table57[[#This Row],[Out]],"")))</f>
        <v/>
      </c>
      <c r="K472" s="32" t="str">
        <f>IFERROR(Table57[[#This Row],[In]]+$C$1,"")</f>
        <v/>
      </c>
      <c r="L472" s="29"/>
      <c r="M472" s="31" t="str">
        <f>IF($C$2&gt;Table57[[#This Row],[In]],$C$2-Table57[[#This Row],[In]],"")</f>
        <v/>
      </c>
      <c r="N472" s="29" t="str">
        <f>IFERROR(IF(Table57[[#This Row],[Out]]&gt;$C$3,(Table57[[#This Row],[Out]])-($C$3),""),"")</f>
        <v/>
      </c>
    </row>
    <row r="473" spans="1:14" hidden="1" x14ac:dyDescent="0.25">
      <c r="A473" s="23" t="str">
        <f>Table57[[#This Row],[No.]]&amp;Table57[[#This Row],[Date]]</f>
        <v>00</v>
      </c>
      <c r="B473" s="22">
        <f>'Unique Dates'!A470</f>
        <v>0</v>
      </c>
      <c r="C473" s="22" t="e" cm="1">
        <f t="array" ref="C473">_xlfn.XLOOKUP(Table57[[#This Row],[No.]],Table2[[#All],[CODE]],Table2[[#All],[NAME]],,0,1)</f>
        <v>#N/A</v>
      </c>
      <c r="D473" s="6">
        <f>'Unique Dates'!B470</f>
        <v>0</v>
      </c>
      <c r="E473" t="str">
        <f>TEXT(Table57[[#This Row],[Date]],"dddd")</f>
        <v>Saturday</v>
      </c>
      <c r="F473" s="25" t="str" cm="1">
        <f t="array" ref="F473">IFERROR(_xlfn.XLOOKUP(Table57[[#This Row],[Code]],Table1[[#All],[Code]],Table1[[#All],[Time]],,0,1),"")</f>
        <v/>
      </c>
      <c r="G473" s="25" t="str" cm="1">
        <f t="array" ref="G473">IFERROR(_xlfn.XLOOKUP(Table57[[#This Row],[Code]],Table1[[#All],[Code]],Table1[[#All],[Time]],,0,-1),"")</f>
        <v/>
      </c>
      <c r="H473" s="23" t="str">
        <f>IFERROR(IF(Table57[[#This Row],[Out]]&gt;=Table57[[#This Row],[In]],Table57[[#This Row],[Out]]-Table57[[#This Row],[In]],(0.5+Table57[[#This Row],[Out]])-Table57[[#This Row],[In]]),"")</f>
        <v/>
      </c>
      <c r="I473" s="31" t="str">
        <f>IFERROR(IF(Table57[[#This Row],[In]]&gt;$C$2,Table57[[#This Row],[In]]-$C$2,""),"")</f>
        <v/>
      </c>
      <c r="J473" s="31" t="str">
        <f>IF(Table57[[#This Row],[Work_Hours]]=0,"",(IF(Table57[[#This Row],[Out]]&lt;$C$3,$C$3-Table57[[#This Row],[Out]],"")))</f>
        <v/>
      </c>
      <c r="K473" s="32" t="str">
        <f>IFERROR(Table57[[#This Row],[In]]+$C$1,"")</f>
        <v/>
      </c>
      <c r="L473" s="29"/>
      <c r="M473" s="31" t="str">
        <f>IF($C$2&gt;Table57[[#This Row],[In]],$C$2-Table57[[#This Row],[In]],"")</f>
        <v/>
      </c>
      <c r="N473" s="29" t="str">
        <f>IFERROR(IF(Table57[[#This Row],[Out]]&gt;$C$3,(Table57[[#This Row],[Out]])-($C$3),""),"")</f>
        <v/>
      </c>
    </row>
    <row r="474" spans="1:14" hidden="1" x14ac:dyDescent="0.25">
      <c r="A474" s="23" t="str">
        <f>Table57[[#This Row],[No.]]&amp;Table57[[#This Row],[Date]]</f>
        <v>00</v>
      </c>
      <c r="B474" s="22">
        <f>'Unique Dates'!A471</f>
        <v>0</v>
      </c>
      <c r="C474" s="22" t="e" cm="1">
        <f t="array" ref="C474">_xlfn.XLOOKUP(Table57[[#This Row],[No.]],Table2[[#All],[CODE]],Table2[[#All],[NAME]],,0,1)</f>
        <v>#N/A</v>
      </c>
      <c r="D474" s="6">
        <f>'Unique Dates'!B471</f>
        <v>0</v>
      </c>
      <c r="E474" t="str">
        <f>TEXT(Table57[[#This Row],[Date]],"dddd")</f>
        <v>Saturday</v>
      </c>
      <c r="F474" s="25" t="str" cm="1">
        <f t="array" ref="F474">IFERROR(_xlfn.XLOOKUP(Table57[[#This Row],[Code]],Table1[[#All],[Code]],Table1[[#All],[Time]],,0,1),"")</f>
        <v/>
      </c>
      <c r="G474" s="25" t="str" cm="1">
        <f t="array" ref="G474">IFERROR(_xlfn.XLOOKUP(Table57[[#This Row],[Code]],Table1[[#All],[Code]],Table1[[#All],[Time]],,0,-1),"")</f>
        <v/>
      </c>
      <c r="H474" s="23" t="str">
        <f>IFERROR(IF(Table57[[#This Row],[Out]]&gt;=Table57[[#This Row],[In]],Table57[[#This Row],[Out]]-Table57[[#This Row],[In]],(0.5+Table57[[#This Row],[Out]])-Table57[[#This Row],[In]]),"")</f>
        <v/>
      </c>
      <c r="I474" s="31" t="str">
        <f>IFERROR(IF(Table57[[#This Row],[In]]&gt;$C$2,Table57[[#This Row],[In]]-$C$2,""),"")</f>
        <v/>
      </c>
      <c r="J474" s="31" t="str">
        <f>IF(Table57[[#This Row],[Work_Hours]]=0,"",(IF(Table57[[#This Row],[Out]]&lt;$C$3,$C$3-Table57[[#This Row],[Out]],"")))</f>
        <v/>
      </c>
      <c r="K474" s="32" t="str">
        <f>IFERROR(Table57[[#This Row],[In]]+$C$1,"")</f>
        <v/>
      </c>
      <c r="L474" s="29"/>
      <c r="M474" s="31" t="str">
        <f>IF($C$2&gt;Table57[[#This Row],[In]],$C$2-Table57[[#This Row],[In]],"")</f>
        <v/>
      </c>
      <c r="N474" s="29" t="str">
        <f>IFERROR(IF(Table57[[#This Row],[Out]]&gt;$C$3,(Table57[[#This Row],[Out]])-($C$3),""),"")</f>
        <v/>
      </c>
    </row>
    <row r="475" spans="1:14" hidden="1" x14ac:dyDescent="0.25">
      <c r="A475" s="23" t="str">
        <f>Table57[[#This Row],[No.]]&amp;Table57[[#This Row],[Date]]</f>
        <v>00</v>
      </c>
      <c r="B475" s="22">
        <f>'Unique Dates'!A472</f>
        <v>0</v>
      </c>
      <c r="C475" s="22" t="e" cm="1">
        <f t="array" ref="C475">_xlfn.XLOOKUP(Table57[[#This Row],[No.]],Table2[[#All],[CODE]],Table2[[#All],[NAME]],,0,1)</f>
        <v>#N/A</v>
      </c>
      <c r="D475" s="6">
        <f>'Unique Dates'!B472</f>
        <v>0</v>
      </c>
      <c r="E475" t="str">
        <f>TEXT(Table57[[#This Row],[Date]],"dddd")</f>
        <v>Saturday</v>
      </c>
      <c r="F475" s="25" t="str" cm="1">
        <f t="array" ref="F475">IFERROR(_xlfn.XLOOKUP(Table57[[#This Row],[Code]],Table1[[#All],[Code]],Table1[[#All],[Time]],,0,1),"")</f>
        <v/>
      </c>
      <c r="G475" s="25" t="str" cm="1">
        <f t="array" ref="G475">IFERROR(_xlfn.XLOOKUP(Table57[[#This Row],[Code]],Table1[[#All],[Code]],Table1[[#All],[Time]],,0,-1),"")</f>
        <v/>
      </c>
      <c r="H475" s="23" t="str">
        <f>IFERROR(IF(Table57[[#This Row],[Out]]&gt;=Table57[[#This Row],[In]],Table57[[#This Row],[Out]]-Table57[[#This Row],[In]],(0.5+Table57[[#This Row],[Out]])-Table57[[#This Row],[In]]),"")</f>
        <v/>
      </c>
      <c r="I475" s="31" t="str">
        <f>IFERROR(IF(Table57[[#This Row],[In]]&gt;$C$2,Table57[[#This Row],[In]]-$C$2,""),"")</f>
        <v/>
      </c>
      <c r="J475" s="31" t="str">
        <f>IF(Table57[[#This Row],[Work_Hours]]=0,"",(IF(Table57[[#This Row],[Out]]&lt;$C$3,$C$3-Table57[[#This Row],[Out]],"")))</f>
        <v/>
      </c>
      <c r="K475" s="32" t="str">
        <f>IFERROR(Table57[[#This Row],[In]]+$C$1,"")</f>
        <v/>
      </c>
      <c r="L475" s="29"/>
      <c r="M475" s="31" t="str">
        <f>IF($C$2&gt;Table57[[#This Row],[In]],$C$2-Table57[[#This Row],[In]],"")</f>
        <v/>
      </c>
      <c r="N475" s="29" t="str">
        <f>IFERROR(IF(Table57[[#This Row],[Out]]&gt;$C$3,(Table57[[#This Row],[Out]])-($C$3),""),"")</f>
        <v/>
      </c>
    </row>
    <row r="476" spans="1:14" hidden="1" x14ac:dyDescent="0.25">
      <c r="A476" s="23" t="str">
        <f>Table57[[#This Row],[No.]]&amp;Table57[[#This Row],[Date]]</f>
        <v>00</v>
      </c>
      <c r="B476" s="22">
        <f>'Unique Dates'!A473</f>
        <v>0</v>
      </c>
      <c r="C476" s="22" t="e" cm="1">
        <f t="array" ref="C476">_xlfn.XLOOKUP(Table57[[#This Row],[No.]],Table2[[#All],[CODE]],Table2[[#All],[NAME]],,0,1)</f>
        <v>#N/A</v>
      </c>
      <c r="D476" s="6">
        <f>'Unique Dates'!B473</f>
        <v>0</v>
      </c>
      <c r="E476" t="str">
        <f>TEXT(Table57[[#This Row],[Date]],"dddd")</f>
        <v>Saturday</v>
      </c>
      <c r="F476" s="25" t="str" cm="1">
        <f t="array" ref="F476">IFERROR(_xlfn.XLOOKUP(Table57[[#This Row],[Code]],Table1[[#All],[Code]],Table1[[#All],[Time]],,0,1),"")</f>
        <v/>
      </c>
      <c r="G476" s="25" t="str" cm="1">
        <f t="array" ref="G476">IFERROR(_xlfn.XLOOKUP(Table57[[#This Row],[Code]],Table1[[#All],[Code]],Table1[[#All],[Time]],,0,-1),"")</f>
        <v/>
      </c>
      <c r="H476" s="23" t="str">
        <f>IFERROR(IF(Table57[[#This Row],[Out]]&gt;=Table57[[#This Row],[In]],Table57[[#This Row],[Out]]-Table57[[#This Row],[In]],(0.5+Table57[[#This Row],[Out]])-Table57[[#This Row],[In]]),"")</f>
        <v/>
      </c>
      <c r="I476" s="31" t="str">
        <f>IFERROR(IF(Table57[[#This Row],[In]]&gt;$C$2,Table57[[#This Row],[In]]-$C$2,""),"")</f>
        <v/>
      </c>
      <c r="J476" s="31" t="str">
        <f>IF(Table57[[#This Row],[Work_Hours]]=0,"",(IF(Table57[[#This Row],[Out]]&lt;$C$3,$C$3-Table57[[#This Row],[Out]],"")))</f>
        <v/>
      </c>
      <c r="K476" s="32" t="str">
        <f>IFERROR(Table57[[#This Row],[In]]+$C$1,"")</f>
        <v/>
      </c>
      <c r="L476" s="29"/>
      <c r="M476" s="31" t="str">
        <f>IF($C$2&gt;Table57[[#This Row],[In]],$C$2-Table57[[#This Row],[In]],"")</f>
        <v/>
      </c>
      <c r="N476" s="29" t="str">
        <f>IFERROR(IF(Table57[[#This Row],[Out]]&gt;$C$3,(Table57[[#This Row],[Out]])-($C$3),""),"")</f>
        <v/>
      </c>
    </row>
    <row r="477" spans="1:14" hidden="1" x14ac:dyDescent="0.25">
      <c r="A477" s="23" t="str">
        <f>Table57[[#This Row],[No.]]&amp;Table57[[#This Row],[Date]]</f>
        <v>00</v>
      </c>
      <c r="B477" s="22">
        <f>'Unique Dates'!A474</f>
        <v>0</v>
      </c>
      <c r="C477" s="22" t="e" cm="1">
        <f t="array" ref="C477">_xlfn.XLOOKUP(Table57[[#This Row],[No.]],Table2[[#All],[CODE]],Table2[[#All],[NAME]],,0,1)</f>
        <v>#N/A</v>
      </c>
      <c r="D477" s="6">
        <f>'Unique Dates'!B474</f>
        <v>0</v>
      </c>
      <c r="E477" t="str">
        <f>TEXT(Table57[[#This Row],[Date]],"dddd")</f>
        <v>Saturday</v>
      </c>
      <c r="F477" s="25" t="str" cm="1">
        <f t="array" ref="F477">IFERROR(_xlfn.XLOOKUP(Table57[[#This Row],[Code]],Table1[[#All],[Code]],Table1[[#All],[Time]],,0,1),"")</f>
        <v/>
      </c>
      <c r="G477" s="25" t="str" cm="1">
        <f t="array" ref="G477">IFERROR(_xlfn.XLOOKUP(Table57[[#This Row],[Code]],Table1[[#All],[Code]],Table1[[#All],[Time]],,0,-1),"")</f>
        <v/>
      </c>
      <c r="H477" s="23" t="str">
        <f>IFERROR(IF(Table57[[#This Row],[Out]]&gt;=Table57[[#This Row],[In]],Table57[[#This Row],[Out]]-Table57[[#This Row],[In]],(0.5+Table57[[#This Row],[Out]])-Table57[[#This Row],[In]]),"")</f>
        <v/>
      </c>
      <c r="I477" s="31" t="str">
        <f>IFERROR(IF(Table57[[#This Row],[In]]&gt;$C$2,Table57[[#This Row],[In]]-$C$2,""),"")</f>
        <v/>
      </c>
      <c r="J477" s="31" t="str">
        <f>IF(Table57[[#This Row],[Work_Hours]]=0,"",(IF(Table57[[#This Row],[Out]]&lt;$C$3,$C$3-Table57[[#This Row],[Out]],"")))</f>
        <v/>
      </c>
      <c r="K477" s="32" t="str">
        <f>IFERROR(Table57[[#This Row],[In]]+$C$1,"")</f>
        <v/>
      </c>
      <c r="L477" s="29"/>
      <c r="M477" s="31" t="str">
        <f>IF($C$2&gt;Table57[[#This Row],[In]],$C$2-Table57[[#This Row],[In]],"")</f>
        <v/>
      </c>
      <c r="N477" s="29" t="str">
        <f>IFERROR(IF(Table57[[#This Row],[Out]]&gt;$C$3,(Table57[[#This Row],[Out]])-($C$3),""),"")</f>
        <v/>
      </c>
    </row>
    <row r="478" spans="1:14" hidden="1" x14ac:dyDescent="0.25">
      <c r="A478" s="23" t="str">
        <f>Table57[[#This Row],[No.]]&amp;Table57[[#This Row],[Date]]</f>
        <v>00</v>
      </c>
      <c r="B478" s="22">
        <f>'Unique Dates'!A475</f>
        <v>0</v>
      </c>
      <c r="C478" s="22" t="e" cm="1">
        <f t="array" ref="C478">_xlfn.XLOOKUP(Table57[[#This Row],[No.]],Table2[[#All],[CODE]],Table2[[#All],[NAME]],,0,1)</f>
        <v>#N/A</v>
      </c>
      <c r="D478" s="6">
        <f>'Unique Dates'!B475</f>
        <v>0</v>
      </c>
      <c r="E478" t="str">
        <f>TEXT(Table57[[#This Row],[Date]],"dddd")</f>
        <v>Saturday</v>
      </c>
      <c r="F478" s="25" t="str" cm="1">
        <f t="array" ref="F478">IFERROR(_xlfn.XLOOKUP(Table57[[#This Row],[Code]],Table1[[#All],[Code]],Table1[[#All],[Time]],,0,1),"")</f>
        <v/>
      </c>
      <c r="G478" s="25" t="str" cm="1">
        <f t="array" ref="G478">IFERROR(_xlfn.XLOOKUP(Table57[[#This Row],[Code]],Table1[[#All],[Code]],Table1[[#All],[Time]],,0,-1),"")</f>
        <v/>
      </c>
      <c r="H478" s="23" t="str">
        <f>IFERROR(IF(Table57[[#This Row],[Out]]&gt;=Table57[[#This Row],[In]],Table57[[#This Row],[Out]]-Table57[[#This Row],[In]],(0.5+Table57[[#This Row],[Out]])-Table57[[#This Row],[In]]),"")</f>
        <v/>
      </c>
      <c r="I478" s="31" t="str">
        <f>IFERROR(IF(Table57[[#This Row],[In]]&gt;$C$2,Table57[[#This Row],[In]]-$C$2,""),"")</f>
        <v/>
      </c>
      <c r="J478" s="31" t="str">
        <f>IF(Table57[[#This Row],[Work_Hours]]=0,"",(IF(Table57[[#This Row],[Out]]&lt;$C$3,$C$3-Table57[[#This Row],[Out]],"")))</f>
        <v/>
      </c>
      <c r="K478" s="32" t="str">
        <f>IFERROR(Table57[[#This Row],[In]]+$C$1,"")</f>
        <v/>
      </c>
      <c r="L478" s="29"/>
      <c r="M478" s="31" t="str">
        <f>IF($C$2&gt;Table57[[#This Row],[In]],$C$2-Table57[[#This Row],[In]],"")</f>
        <v/>
      </c>
      <c r="N478" s="29" t="str">
        <f>IFERROR(IF(Table57[[#This Row],[Out]]&gt;$C$3,(Table57[[#This Row],[Out]])-($C$3),""),"")</f>
        <v/>
      </c>
    </row>
    <row r="479" spans="1:14" hidden="1" x14ac:dyDescent="0.25">
      <c r="A479" s="23" t="str">
        <f>Table57[[#This Row],[No.]]&amp;Table57[[#This Row],[Date]]</f>
        <v>00</v>
      </c>
      <c r="B479" s="22">
        <f>'Unique Dates'!A476</f>
        <v>0</v>
      </c>
      <c r="C479" s="22" t="e" cm="1">
        <f t="array" ref="C479">_xlfn.XLOOKUP(Table57[[#This Row],[No.]],Table2[[#All],[CODE]],Table2[[#All],[NAME]],,0,1)</f>
        <v>#N/A</v>
      </c>
      <c r="D479" s="6">
        <f>'Unique Dates'!B476</f>
        <v>0</v>
      </c>
      <c r="E479" t="str">
        <f>TEXT(Table57[[#This Row],[Date]],"dddd")</f>
        <v>Saturday</v>
      </c>
      <c r="F479" s="25" t="str" cm="1">
        <f t="array" ref="F479">IFERROR(_xlfn.XLOOKUP(Table57[[#This Row],[Code]],Table1[[#All],[Code]],Table1[[#All],[Time]],,0,1),"")</f>
        <v/>
      </c>
      <c r="G479" s="25" t="str" cm="1">
        <f t="array" ref="G479">IFERROR(_xlfn.XLOOKUP(Table57[[#This Row],[Code]],Table1[[#All],[Code]],Table1[[#All],[Time]],,0,-1),"")</f>
        <v/>
      </c>
      <c r="H479" s="23" t="str">
        <f>IFERROR(IF(Table57[[#This Row],[Out]]&gt;=Table57[[#This Row],[In]],Table57[[#This Row],[Out]]-Table57[[#This Row],[In]],(0.5+Table57[[#This Row],[Out]])-Table57[[#This Row],[In]]),"")</f>
        <v/>
      </c>
      <c r="I479" s="31" t="str">
        <f>IFERROR(IF(Table57[[#This Row],[In]]&gt;$C$2,Table57[[#This Row],[In]]-$C$2,""),"")</f>
        <v/>
      </c>
      <c r="J479" s="31" t="str">
        <f>IF(Table57[[#This Row],[Work_Hours]]=0,"",(IF(Table57[[#This Row],[Out]]&lt;$C$3,$C$3-Table57[[#This Row],[Out]],"")))</f>
        <v/>
      </c>
      <c r="K479" s="32" t="str">
        <f>IFERROR(Table57[[#This Row],[In]]+$C$1,"")</f>
        <v/>
      </c>
      <c r="L479" s="29"/>
      <c r="M479" s="31" t="str">
        <f>IF($C$2&gt;Table57[[#This Row],[In]],$C$2-Table57[[#This Row],[In]],"")</f>
        <v/>
      </c>
      <c r="N479" s="29" t="str">
        <f>IFERROR(IF(Table57[[#This Row],[Out]]&gt;$C$3,(Table57[[#This Row],[Out]])-($C$3),""),"")</f>
        <v/>
      </c>
    </row>
    <row r="480" spans="1:14" hidden="1" x14ac:dyDescent="0.25">
      <c r="A480" s="23" t="str">
        <f>Table57[[#This Row],[No.]]&amp;Table57[[#This Row],[Date]]</f>
        <v>00</v>
      </c>
      <c r="B480" s="22">
        <f>'Unique Dates'!A477</f>
        <v>0</v>
      </c>
      <c r="C480" s="22" t="e" cm="1">
        <f t="array" ref="C480">_xlfn.XLOOKUP(Table57[[#This Row],[No.]],Table2[[#All],[CODE]],Table2[[#All],[NAME]],,0,1)</f>
        <v>#N/A</v>
      </c>
      <c r="D480" s="6">
        <f>'Unique Dates'!B477</f>
        <v>0</v>
      </c>
      <c r="E480" t="str">
        <f>TEXT(Table57[[#This Row],[Date]],"dddd")</f>
        <v>Saturday</v>
      </c>
      <c r="F480" s="25" t="str" cm="1">
        <f t="array" ref="F480">IFERROR(_xlfn.XLOOKUP(Table57[[#This Row],[Code]],Table1[[#All],[Code]],Table1[[#All],[Time]],,0,1),"")</f>
        <v/>
      </c>
      <c r="G480" s="25" t="str" cm="1">
        <f t="array" ref="G480">IFERROR(_xlfn.XLOOKUP(Table57[[#This Row],[Code]],Table1[[#All],[Code]],Table1[[#All],[Time]],,0,-1),"")</f>
        <v/>
      </c>
      <c r="H480" s="23" t="str">
        <f>IFERROR(IF(Table57[[#This Row],[Out]]&gt;=Table57[[#This Row],[In]],Table57[[#This Row],[Out]]-Table57[[#This Row],[In]],(0.5+Table57[[#This Row],[Out]])-Table57[[#This Row],[In]]),"")</f>
        <v/>
      </c>
      <c r="I480" s="31" t="str">
        <f>IFERROR(IF(Table57[[#This Row],[In]]&gt;$C$2,Table57[[#This Row],[In]]-$C$2,""),"")</f>
        <v/>
      </c>
      <c r="J480" s="31" t="str">
        <f>IF(Table57[[#This Row],[Work_Hours]]=0,"",(IF(Table57[[#This Row],[Out]]&lt;$C$3,$C$3-Table57[[#This Row],[Out]],"")))</f>
        <v/>
      </c>
      <c r="K480" s="32" t="str">
        <f>IFERROR(Table57[[#This Row],[In]]+$C$1,"")</f>
        <v/>
      </c>
      <c r="L480" s="29"/>
      <c r="M480" s="31" t="str">
        <f>IF($C$2&gt;Table57[[#This Row],[In]],$C$2-Table57[[#This Row],[In]],"")</f>
        <v/>
      </c>
      <c r="N480" s="29" t="str">
        <f>IFERROR(IF(Table57[[#This Row],[Out]]&gt;$C$3,(Table57[[#This Row],[Out]])-($C$3),""),"")</f>
        <v/>
      </c>
    </row>
    <row r="481" spans="1:14" hidden="1" x14ac:dyDescent="0.25">
      <c r="A481" s="23" t="str">
        <f>Table57[[#This Row],[No.]]&amp;Table57[[#This Row],[Date]]</f>
        <v>00</v>
      </c>
      <c r="B481" s="22">
        <f>'Unique Dates'!A478</f>
        <v>0</v>
      </c>
      <c r="C481" s="22" t="e" cm="1">
        <f t="array" ref="C481">_xlfn.XLOOKUP(Table57[[#This Row],[No.]],Table2[[#All],[CODE]],Table2[[#All],[NAME]],,0,1)</f>
        <v>#N/A</v>
      </c>
      <c r="D481" s="6">
        <f>'Unique Dates'!B478</f>
        <v>0</v>
      </c>
      <c r="E481" t="str">
        <f>TEXT(Table57[[#This Row],[Date]],"dddd")</f>
        <v>Saturday</v>
      </c>
      <c r="F481" s="25" t="str" cm="1">
        <f t="array" ref="F481">IFERROR(_xlfn.XLOOKUP(Table57[[#This Row],[Code]],Table1[[#All],[Code]],Table1[[#All],[Time]],,0,1),"")</f>
        <v/>
      </c>
      <c r="G481" s="25" t="str" cm="1">
        <f t="array" ref="G481">IFERROR(_xlfn.XLOOKUP(Table57[[#This Row],[Code]],Table1[[#All],[Code]],Table1[[#All],[Time]],,0,-1),"")</f>
        <v/>
      </c>
      <c r="H481" s="23" t="str">
        <f>IFERROR(IF(Table57[[#This Row],[Out]]&gt;=Table57[[#This Row],[In]],Table57[[#This Row],[Out]]-Table57[[#This Row],[In]],(0.5+Table57[[#This Row],[Out]])-Table57[[#This Row],[In]]),"")</f>
        <v/>
      </c>
      <c r="I481" s="31" t="str">
        <f>IFERROR(IF(Table57[[#This Row],[In]]&gt;$C$2,Table57[[#This Row],[In]]-$C$2,""),"")</f>
        <v/>
      </c>
      <c r="J481" s="31" t="str">
        <f>IF(Table57[[#This Row],[Work_Hours]]=0,"",(IF(Table57[[#This Row],[Out]]&lt;$C$3,$C$3-Table57[[#This Row],[Out]],"")))</f>
        <v/>
      </c>
      <c r="K481" s="32" t="str">
        <f>IFERROR(Table57[[#This Row],[In]]+$C$1,"")</f>
        <v/>
      </c>
      <c r="L481" s="29"/>
      <c r="M481" s="31" t="str">
        <f>IF($C$2&gt;Table57[[#This Row],[In]],$C$2-Table57[[#This Row],[In]],"")</f>
        <v/>
      </c>
      <c r="N481" s="29" t="str">
        <f>IFERROR(IF(Table57[[#This Row],[Out]]&gt;$C$3,(Table57[[#This Row],[Out]])-($C$3),""),"")</f>
        <v/>
      </c>
    </row>
    <row r="482" spans="1:14" hidden="1" x14ac:dyDescent="0.25">
      <c r="A482" s="23" t="str">
        <f>Table57[[#This Row],[No.]]&amp;Table57[[#This Row],[Date]]</f>
        <v>00</v>
      </c>
      <c r="B482" s="22">
        <f>'Unique Dates'!A479</f>
        <v>0</v>
      </c>
      <c r="C482" s="22" t="e" cm="1">
        <f t="array" ref="C482">_xlfn.XLOOKUP(Table57[[#This Row],[No.]],Table2[[#All],[CODE]],Table2[[#All],[NAME]],,0,1)</f>
        <v>#N/A</v>
      </c>
      <c r="D482" s="6">
        <f>'Unique Dates'!B479</f>
        <v>0</v>
      </c>
      <c r="E482" t="str">
        <f>TEXT(Table57[[#This Row],[Date]],"dddd")</f>
        <v>Saturday</v>
      </c>
      <c r="F482" s="25" t="str" cm="1">
        <f t="array" ref="F482">IFERROR(_xlfn.XLOOKUP(Table57[[#This Row],[Code]],Table1[[#All],[Code]],Table1[[#All],[Time]],,0,1),"")</f>
        <v/>
      </c>
      <c r="G482" s="25" t="str" cm="1">
        <f t="array" ref="G482">IFERROR(_xlfn.XLOOKUP(Table57[[#This Row],[Code]],Table1[[#All],[Code]],Table1[[#All],[Time]],,0,-1),"")</f>
        <v/>
      </c>
      <c r="H482" s="23" t="str">
        <f>IFERROR(IF(Table57[[#This Row],[Out]]&gt;=Table57[[#This Row],[In]],Table57[[#This Row],[Out]]-Table57[[#This Row],[In]],(0.5+Table57[[#This Row],[Out]])-Table57[[#This Row],[In]]),"")</f>
        <v/>
      </c>
      <c r="I482" s="31" t="str">
        <f>IFERROR(IF(Table57[[#This Row],[In]]&gt;$C$2,Table57[[#This Row],[In]]-$C$2,""),"")</f>
        <v/>
      </c>
      <c r="J482" s="31" t="str">
        <f>IF(Table57[[#This Row],[Work_Hours]]=0,"",(IF(Table57[[#This Row],[Out]]&lt;$C$3,$C$3-Table57[[#This Row],[Out]],"")))</f>
        <v/>
      </c>
      <c r="K482" s="32" t="str">
        <f>IFERROR(Table57[[#This Row],[In]]+$C$1,"")</f>
        <v/>
      </c>
      <c r="L482" s="29"/>
      <c r="M482" s="31" t="str">
        <f>IF($C$2&gt;Table57[[#This Row],[In]],$C$2-Table57[[#This Row],[In]],"")</f>
        <v/>
      </c>
      <c r="N482" s="29" t="str">
        <f>IFERROR(IF(Table57[[#This Row],[Out]]&gt;$C$3,(Table57[[#This Row],[Out]])-($C$3),""),"")</f>
        <v/>
      </c>
    </row>
    <row r="483" spans="1:14" hidden="1" x14ac:dyDescent="0.25">
      <c r="A483" s="23" t="str">
        <f>Table57[[#This Row],[No.]]&amp;Table57[[#This Row],[Date]]</f>
        <v>00</v>
      </c>
      <c r="B483" s="22">
        <f>'Unique Dates'!A480</f>
        <v>0</v>
      </c>
      <c r="C483" s="22" t="e" cm="1">
        <f t="array" ref="C483">_xlfn.XLOOKUP(Table57[[#This Row],[No.]],Table2[[#All],[CODE]],Table2[[#All],[NAME]],,0,1)</f>
        <v>#N/A</v>
      </c>
      <c r="D483" s="6">
        <f>'Unique Dates'!B480</f>
        <v>0</v>
      </c>
      <c r="E483" t="str">
        <f>TEXT(Table57[[#This Row],[Date]],"dddd")</f>
        <v>Saturday</v>
      </c>
      <c r="F483" s="25" t="str" cm="1">
        <f t="array" ref="F483">IFERROR(_xlfn.XLOOKUP(Table57[[#This Row],[Code]],Table1[[#All],[Code]],Table1[[#All],[Time]],,0,1),"")</f>
        <v/>
      </c>
      <c r="G483" s="25" t="str" cm="1">
        <f t="array" ref="G483">IFERROR(_xlfn.XLOOKUP(Table57[[#This Row],[Code]],Table1[[#All],[Code]],Table1[[#All],[Time]],,0,-1),"")</f>
        <v/>
      </c>
      <c r="H483" s="23" t="str">
        <f>IFERROR(IF(Table57[[#This Row],[Out]]&gt;=Table57[[#This Row],[In]],Table57[[#This Row],[Out]]-Table57[[#This Row],[In]],(0.5+Table57[[#This Row],[Out]])-Table57[[#This Row],[In]]),"")</f>
        <v/>
      </c>
      <c r="I483" s="31" t="str">
        <f>IFERROR(IF(Table57[[#This Row],[In]]&gt;$C$2,Table57[[#This Row],[In]]-$C$2,""),"")</f>
        <v/>
      </c>
      <c r="J483" s="31" t="str">
        <f>IF(Table57[[#This Row],[Work_Hours]]=0,"",(IF(Table57[[#This Row],[Out]]&lt;$C$3,$C$3-Table57[[#This Row],[Out]],"")))</f>
        <v/>
      </c>
      <c r="K483" s="32" t="str">
        <f>IFERROR(Table57[[#This Row],[In]]+$C$1,"")</f>
        <v/>
      </c>
      <c r="L483" s="29"/>
      <c r="M483" s="31" t="str">
        <f>IF($C$2&gt;Table57[[#This Row],[In]],$C$2-Table57[[#This Row],[In]],"")</f>
        <v/>
      </c>
      <c r="N483" s="29" t="str">
        <f>IFERROR(IF(Table57[[#This Row],[Out]]&gt;$C$3,(Table57[[#This Row],[Out]])-($C$3),""),"")</f>
        <v/>
      </c>
    </row>
    <row r="484" spans="1:14" hidden="1" x14ac:dyDescent="0.25">
      <c r="A484" s="23" t="str">
        <f>Table57[[#This Row],[No.]]&amp;Table57[[#This Row],[Date]]</f>
        <v>00</v>
      </c>
      <c r="B484" s="22">
        <f>'Unique Dates'!A481</f>
        <v>0</v>
      </c>
      <c r="C484" s="22" t="e" cm="1">
        <f t="array" ref="C484">_xlfn.XLOOKUP(Table57[[#This Row],[No.]],Table2[[#All],[CODE]],Table2[[#All],[NAME]],,0,1)</f>
        <v>#N/A</v>
      </c>
      <c r="D484" s="6">
        <f>'Unique Dates'!B481</f>
        <v>0</v>
      </c>
      <c r="E484" t="str">
        <f>TEXT(Table57[[#This Row],[Date]],"dddd")</f>
        <v>Saturday</v>
      </c>
      <c r="F484" s="25" t="str" cm="1">
        <f t="array" ref="F484">IFERROR(_xlfn.XLOOKUP(Table57[[#This Row],[Code]],Table1[[#All],[Code]],Table1[[#All],[Time]],,0,1),"")</f>
        <v/>
      </c>
      <c r="G484" s="25" t="str" cm="1">
        <f t="array" ref="G484">IFERROR(_xlfn.XLOOKUP(Table57[[#This Row],[Code]],Table1[[#All],[Code]],Table1[[#All],[Time]],,0,-1),"")</f>
        <v/>
      </c>
      <c r="H484" s="23" t="str">
        <f>IFERROR(IF(Table57[[#This Row],[Out]]&gt;=Table57[[#This Row],[In]],Table57[[#This Row],[Out]]-Table57[[#This Row],[In]],(0.5+Table57[[#This Row],[Out]])-Table57[[#This Row],[In]]),"")</f>
        <v/>
      </c>
      <c r="I484" s="31" t="str">
        <f>IFERROR(IF(Table57[[#This Row],[In]]&gt;$C$2,Table57[[#This Row],[In]]-$C$2,""),"")</f>
        <v/>
      </c>
      <c r="J484" s="31" t="str">
        <f>IF(Table57[[#This Row],[Work_Hours]]=0,"",(IF(Table57[[#This Row],[Out]]&lt;$C$3,$C$3-Table57[[#This Row],[Out]],"")))</f>
        <v/>
      </c>
      <c r="K484" s="32" t="str">
        <f>IFERROR(Table57[[#This Row],[In]]+$C$1,"")</f>
        <v/>
      </c>
      <c r="L484" s="29"/>
      <c r="M484" s="31" t="str">
        <f>IF($C$2&gt;Table57[[#This Row],[In]],$C$2-Table57[[#This Row],[In]],"")</f>
        <v/>
      </c>
      <c r="N484" s="29" t="str">
        <f>IFERROR(IF(Table57[[#This Row],[Out]]&gt;$C$3,(Table57[[#This Row],[Out]])-($C$3),""),"")</f>
        <v/>
      </c>
    </row>
    <row r="485" spans="1:14" hidden="1" x14ac:dyDescent="0.25">
      <c r="A485" s="23" t="str">
        <f>Table57[[#This Row],[No.]]&amp;Table57[[#This Row],[Date]]</f>
        <v>00</v>
      </c>
      <c r="B485" s="22">
        <f>'Unique Dates'!A482</f>
        <v>0</v>
      </c>
      <c r="C485" s="22" t="e" cm="1">
        <f t="array" ref="C485">_xlfn.XLOOKUP(Table57[[#This Row],[No.]],Table2[[#All],[CODE]],Table2[[#All],[NAME]],,0,1)</f>
        <v>#N/A</v>
      </c>
      <c r="D485" s="6">
        <f>'Unique Dates'!B482</f>
        <v>0</v>
      </c>
      <c r="E485" t="str">
        <f>TEXT(Table57[[#This Row],[Date]],"dddd")</f>
        <v>Saturday</v>
      </c>
      <c r="F485" s="25" t="str" cm="1">
        <f t="array" ref="F485">IFERROR(_xlfn.XLOOKUP(Table57[[#This Row],[Code]],Table1[[#All],[Code]],Table1[[#All],[Time]],,0,1),"")</f>
        <v/>
      </c>
      <c r="G485" s="25" t="str" cm="1">
        <f t="array" ref="G485">IFERROR(_xlfn.XLOOKUP(Table57[[#This Row],[Code]],Table1[[#All],[Code]],Table1[[#All],[Time]],,0,-1),"")</f>
        <v/>
      </c>
      <c r="H485" s="23" t="str">
        <f>IFERROR(IF(Table57[[#This Row],[Out]]&gt;=Table57[[#This Row],[In]],Table57[[#This Row],[Out]]-Table57[[#This Row],[In]],(0.5+Table57[[#This Row],[Out]])-Table57[[#This Row],[In]]),"")</f>
        <v/>
      </c>
      <c r="I485" s="31" t="str">
        <f>IFERROR(IF(Table57[[#This Row],[In]]&gt;$C$2,Table57[[#This Row],[In]]-$C$2,""),"")</f>
        <v/>
      </c>
      <c r="J485" s="31" t="str">
        <f>IF(Table57[[#This Row],[Work_Hours]]=0,"",(IF(Table57[[#This Row],[Out]]&lt;$C$3,$C$3-Table57[[#This Row],[Out]],"")))</f>
        <v/>
      </c>
      <c r="K485" s="32" t="str">
        <f>IFERROR(Table57[[#This Row],[In]]+$C$1,"")</f>
        <v/>
      </c>
      <c r="L485" s="29"/>
      <c r="M485" s="31" t="str">
        <f>IF($C$2&gt;Table57[[#This Row],[In]],$C$2-Table57[[#This Row],[In]],"")</f>
        <v/>
      </c>
      <c r="N485" s="29" t="str">
        <f>IFERROR(IF(Table57[[#This Row],[Out]]&gt;$C$3,(Table57[[#This Row],[Out]])-($C$3),""),"")</f>
        <v/>
      </c>
    </row>
    <row r="486" spans="1:14" hidden="1" x14ac:dyDescent="0.25">
      <c r="A486" s="23" t="str">
        <f>Table57[[#This Row],[No.]]&amp;Table57[[#This Row],[Date]]</f>
        <v>00</v>
      </c>
      <c r="B486" s="22">
        <f>'Unique Dates'!A483</f>
        <v>0</v>
      </c>
      <c r="C486" s="22" t="e" cm="1">
        <f t="array" ref="C486">_xlfn.XLOOKUP(Table57[[#This Row],[No.]],Table2[[#All],[CODE]],Table2[[#All],[NAME]],,0,1)</f>
        <v>#N/A</v>
      </c>
      <c r="D486" s="6">
        <f>'Unique Dates'!B483</f>
        <v>0</v>
      </c>
      <c r="E486" t="str">
        <f>TEXT(Table57[[#This Row],[Date]],"dddd")</f>
        <v>Saturday</v>
      </c>
      <c r="F486" s="25" t="str" cm="1">
        <f t="array" ref="F486">IFERROR(_xlfn.XLOOKUP(Table57[[#This Row],[Code]],Table1[[#All],[Code]],Table1[[#All],[Time]],,0,1),"")</f>
        <v/>
      </c>
      <c r="G486" s="25" t="str" cm="1">
        <f t="array" ref="G486">IFERROR(_xlfn.XLOOKUP(Table57[[#This Row],[Code]],Table1[[#All],[Code]],Table1[[#All],[Time]],,0,-1),"")</f>
        <v/>
      </c>
      <c r="H486" s="23" t="str">
        <f>IFERROR(IF(Table57[[#This Row],[Out]]&gt;=Table57[[#This Row],[In]],Table57[[#This Row],[Out]]-Table57[[#This Row],[In]],(0.5+Table57[[#This Row],[Out]])-Table57[[#This Row],[In]]),"")</f>
        <v/>
      </c>
      <c r="I486" s="31" t="str">
        <f>IFERROR(IF(Table57[[#This Row],[In]]&gt;$C$2,Table57[[#This Row],[In]]-$C$2,""),"")</f>
        <v/>
      </c>
      <c r="J486" s="31" t="str">
        <f>IF(Table57[[#This Row],[Work_Hours]]=0,"",(IF(Table57[[#This Row],[Out]]&lt;$C$3,$C$3-Table57[[#This Row],[Out]],"")))</f>
        <v/>
      </c>
      <c r="K486" s="32" t="str">
        <f>IFERROR(Table57[[#This Row],[In]]+$C$1,"")</f>
        <v/>
      </c>
      <c r="L486" s="29"/>
      <c r="M486" s="31" t="str">
        <f>IF($C$2&gt;Table57[[#This Row],[In]],$C$2-Table57[[#This Row],[In]],"")</f>
        <v/>
      </c>
      <c r="N486" s="29" t="str">
        <f>IFERROR(IF(Table57[[#This Row],[Out]]&gt;$C$3,(Table57[[#This Row],[Out]])-($C$3),""),"")</f>
        <v/>
      </c>
    </row>
    <row r="487" spans="1:14" hidden="1" x14ac:dyDescent="0.25">
      <c r="A487" s="23" t="str">
        <f>Table57[[#This Row],[No.]]&amp;Table57[[#This Row],[Date]]</f>
        <v>00</v>
      </c>
      <c r="B487" s="22">
        <f>'Unique Dates'!A484</f>
        <v>0</v>
      </c>
      <c r="C487" s="22" t="e" cm="1">
        <f t="array" ref="C487">_xlfn.XLOOKUP(Table57[[#This Row],[No.]],Table2[[#All],[CODE]],Table2[[#All],[NAME]],,0,1)</f>
        <v>#N/A</v>
      </c>
      <c r="D487" s="6">
        <f>'Unique Dates'!B484</f>
        <v>0</v>
      </c>
      <c r="E487" t="str">
        <f>TEXT(Table57[[#This Row],[Date]],"dddd")</f>
        <v>Saturday</v>
      </c>
      <c r="F487" s="25" t="str" cm="1">
        <f t="array" ref="F487">IFERROR(_xlfn.XLOOKUP(Table57[[#This Row],[Code]],Table1[[#All],[Code]],Table1[[#All],[Time]],,0,1),"")</f>
        <v/>
      </c>
      <c r="G487" s="25" t="str" cm="1">
        <f t="array" ref="G487">IFERROR(_xlfn.XLOOKUP(Table57[[#This Row],[Code]],Table1[[#All],[Code]],Table1[[#All],[Time]],,0,-1),"")</f>
        <v/>
      </c>
      <c r="H487" s="23" t="str">
        <f>IFERROR(IF(Table57[[#This Row],[Out]]&gt;=Table57[[#This Row],[In]],Table57[[#This Row],[Out]]-Table57[[#This Row],[In]],(0.5+Table57[[#This Row],[Out]])-Table57[[#This Row],[In]]),"")</f>
        <v/>
      </c>
      <c r="I487" s="31" t="str">
        <f>IFERROR(IF(Table57[[#This Row],[In]]&gt;$C$2,Table57[[#This Row],[In]]-$C$2,""),"")</f>
        <v/>
      </c>
      <c r="J487" s="31" t="str">
        <f>IF(Table57[[#This Row],[Work_Hours]]=0,"",(IF(Table57[[#This Row],[Out]]&lt;$C$3,$C$3-Table57[[#This Row],[Out]],"")))</f>
        <v/>
      </c>
      <c r="K487" s="32" t="str">
        <f>IFERROR(Table57[[#This Row],[In]]+$C$1,"")</f>
        <v/>
      </c>
      <c r="L487" s="29"/>
      <c r="M487" s="31" t="str">
        <f>IF($C$2&gt;Table57[[#This Row],[In]],$C$2-Table57[[#This Row],[In]],"")</f>
        <v/>
      </c>
      <c r="N487" s="29" t="str">
        <f>IFERROR(IF(Table57[[#This Row],[Out]]&gt;$C$3,(Table57[[#This Row],[Out]])-($C$3),""),"")</f>
        <v/>
      </c>
    </row>
    <row r="488" spans="1:14" hidden="1" x14ac:dyDescent="0.25">
      <c r="A488" s="23" t="str">
        <f>Table57[[#This Row],[No.]]&amp;Table57[[#This Row],[Date]]</f>
        <v>00</v>
      </c>
      <c r="B488" s="22">
        <f>'Unique Dates'!A485</f>
        <v>0</v>
      </c>
      <c r="C488" s="22" t="e" cm="1">
        <f t="array" ref="C488">_xlfn.XLOOKUP(Table57[[#This Row],[No.]],Table2[[#All],[CODE]],Table2[[#All],[NAME]],,0,1)</f>
        <v>#N/A</v>
      </c>
      <c r="D488" s="6">
        <f>'Unique Dates'!B485</f>
        <v>0</v>
      </c>
      <c r="E488" t="str">
        <f>TEXT(Table57[[#This Row],[Date]],"dddd")</f>
        <v>Saturday</v>
      </c>
      <c r="F488" s="25" t="str" cm="1">
        <f t="array" ref="F488">IFERROR(_xlfn.XLOOKUP(Table57[[#This Row],[Code]],Table1[[#All],[Code]],Table1[[#All],[Time]],,0,1),"")</f>
        <v/>
      </c>
      <c r="G488" s="25" t="str" cm="1">
        <f t="array" ref="G488">IFERROR(_xlfn.XLOOKUP(Table57[[#This Row],[Code]],Table1[[#All],[Code]],Table1[[#All],[Time]],,0,-1),"")</f>
        <v/>
      </c>
      <c r="H488" s="23" t="str">
        <f>IFERROR(IF(Table57[[#This Row],[Out]]&gt;=Table57[[#This Row],[In]],Table57[[#This Row],[Out]]-Table57[[#This Row],[In]],(0.5+Table57[[#This Row],[Out]])-Table57[[#This Row],[In]]),"")</f>
        <v/>
      </c>
      <c r="I488" s="31" t="str">
        <f>IFERROR(IF(Table57[[#This Row],[In]]&gt;$C$2,Table57[[#This Row],[In]]-$C$2,""),"")</f>
        <v/>
      </c>
      <c r="J488" s="31" t="str">
        <f>IF(Table57[[#This Row],[Work_Hours]]=0,"",(IF(Table57[[#This Row],[Out]]&lt;$C$3,$C$3-Table57[[#This Row],[Out]],"")))</f>
        <v/>
      </c>
      <c r="K488" s="32" t="str">
        <f>IFERROR(Table57[[#This Row],[In]]+$C$1,"")</f>
        <v/>
      </c>
      <c r="L488" s="29"/>
      <c r="M488" s="31" t="str">
        <f>IF($C$2&gt;Table57[[#This Row],[In]],$C$2-Table57[[#This Row],[In]],"")</f>
        <v/>
      </c>
      <c r="N488" s="29" t="str">
        <f>IFERROR(IF(Table57[[#This Row],[Out]]&gt;$C$3,(Table57[[#This Row],[Out]])-($C$3),""),"")</f>
        <v/>
      </c>
    </row>
    <row r="489" spans="1:14" hidden="1" x14ac:dyDescent="0.25">
      <c r="A489" s="23" t="str">
        <f>Table57[[#This Row],[No.]]&amp;Table57[[#This Row],[Date]]</f>
        <v>00</v>
      </c>
      <c r="B489" s="22">
        <f>'Unique Dates'!A486</f>
        <v>0</v>
      </c>
      <c r="C489" s="22" t="e" cm="1">
        <f t="array" ref="C489">_xlfn.XLOOKUP(Table57[[#This Row],[No.]],Table2[[#All],[CODE]],Table2[[#All],[NAME]],,0,1)</f>
        <v>#N/A</v>
      </c>
      <c r="D489" s="6">
        <f>'Unique Dates'!B486</f>
        <v>0</v>
      </c>
      <c r="E489" t="str">
        <f>TEXT(Table57[[#This Row],[Date]],"dddd")</f>
        <v>Saturday</v>
      </c>
      <c r="F489" s="25" t="str" cm="1">
        <f t="array" ref="F489">IFERROR(_xlfn.XLOOKUP(Table57[[#This Row],[Code]],Table1[[#All],[Code]],Table1[[#All],[Time]],,0,1),"")</f>
        <v/>
      </c>
      <c r="G489" s="25" t="str" cm="1">
        <f t="array" ref="G489">IFERROR(_xlfn.XLOOKUP(Table57[[#This Row],[Code]],Table1[[#All],[Code]],Table1[[#All],[Time]],,0,-1),"")</f>
        <v/>
      </c>
      <c r="H489" s="23" t="str">
        <f>IFERROR(IF(Table57[[#This Row],[Out]]&gt;=Table57[[#This Row],[In]],Table57[[#This Row],[Out]]-Table57[[#This Row],[In]],(0.5+Table57[[#This Row],[Out]])-Table57[[#This Row],[In]]),"")</f>
        <v/>
      </c>
      <c r="I489" s="31" t="str">
        <f>IFERROR(IF(Table57[[#This Row],[In]]&gt;$C$2,Table57[[#This Row],[In]]-$C$2,""),"")</f>
        <v/>
      </c>
      <c r="J489" s="31" t="str">
        <f>IF(Table57[[#This Row],[Work_Hours]]=0,"",(IF(Table57[[#This Row],[Out]]&lt;$C$3,$C$3-Table57[[#This Row],[Out]],"")))</f>
        <v/>
      </c>
      <c r="K489" s="32" t="str">
        <f>IFERROR(Table57[[#This Row],[In]]+$C$1,"")</f>
        <v/>
      </c>
      <c r="L489" s="29"/>
      <c r="M489" s="31" t="str">
        <f>IF($C$2&gt;Table57[[#This Row],[In]],$C$2-Table57[[#This Row],[In]],"")</f>
        <v/>
      </c>
      <c r="N489" s="29" t="str">
        <f>IFERROR(IF(Table57[[#This Row],[Out]]&gt;$C$3,(Table57[[#This Row],[Out]])-($C$3),""),"")</f>
        <v/>
      </c>
    </row>
    <row r="490" spans="1:14" hidden="1" x14ac:dyDescent="0.25">
      <c r="A490" s="23" t="str">
        <f>Table57[[#This Row],[No.]]&amp;Table57[[#This Row],[Date]]</f>
        <v>00</v>
      </c>
      <c r="B490" s="22">
        <f>'Unique Dates'!A487</f>
        <v>0</v>
      </c>
      <c r="C490" s="22" t="e" cm="1">
        <f t="array" ref="C490">_xlfn.XLOOKUP(Table57[[#This Row],[No.]],Table2[[#All],[CODE]],Table2[[#All],[NAME]],,0,1)</f>
        <v>#N/A</v>
      </c>
      <c r="D490" s="6">
        <f>'Unique Dates'!B487</f>
        <v>0</v>
      </c>
      <c r="E490" t="str">
        <f>TEXT(Table57[[#This Row],[Date]],"dddd")</f>
        <v>Saturday</v>
      </c>
      <c r="F490" s="25" t="str" cm="1">
        <f t="array" ref="F490">IFERROR(_xlfn.XLOOKUP(Table57[[#This Row],[Code]],Table1[[#All],[Code]],Table1[[#All],[Time]],,0,1),"")</f>
        <v/>
      </c>
      <c r="G490" s="25" t="str" cm="1">
        <f t="array" ref="G490">IFERROR(_xlfn.XLOOKUP(Table57[[#This Row],[Code]],Table1[[#All],[Code]],Table1[[#All],[Time]],,0,-1),"")</f>
        <v/>
      </c>
      <c r="H490" s="23" t="str">
        <f>IFERROR(IF(Table57[[#This Row],[Out]]&gt;=Table57[[#This Row],[In]],Table57[[#This Row],[Out]]-Table57[[#This Row],[In]],(0.5+Table57[[#This Row],[Out]])-Table57[[#This Row],[In]]),"")</f>
        <v/>
      </c>
      <c r="I490" s="31" t="str">
        <f>IFERROR(IF(Table57[[#This Row],[In]]&gt;$C$2,Table57[[#This Row],[In]]-$C$2,""),"")</f>
        <v/>
      </c>
      <c r="J490" s="31" t="str">
        <f>IF(Table57[[#This Row],[Work_Hours]]=0,"",(IF(Table57[[#This Row],[Out]]&lt;$C$3,$C$3-Table57[[#This Row],[Out]],"")))</f>
        <v/>
      </c>
      <c r="K490" s="32" t="str">
        <f>IFERROR(Table57[[#This Row],[In]]+$C$1,"")</f>
        <v/>
      </c>
      <c r="L490" s="29"/>
      <c r="M490" s="31" t="str">
        <f>IF($C$2&gt;Table57[[#This Row],[In]],$C$2-Table57[[#This Row],[In]],"")</f>
        <v/>
      </c>
      <c r="N490" s="29" t="str">
        <f>IFERROR(IF(Table57[[#This Row],[Out]]&gt;$C$3,(Table57[[#This Row],[Out]])-($C$3),""),"")</f>
        <v/>
      </c>
    </row>
    <row r="491" spans="1:14" hidden="1" x14ac:dyDescent="0.25">
      <c r="A491" s="23" t="str">
        <f>Table57[[#This Row],[No.]]&amp;Table57[[#This Row],[Date]]</f>
        <v>00</v>
      </c>
      <c r="B491" s="22">
        <f>'Unique Dates'!A488</f>
        <v>0</v>
      </c>
      <c r="C491" s="22" t="e" cm="1">
        <f t="array" ref="C491">_xlfn.XLOOKUP(Table57[[#This Row],[No.]],Table2[[#All],[CODE]],Table2[[#All],[NAME]],,0,1)</f>
        <v>#N/A</v>
      </c>
      <c r="D491" s="6">
        <f>'Unique Dates'!B488</f>
        <v>0</v>
      </c>
      <c r="E491" t="str">
        <f>TEXT(Table57[[#This Row],[Date]],"dddd")</f>
        <v>Saturday</v>
      </c>
      <c r="F491" s="25" t="str" cm="1">
        <f t="array" ref="F491">IFERROR(_xlfn.XLOOKUP(Table57[[#This Row],[Code]],Table1[[#All],[Code]],Table1[[#All],[Time]],,0,1),"")</f>
        <v/>
      </c>
      <c r="G491" s="25" t="str" cm="1">
        <f t="array" ref="G491">IFERROR(_xlfn.XLOOKUP(Table57[[#This Row],[Code]],Table1[[#All],[Code]],Table1[[#All],[Time]],,0,-1),"")</f>
        <v/>
      </c>
      <c r="H491" s="23" t="str">
        <f>IFERROR(IF(Table57[[#This Row],[Out]]&gt;=Table57[[#This Row],[In]],Table57[[#This Row],[Out]]-Table57[[#This Row],[In]],(0.5+Table57[[#This Row],[Out]])-Table57[[#This Row],[In]]),"")</f>
        <v/>
      </c>
      <c r="I491" s="31" t="str">
        <f>IFERROR(IF(Table57[[#This Row],[In]]&gt;$C$2,Table57[[#This Row],[In]]-$C$2,""),"")</f>
        <v/>
      </c>
      <c r="J491" s="31" t="str">
        <f>IF(Table57[[#This Row],[Work_Hours]]=0,"",(IF(Table57[[#This Row],[Out]]&lt;$C$3,$C$3-Table57[[#This Row],[Out]],"")))</f>
        <v/>
      </c>
      <c r="K491" s="32" t="str">
        <f>IFERROR(Table57[[#This Row],[In]]+$C$1,"")</f>
        <v/>
      </c>
      <c r="L491" s="29"/>
      <c r="M491" s="31" t="str">
        <f>IF($C$2&gt;Table57[[#This Row],[In]],$C$2-Table57[[#This Row],[In]],"")</f>
        <v/>
      </c>
      <c r="N491" s="29" t="str">
        <f>IFERROR(IF(Table57[[#This Row],[Out]]&gt;$C$3,(Table57[[#This Row],[Out]])-($C$3),""),"")</f>
        <v/>
      </c>
    </row>
    <row r="492" spans="1:14" hidden="1" x14ac:dyDescent="0.25">
      <c r="A492" s="23" t="str">
        <f>Table57[[#This Row],[No.]]&amp;Table57[[#This Row],[Date]]</f>
        <v>00</v>
      </c>
      <c r="B492" s="22">
        <f>'Unique Dates'!A489</f>
        <v>0</v>
      </c>
      <c r="C492" s="22" t="e" cm="1">
        <f t="array" ref="C492">_xlfn.XLOOKUP(Table57[[#This Row],[No.]],Table2[[#All],[CODE]],Table2[[#All],[NAME]],,0,1)</f>
        <v>#N/A</v>
      </c>
      <c r="D492" s="6">
        <f>'Unique Dates'!B489</f>
        <v>0</v>
      </c>
      <c r="E492" t="str">
        <f>TEXT(Table57[[#This Row],[Date]],"dddd")</f>
        <v>Saturday</v>
      </c>
      <c r="F492" s="25" t="str" cm="1">
        <f t="array" ref="F492">IFERROR(_xlfn.XLOOKUP(Table57[[#This Row],[Code]],Table1[[#All],[Code]],Table1[[#All],[Time]],,0,1),"")</f>
        <v/>
      </c>
      <c r="G492" s="25" t="str" cm="1">
        <f t="array" ref="G492">IFERROR(_xlfn.XLOOKUP(Table57[[#This Row],[Code]],Table1[[#All],[Code]],Table1[[#All],[Time]],,0,-1),"")</f>
        <v/>
      </c>
      <c r="H492" s="23" t="str">
        <f>IFERROR(IF(Table57[[#This Row],[Out]]&gt;=Table57[[#This Row],[In]],Table57[[#This Row],[Out]]-Table57[[#This Row],[In]],(0.5+Table57[[#This Row],[Out]])-Table57[[#This Row],[In]]),"")</f>
        <v/>
      </c>
      <c r="I492" s="31" t="str">
        <f>IFERROR(IF(Table57[[#This Row],[In]]&gt;$C$2,Table57[[#This Row],[In]]-$C$2,""),"")</f>
        <v/>
      </c>
      <c r="J492" s="31" t="str">
        <f>IF(Table57[[#This Row],[Work_Hours]]=0,"",(IF(Table57[[#This Row],[Out]]&lt;$C$3,$C$3-Table57[[#This Row],[Out]],"")))</f>
        <v/>
      </c>
      <c r="K492" s="32" t="str">
        <f>IFERROR(Table57[[#This Row],[In]]+$C$1,"")</f>
        <v/>
      </c>
      <c r="L492" s="29"/>
      <c r="M492" s="31" t="str">
        <f>IF($C$2&gt;Table57[[#This Row],[In]],$C$2-Table57[[#This Row],[In]],"")</f>
        <v/>
      </c>
      <c r="N492" s="29" t="str">
        <f>IFERROR(IF(Table57[[#This Row],[Out]]&gt;$C$3,(Table57[[#This Row],[Out]])-($C$3),""),"")</f>
        <v/>
      </c>
    </row>
    <row r="493" spans="1:14" hidden="1" x14ac:dyDescent="0.25">
      <c r="A493" s="23" t="str">
        <f>Table57[[#This Row],[No.]]&amp;Table57[[#This Row],[Date]]</f>
        <v>00</v>
      </c>
      <c r="B493" s="22">
        <f>'Unique Dates'!A490</f>
        <v>0</v>
      </c>
      <c r="C493" s="22" t="e" cm="1">
        <f t="array" ref="C493">_xlfn.XLOOKUP(Table57[[#This Row],[No.]],Table2[[#All],[CODE]],Table2[[#All],[NAME]],,0,1)</f>
        <v>#N/A</v>
      </c>
      <c r="D493" s="6">
        <f>'Unique Dates'!B490</f>
        <v>0</v>
      </c>
      <c r="E493" t="str">
        <f>TEXT(Table57[[#This Row],[Date]],"dddd")</f>
        <v>Saturday</v>
      </c>
      <c r="F493" s="25" t="str" cm="1">
        <f t="array" ref="F493">IFERROR(_xlfn.XLOOKUP(Table57[[#This Row],[Code]],Table1[[#All],[Code]],Table1[[#All],[Time]],,0,1),"")</f>
        <v/>
      </c>
      <c r="G493" s="25" t="str" cm="1">
        <f t="array" ref="G493">IFERROR(_xlfn.XLOOKUP(Table57[[#This Row],[Code]],Table1[[#All],[Code]],Table1[[#All],[Time]],,0,-1),"")</f>
        <v/>
      </c>
      <c r="H493" s="23" t="str">
        <f>IFERROR(IF(Table57[[#This Row],[Out]]&gt;=Table57[[#This Row],[In]],Table57[[#This Row],[Out]]-Table57[[#This Row],[In]],(0.5+Table57[[#This Row],[Out]])-Table57[[#This Row],[In]]),"")</f>
        <v/>
      </c>
      <c r="I493" s="31" t="str">
        <f>IFERROR(IF(Table57[[#This Row],[In]]&gt;$C$2,Table57[[#This Row],[In]]-$C$2,""),"")</f>
        <v/>
      </c>
      <c r="J493" s="31" t="str">
        <f>IF(Table57[[#This Row],[Work_Hours]]=0,"",(IF(Table57[[#This Row],[Out]]&lt;$C$3,$C$3-Table57[[#This Row],[Out]],"")))</f>
        <v/>
      </c>
      <c r="K493" s="32" t="str">
        <f>IFERROR(Table57[[#This Row],[In]]+$C$1,"")</f>
        <v/>
      </c>
      <c r="L493" s="29"/>
      <c r="M493" s="31" t="str">
        <f>IF($C$2&gt;Table57[[#This Row],[In]],$C$2-Table57[[#This Row],[In]],"")</f>
        <v/>
      </c>
      <c r="N493" s="29" t="str">
        <f>IFERROR(IF(Table57[[#This Row],[Out]]&gt;$C$3,(Table57[[#This Row],[Out]])-($C$3),""),"")</f>
        <v/>
      </c>
    </row>
    <row r="494" spans="1:14" hidden="1" x14ac:dyDescent="0.25">
      <c r="A494" s="23" t="str">
        <f>Table57[[#This Row],[No.]]&amp;Table57[[#This Row],[Date]]</f>
        <v>00</v>
      </c>
      <c r="B494" s="22">
        <f>'Unique Dates'!A491</f>
        <v>0</v>
      </c>
      <c r="C494" s="22" t="e" cm="1">
        <f t="array" ref="C494">_xlfn.XLOOKUP(Table57[[#This Row],[No.]],Table2[[#All],[CODE]],Table2[[#All],[NAME]],,0,1)</f>
        <v>#N/A</v>
      </c>
      <c r="D494" s="6">
        <f>'Unique Dates'!B491</f>
        <v>0</v>
      </c>
      <c r="E494" t="str">
        <f>TEXT(Table57[[#This Row],[Date]],"dddd")</f>
        <v>Saturday</v>
      </c>
      <c r="F494" s="25" t="str" cm="1">
        <f t="array" ref="F494">IFERROR(_xlfn.XLOOKUP(Table57[[#This Row],[Code]],Table1[[#All],[Code]],Table1[[#All],[Time]],,0,1),"")</f>
        <v/>
      </c>
      <c r="G494" s="25" t="str" cm="1">
        <f t="array" ref="G494">IFERROR(_xlfn.XLOOKUP(Table57[[#This Row],[Code]],Table1[[#All],[Code]],Table1[[#All],[Time]],,0,-1),"")</f>
        <v/>
      </c>
      <c r="H494" s="23" t="str">
        <f>IFERROR(IF(Table57[[#This Row],[Out]]&gt;=Table57[[#This Row],[In]],Table57[[#This Row],[Out]]-Table57[[#This Row],[In]],(0.5+Table57[[#This Row],[Out]])-Table57[[#This Row],[In]]),"")</f>
        <v/>
      </c>
      <c r="I494" s="31" t="str">
        <f>IFERROR(IF(Table57[[#This Row],[In]]&gt;$C$2,Table57[[#This Row],[In]]-$C$2,""),"")</f>
        <v/>
      </c>
      <c r="J494" s="31" t="str">
        <f>IF(Table57[[#This Row],[Work_Hours]]=0,"",(IF(Table57[[#This Row],[Out]]&lt;$C$3,$C$3-Table57[[#This Row],[Out]],"")))</f>
        <v/>
      </c>
      <c r="K494" s="32" t="str">
        <f>IFERROR(Table57[[#This Row],[In]]+$C$1,"")</f>
        <v/>
      </c>
      <c r="L494" s="29"/>
      <c r="M494" s="31" t="str">
        <f>IF($C$2&gt;Table57[[#This Row],[In]],$C$2-Table57[[#This Row],[In]],"")</f>
        <v/>
      </c>
      <c r="N494" s="29" t="str">
        <f>IFERROR(IF(Table57[[#This Row],[Out]]&gt;$C$3,(Table57[[#This Row],[Out]])-($C$3),""),"")</f>
        <v/>
      </c>
    </row>
    <row r="495" spans="1:14" hidden="1" x14ac:dyDescent="0.25">
      <c r="A495" s="23" t="str">
        <f>Table57[[#This Row],[No.]]&amp;Table57[[#This Row],[Date]]</f>
        <v>00</v>
      </c>
      <c r="B495" s="22">
        <f>'Unique Dates'!A492</f>
        <v>0</v>
      </c>
      <c r="C495" s="22" t="e" cm="1">
        <f t="array" ref="C495">_xlfn.XLOOKUP(Table57[[#This Row],[No.]],Table2[[#All],[CODE]],Table2[[#All],[NAME]],,0,1)</f>
        <v>#N/A</v>
      </c>
      <c r="D495" s="6">
        <f>'Unique Dates'!B492</f>
        <v>0</v>
      </c>
      <c r="E495" t="str">
        <f>TEXT(Table57[[#This Row],[Date]],"dddd")</f>
        <v>Saturday</v>
      </c>
      <c r="F495" s="25" t="str" cm="1">
        <f t="array" ref="F495">IFERROR(_xlfn.XLOOKUP(Table57[[#This Row],[Code]],Table1[[#All],[Code]],Table1[[#All],[Time]],,0,1),"")</f>
        <v/>
      </c>
      <c r="G495" s="25" t="str" cm="1">
        <f t="array" ref="G495">IFERROR(_xlfn.XLOOKUP(Table57[[#This Row],[Code]],Table1[[#All],[Code]],Table1[[#All],[Time]],,0,-1),"")</f>
        <v/>
      </c>
      <c r="H495" s="23" t="str">
        <f>IFERROR(IF(Table57[[#This Row],[Out]]&gt;=Table57[[#This Row],[In]],Table57[[#This Row],[Out]]-Table57[[#This Row],[In]],(0.5+Table57[[#This Row],[Out]])-Table57[[#This Row],[In]]),"")</f>
        <v/>
      </c>
      <c r="I495" s="31" t="str">
        <f>IFERROR(IF(Table57[[#This Row],[In]]&gt;$C$2,Table57[[#This Row],[In]]-$C$2,""),"")</f>
        <v/>
      </c>
      <c r="J495" s="31" t="str">
        <f>IF(Table57[[#This Row],[Work_Hours]]=0,"",(IF(Table57[[#This Row],[Out]]&lt;$C$3,$C$3-Table57[[#This Row],[Out]],"")))</f>
        <v/>
      </c>
      <c r="K495" s="32" t="str">
        <f>IFERROR(Table57[[#This Row],[In]]+$C$1,"")</f>
        <v/>
      </c>
      <c r="L495" s="29"/>
      <c r="M495" s="31" t="str">
        <f>IF($C$2&gt;Table57[[#This Row],[In]],$C$2-Table57[[#This Row],[In]],"")</f>
        <v/>
      </c>
      <c r="N495" s="29" t="str">
        <f>IFERROR(IF(Table57[[#This Row],[Out]]&gt;$C$3,(Table57[[#This Row],[Out]])-($C$3),""),"")</f>
        <v/>
      </c>
    </row>
    <row r="496" spans="1:14" hidden="1" x14ac:dyDescent="0.25">
      <c r="A496" s="23" t="str">
        <f>Table57[[#This Row],[No.]]&amp;Table57[[#This Row],[Date]]</f>
        <v>00</v>
      </c>
      <c r="B496" s="22">
        <f>'Unique Dates'!A493</f>
        <v>0</v>
      </c>
      <c r="C496" s="22" t="e" cm="1">
        <f t="array" ref="C496">_xlfn.XLOOKUP(Table57[[#This Row],[No.]],Table2[[#All],[CODE]],Table2[[#All],[NAME]],,0,1)</f>
        <v>#N/A</v>
      </c>
      <c r="D496" s="6">
        <f>'Unique Dates'!B493</f>
        <v>0</v>
      </c>
      <c r="E496" t="str">
        <f>TEXT(Table57[[#This Row],[Date]],"dddd")</f>
        <v>Saturday</v>
      </c>
      <c r="F496" s="25" t="str" cm="1">
        <f t="array" ref="F496">IFERROR(_xlfn.XLOOKUP(Table57[[#This Row],[Code]],Table1[[#All],[Code]],Table1[[#All],[Time]],,0,1),"")</f>
        <v/>
      </c>
      <c r="G496" s="25" t="str" cm="1">
        <f t="array" ref="G496">IFERROR(_xlfn.XLOOKUP(Table57[[#This Row],[Code]],Table1[[#All],[Code]],Table1[[#All],[Time]],,0,-1),"")</f>
        <v/>
      </c>
      <c r="H496" s="23" t="str">
        <f>IFERROR(IF(Table57[[#This Row],[Out]]&gt;=Table57[[#This Row],[In]],Table57[[#This Row],[Out]]-Table57[[#This Row],[In]],(0.5+Table57[[#This Row],[Out]])-Table57[[#This Row],[In]]),"")</f>
        <v/>
      </c>
      <c r="I496" s="31" t="str">
        <f>IFERROR(IF(Table57[[#This Row],[In]]&gt;$C$2,Table57[[#This Row],[In]]-$C$2,""),"")</f>
        <v/>
      </c>
      <c r="J496" s="31" t="str">
        <f>IF(Table57[[#This Row],[Work_Hours]]=0,"",(IF(Table57[[#This Row],[Out]]&lt;$C$3,$C$3-Table57[[#This Row],[Out]],"")))</f>
        <v/>
      </c>
      <c r="K496" s="32" t="str">
        <f>IFERROR(Table57[[#This Row],[In]]+$C$1,"")</f>
        <v/>
      </c>
      <c r="L496" s="29"/>
      <c r="M496" s="31" t="str">
        <f>IF($C$2&gt;Table57[[#This Row],[In]],$C$2-Table57[[#This Row],[In]],"")</f>
        <v/>
      </c>
      <c r="N496" s="29" t="str">
        <f>IFERROR(IF(Table57[[#This Row],[Out]]&gt;$C$3,(Table57[[#This Row],[Out]])-($C$3),""),"")</f>
        <v/>
      </c>
    </row>
    <row r="497" spans="1:14" hidden="1" x14ac:dyDescent="0.25">
      <c r="A497" s="23" t="str">
        <f>Table57[[#This Row],[No.]]&amp;Table57[[#This Row],[Date]]</f>
        <v>00</v>
      </c>
      <c r="B497" s="22">
        <f>'Unique Dates'!A494</f>
        <v>0</v>
      </c>
      <c r="C497" s="22" t="e" cm="1">
        <f t="array" ref="C497">_xlfn.XLOOKUP(Table57[[#This Row],[No.]],Table2[[#All],[CODE]],Table2[[#All],[NAME]],,0,1)</f>
        <v>#N/A</v>
      </c>
      <c r="D497" s="6">
        <f>'Unique Dates'!B494</f>
        <v>0</v>
      </c>
      <c r="E497" t="str">
        <f>TEXT(Table57[[#This Row],[Date]],"dddd")</f>
        <v>Saturday</v>
      </c>
      <c r="F497" s="25" t="str" cm="1">
        <f t="array" ref="F497">IFERROR(_xlfn.XLOOKUP(Table57[[#This Row],[Code]],Table1[[#All],[Code]],Table1[[#All],[Time]],,0,1),"")</f>
        <v/>
      </c>
      <c r="G497" s="25" t="str" cm="1">
        <f t="array" ref="G497">IFERROR(_xlfn.XLOOKUP(Table57[[#This Row],[Code]],Table1[[#All],[Code]],Table1[[#All],[Time]],,0,-1),"")</f>
        <v/>
      </c>
      <c r="H497" s="23" t="str">
        <f>IFERROR(IF(Table57[[#This Row],[Out]]&gt;=Table57[[#This Row],[In]],Table57[[#This Row],[Out]]-Table57[[#This Row],[In]],(0.5+Table57[[#This Row],[Out]])-Table57[[#This Row],[In]]),"")</f>
        <v/>
      </c>
      <c r="I497" s="31" t="str">
        <f>IFERROR(IF(Table57[[#This Row],[In]]&gt;$C$2,Table57[[#This Row],[In]]-$C$2,""),"")</f>
        <v/>
      </c>
      <c r="J497" s="31" t="str">
        <f>IF(Table57[[#This Row],[Work_Hours]]=0,"",(IF(Table57[[#This Row],[Out]]&lt;$C$3,$C$3-Table57[[#This Row],[Out]],"")))</f>
        <v/>
      </c>
      <c r="K497" s="32" t="str">
        <f>IFERROR(Table57[[#This Row],[In]]+$C$1,"")</f>
        <v/>
      </c>
      <c r="L497" s="29"/>
      <c r="M497" s="31" t="str">
        <f>IF($C$2&gt;Table57[[#This Row],[In]],$C$2-Table57[[#This Row],[In]],"")</f>
        <v/>
      </c>
      <c r="N497" s="29" t="str">
        <f>IFERROR(IF(Table57[[#This Row],[Out]]&gt;$C$3,(Table57[[#This Row],[Out]])-($C$3),""),"")</f>
        <v/>
      </c>
    </row>
    <row r="498" spans="1:14" hidden="1" x14ac:dyDescent="0.25">
      <c r="A498" s="23" t="str">
        <f>Table57[[#This Row],[No.]]&amp;Table57[[#This Row],[Date]]</f>
        <v>00</v>
      </c>
      <c r="B498" s="22">
        <f>'Unique Dates'!A495</f>
        <v>0</v>
      </c>
      <c r="C498" s="22" t="e" cm="1">
        <f t="array" ref="C498">_xlfn.XLOOKUP(Table57[[#This Row],[No.]],Table2[[#All],[CODE]],Table2[[#All],[NAME]],,0,1)</f>
        <v>#N/A</v>
      </c>
      <c r="D498" s="6">
        <f>'Unique Dates'!B495</f>
        <v>0</v>
      </c>
      <c r="E498" t="str">
        <f>TEXT(Table57[[#This Row],[Date]],"dddd")</f>
        <v>Saturday</v>
      </c>
      <c r="F498" s="25" t="str" cm="1">
        <f t="array" ref="F498">IFERROR(_xlfn.XLOOKUP(Table57[[#This Row],[Code]],Table1[[#All],[Code]],Table1[[#All],[Time]],,0,1),"")</f>
        <v/>
      </c>
      <c r="G498" s="25" t="str" cm="1">
        <f t="array" ref="G498">IFERROR(_xlfn.XLOOKUP(Table57[[#This Row],[Code]],Table1[[#All],[Code]],Table1[[#All],[Time]],,0,-1),"")</f>
        <v/>
      </c>
      <c r="H498" s="23" t="str">
        <f>IFERROR(IF(Table57[[#This Row],[Out]]&gt;=Table57[[#This Row],[In]],Table57[[#This Row],[Out]]-Table57[[#This Row],[In]],(0.5+Table57[[#This Row],[Out]])-Table57[[#This Row],[In]]),"")</f>
        <v/>
      </c>
      <c r="I498" s="31" t="str">
        <f>IFERROR(IF(Table57[[#This Row],[In]]&gt;$C$2,Table57[[#This Row],[In]]-$C$2,""),"")</f>
        <v/>
      </c>
      <c r="J498" s="31" t="str">
        <f>IF(Table57[[#This Row],[Work_Hours]]=0,"",(IF(Table57[[#This Row],[Out]]&lt;$C$3,$C$3-Table57[[#This Row],[Out]],"")))</f>
        <v/>
      </c>
      <c r="K498" s="32" t="str">
        <f>IFERROR(Table57[[#This Row],[In]]+$C$1,"")</f>
        <v/>
      </c>
      <c r="L498" s="29"/>
      <c r="M498" s="31" t="str">
        <f>IF($C$2&gt;Table57[[#This Row],[In]],$C$2-Table57[[#This Row],[In]],"")</f>
        <v/>
      </c>
      <c r="N498" s="29" t="str">
        <f>IFERROR(IF(Table57[[#This Row],[Out]]&gt;$C$3,(Table57[[#This Row],[Out]])-($C$3),""),"")</f>
        <v/>
      </c>
    </row>
    <row r="499" spans="1:14" hidden="1" x14ac:dyDescent="0.25">
      <c r="A499" s="23" t="str">
        <f>Table57[[#This Row],[No.]]&amp;Table57[[#This Row],[Date]]</f>
        <v>00</v>
      </c>
      <c r="B499" s="22">
        <f>'Unique Dates'!A496</f>
        <v>0</v>
      </c>
      <c r="C499" s="22" t="e" cm="1">
        <f t="array" ref="C499">_xlfn.XLOOKUP(Table57[[#This Row],[No.]],Table2[[#All],[CODE]],Table2[[#All],[NAME]],,0,1)</f>
        <v>#N/A</v>
      </c>
      <c r="D499" s="6">
        <f>'Unique Dates'!B496</f>
        <v>0</v>
      </c>
      <c r="E499" t="str">
        <f>TEXT(Table57[[#This Row],[Date]],"dddd")</f>
        <v>Saturday</v>
      </c>
      <c r="F499" s="25" t="str" cm="1">
        <f t="array" ref="F499">IFERROR(_xlfn.XLOOKUP(Table57[[#This Row],[Code]],Table1[[#All],[Code]],Table1[[#All],[Time]],,0,1),"")</f>
        <v/>
      </c>
      <c r="G499" s="25" t="str" cm="1">
        <f t="array" ref="G499">IFERROR(_xlfn.XLOOKUP(Table57[[#This Row],[Code]],Table1[[#All],[Code]],Table1[[#All],[Time]],,0,-1),"")</f>
        <v/>
      </c>
      <c r="H499" s="23" t="str">
        <f>IFERROR(IF(Table57[[#This Row],[Out]]&gt;=Table57[[#This Row],[In]],Table57[[#This Row],[Out]]-Table57[[#This Row],[In]],(0.5+Table57[[#This Row],[Out]])-Table57[[#This Row],[In]]),"")</f>
        <v/>
      </c>
      <c r="I499" s="31" t="str">
        <f>IFERROR(IF(Table57[[#This Row],[In]]&gt;$C$2,Table57[[#This Row],[In]]-$C$2,""),"")</f>
        <v/>
      </c>
      <c r="J499" s="31" t="str">
        <f>IF(Table57[[#This Row],[Work_Hours]]=0,"",(IF(Table57[[#This Row],[Out]]&lt;$C$3,$C$3-Table57[[#This Row],[Out]],"")))</f>
        <v/>
      </c>
      <c r="K499" s="32" t="str">
        <f>IFERROR(Table57[[#This Row],[In]]+$C$1,"")</f>
        <v/>
      </c>
      <c r="L499" s="29"/>
      <c r="M499" s="31" t="str">
        <f>IF($C$2&gt;Table57[[#This Row],[In]],$C$2-Table57[[#This Row],[In]],"")</f>
        <v/>
      </c>
      <c r="N499" s="29" t="str">
        <f>IFERROR(IF(Table57[[#This Row],[Out]]&gt;$C$3,(Table57[[#This Row],[Out]])-($C$3),""),"")</f>
        <v/>
      </c>
    </row>
    <row r="500" spans="1:14" hidden="1" x14ac:dyDescent="0.25">
      <c r="A500" s="23" t="str">
        <f>Table57[[#This Row],[No.]]&amp;Table57[[#This Row],[Date]]</f>
        <v>00</v>
      </c>
      <c r="B500" s="22">
        <f>'Unique Dates'!A497</f>
        <v>0</v>
      </c>
      <c r="C500" s="22" t="e" cm="1">
        <f t="array" ref="C500">_xlfn.XLOOKUP(Table57[[#This Row],[No.]],Table2[[#All],[CODE]],Table2[[#All],[NAME]],,0,1)</f>
        <v>#N/A</v>
      </c>
      <c r="D500" s="6">
        <f>'Unique Dates'!B497</f>
        <v>0</v>
      </c>
      <c r="E500" t="str">
        <f>TEXT(Table57[[#This Row],[Date]],"dddd")</f>
        <v>Saturday</v>
      </c>
      <c r="F500" s="25" t="str" cm="1">
        <f t="array" ref="F500">IFERROR(_xlfn.XLOOKUP(Table57[[#This Row],[Code]],Table1[[#All],[Code]],Table1[[#All],[Time]],,0,1),"")</f>
        <v/>
      </c>
      <c r="G500" s="25" t="str" cm="1">
        <f t="array" ref="G500">IFERROR(_xlfn.XLOOKUP(Table57[[#This Row],[Code]],Table1[[#All],[Code]],Table1[[#All],[Time]],,0,-1),"")</f>
        <v/>
      </c>
      <c r="H500" s="23" t="str">
        <f>IFERROR(IF(Table57[[#This Row],[Out]]&gt;=Table57[[#This Row],[In]],Table57[[#This Row],[Out]]-Table57[[#This Row],[In]],(0.5+Table57[[#This Row],[Out]])-Table57[[#This Row],[In]]),"")</f>
        <v/>
      </c>
      <c r="I500" s="31" t="str">
        <f>IFERROR(IF(Table57[[#This Row],[In]]&gt;$C$2,Table57[[#This Row],[In]]-$C$2,""),"")</f>
        <v/>
      </c>
      <c r="J500" s="31" t="str">
        <f>IF(Table57[[#This Row],[Work_Hours]]=0,"",(IF(Table57[[#This Row],[Out]]&lt;$C$3,$C$3-Table57[[#This Row],[Out]],"")))</f>
        <v/>
      </c>
      <c r="K500" s="32" t="str">
        <f>IFERROR(Table57[[#This Row],[In]]+$C$1,"")</f>
        <v/>
      </c>
      <c r="L500" s="29"/>
      <c r="M500" s="31" t="str">
        <f>IF($C$2&gt;Table57[[#This Row],[In]],$C$2-Table57[[#This Row],[In]],"")</f>
        <v/>
      </c>
      <c r="N500" s="29" t="str">
        <f>IFERROR(IF(Table57[[#This Row],[Out]]&gt;$C$3,(Table57[[#This Row],[Out]])-($C$3),""),"")</f>
        <v/>
      </c>
    </row>
    <row r="501" spans="1:14" hidden="1" x14ac:dyDescent="0.25">
      <c r="A501" s="23" t="str">
        <f>Table57[[#This Row],[No.]]&amp;Table57[[#This Row],[Date]]</f>
        <v>00</v>
      </c>
      <c r="B501" s="22">
        <f>'Unique Dates'!A498</f>
        <v>0</v>
      </c>
      <c r="C501" s="22" t="e" cm="1">
        <f t="array" ref="C501">_xlfn.XLOOKUP(Table57[[#This Row],[No.]],Table2[[#All],[CODE]],Table2[[#All],[NAME]],,0,1)</f>
        <v>#N/A</v>
      </c>
      <c r="D501" s="6">
        <f>'Unique Dates'!B498</f>
        <v>0</v>
      </c>
      <c r="E501" t="str">
        <f>TEXT(Table57[[#This Row],[Date]],"dddd")</f>
        <v>Saturday</v>
      </c>
      <c r="F501" s="25" t="str" cm="1">
        <f t="array" ref="F501">IFERROR(_xlfn.XLOOKUP(Table57[[#This Row],[Code]],Table1[[#All],[Code]],Table1[[#All],[Time]],,0,1),"")</f>
        <v/>
      </c>
      <c r="G501" s="25" t="str" cm="1">
        <f t="array" ref="G501">IFERROR(_xlfn.XLOOKUP(Table57[[#This Row],[Code]],Table1[[#All],[Code]],Table1[[#All],[Time]],,0,-1),"")</f>
        <v/>
      </c>
      <c r="H501" s="23" t="str">
        <f>IFERROR(IF(Table57[[#This Row],[Out]]&gt;=Table57[[#This Row],[In]],Table57[[#This Row],[Out]]-Table57[[#This Row],[In]],(0.5+Table57[[#This Row],[Out]])-Table57[[#This Row],[In]]),"")</f>
        <v/>
      </c>
      <c r="I501" s="31" t="str">
        <f>IFERROR(IF(Table57[[#This Row],[In]]&gt;$C$2,Table57[[#This Row],[In]]-$C$2,""),"")</f>
        <v/>
      </c>
      <c r="J501" s="31" t="str">
        <f>IF(Table57[[#This Row],[Work_Hours]]=0,"",(IF(Table57[[#This Row],[Out]]&lt;$C$3,$C$3-Table57[[#This Row],[Out]],"")))</f>
        <v/>
      </c>
      <c r="K501" s="32" t="str">
        <f>IFERROR(Table57[[#This Row],[In]]+$C$1,"")</f>
        <v/>
      </c>
      <c r="L501" s="29"/>
      <c r="M501" s="31" t="str">
        <f>IF($C$2&gt;Table57[[#This Row],[In]],$C$2-Table57[[#This Row],[In]],"")</f>
        <v/>
      </c>
      <c r="N501" s="29" t="str">
        <f>IFERROR(IF(Table57[[#This Row],[Out]]&gt;$C$3,(Table57[[#This Row],[Out]])-($C$3),""),"")</f>
        <v/>
      </c>
    </row>
    <row r="502" spans="1:14" hidden="1" x14ac:dyDescent="0.25">
      <c r="A502" s="23" t="str">
        <f>Table57[[#This Row],[No.]]&amp;Table57[[#This Row],[Date]]</f>
        <v>00</v>
      </c>
      <c r="B502" s="22">
        <f>'Unique Dates'!A499</f>
        <v>0</v>
      </c>
      <c r="C502" s="22" t="e" cm="1">
        <f t="array" ref="C502">_xlfn.XLOOKUP(Table57[[#This Row],[No.]],Table2[[#All],[CODE]],Table2[[#All],[NAME]],,0,1)</f>
        <v>#N/A</v>
      </c>
      <c r="D502" s="6">
        <f>'Unique Dates'!B499</f>
        <v>0</v>
      </c>
      <c r="E502" t="str">
        <f>TEXT(Table57[[#This Row],[Date]],"dddd")</f>
        <v>Saturday</v>
      </c>
      <c r="F502" s="25" t="str" cm="1">
        <f t="array" ref="F502">IFERROR(_xlfn.XLOOKUP(Table57[[#This Row],[Code]],Table1[[#All],[Code]],Table1[[#All],[Time]],,0,1),"")</f>
        <v/>
      </c>
      <c r="G502" s="25" t="str" cm="1">
        <f t="array" ref="G502">IFERROR(_xlfn.XLOOKUP(Table57[[#This Row],[Code]],Table1[[#All],[Code]],Table1[[#All],[Time]],,0,-1),"")</f>
        <v/>
      </c>
      <c r="H502" s="23" t="str">
        <f>IFERROR(IF(Table57[[#This Row],[Out]]&gt;=Table57[[#This Row],[In]],Table57[[#This Row],[Out]]-Table57[[#This Row],[In]],(0.5+Table57[[#This Row],[Out]])-Table57[[#This Row],[In]]),"")</f>
        <v/>
      </c>
      <c r="I502" s="31" t="str">
        <f>IFERROR(IF(Table57[[#This Row],[In]]&gt;$C$2,Table57[[#This Row],[In]]-$C$2,""),"")</f>
        <v/>
      </c>
      <c r="J502" s="31" t="str">
        <f>IF(Table57[[#This Row],[Work_Hours]]=0,"",(IF(Table57[[#This Row],[Out]]&lt;$C$3,$C$3-Table57[[#This Row],[Out]],"")))</f>
        <v/>
      </c>
      <c r="K502" s="32" t="str">
        <f>IFERROR(Table57[[#This Row],[In]]+$C$1,"")</f>
        <v/>
      </c>
      <c r="L502" s="29"/>
      <c r="M502" s="31" t="str">
        <f>IF($C$2&gt;Table57[[#This Row],[In]],$C$2-Table57[[#This Row],[In]],"")</f>
        <v/>
      </c>
      <c r="N502" s="29" t="str">
        <f>IFERROR(IF(Table57[[#This Row],[Out]]&gt;$C$3,(Table57[[#This Row],[Out]])-($C$3),""),"")</f>
        <v/>
      </c>
    </row>
    <row r="503" spans="1:14" hidden="1" x14ac:dyDescent="0.25">
      <c r="A503" s="23" t="str">
        <f>Table57[[#This Row],[No.]]&amp;Table57[[#This Row],[Date]]</f>
        <v>00</v>
      </c>
      <c r="B503" s="22">
        <f>'Unique Dates'!A500</f>
        <v>0</v>
      </c>
      <c r="C503" s="22" t="e" cm="1">
        <f t="array" ref="C503">_xlfn.XLOOKUP(Table57[[#This Row],[No.]],Table2[[#All],[CODE]],Table2[[#All],[NAME]],,0,1)</f>
        <v>#N/A</v>
      </c>
      <c r="D503" s="6">
        <f>'Unique Dates'!B500</f>
        <v>0</v>
      </c>
      <c r="E503" t="str">
        <f>TEXT(Table57[[#This Row],[Date]],"dddd")</f>
        <v>Saturday</v>
      </c>
      <c r="F503" s="25" t="str" cm="1">
        <f t="array" ref="F503">IFERROR(_xlfn.XLOOKUP(Table57[[#This Row],[Code]],Table1[[#All],[Code]],Table1[[#All],[Time]],,0,1),"")</f>
        <v/>
      </c>
      <c r="G503" s="25" t="str" cm="1">
        <f t="array" ref="G503">IFERROR(_xlfn.XLOOKUP(Table57[[#This Row],[Code]],Table1[[#All],[Code]],Table1[[#All],[Time]],,0,-1),"")</f>
        <v/>
      </c>
      <c r="H503" s="23" t="str">
        <f>IFERROR(IF(Table57[[#This Row],[Out]]&gt;=Table57[[#This Row],[In]],Table57[[#This Row],[Out]]-Table57[[#This Row],[In]],(0.5+Table57[[#This Row],[Out]])-Table57[[#This Row],[In]]),"")</f>
        <v/>
      </c>
      <c r="I503" s="31" t="str">
        <f>IFERROR(IF(Table57[[#This Row],[In]]&gt;$C$2,Table57[[#This Row],[In]]-$C$2,""),"")</f>
        <v/>
      </c>
      <c r="J503" s="31" t="str">
        <f>IF(Table57[[#This Row],[Work_Hours]]=0,"",(IF(Table57[[#This Row],[Out]]&lt;$C$3,$C$3-Table57[[#This Row],[Out]],"")))</f>
        <v/>
      </c>
      <c r="K503" s="32" t="str">
        <f>IFERROR(Table57[[#This Row],[In]]+$C$1,"")</f>
        <v/>
      </c>
      <c r="L503" s="29"/>
      <c r="M503" s="31" t="str">
        <f>IF($C$2&gt;Table57[[#This Row],[In]],$C$2-Table57[[#This Row],[In]],"")</f>
        <v/>
      </c>
      <c r="N503" s="29" t="str">
        <f>IFERROR(IF(Table57[[#This Row],[Out]]&gt;$C$3,(Table57[[#This Row],[Out]])-($C$3),""),"")</f>
        <v/>
      </c>
    </row>
    <row r="504" spans="1:14" hidden="1" x14ac:dyDescent="0.25">
      <c r="A504" s="23" t="str">
        <f>Table57[[#This Row],[No.]]&amp;Table57[[#This Row],[Date]]</f>
        <v>00</v>
      </c>
      <c r="B504" s="22">
        <f>'Unique Dates'!A501</f>
        <v>0</v>
      </c>
      <c r="C504" s="22" t="e" cm="1">
        <f t="array" ref="C504">_xlfn.XLOOKUP(Table57[[#This Row],[No.]],Table2[[#All],[CODE]],Table2[[#All],[NAME]],,0,1)</f>
        <v>#N/A</v>
      </c>
      <c r="D504" s="6">
        <f>'Unique Dates'!B501</f>
        <v>0</v>
      </c>
      <c r="E504" t="str">
        <f>TEXT(Table57[[#This Row],[Date]],"dddd")</f>
        <v>Saturday</v>
      </c>
      <c r="F504" s="25" t="str" cm="1">
        <f t="array" ref="F504">IFERROR(_xlfn.XLOOKUP(Table57[[#This Row],[Code]],Table1[[#All],[Code]],Table1[[#All],[Time]],,0,1),"")</f>
        <v/>
      </c>
      <c r="G504" s="25" t="str" cm="1">
        <f t="array" ref="G504">IFERROR(_xlfn.XLOOKUP(Table57[[#This Row],[Code]],Table1[[#All],[Code]],Table1[[#All],[Time]],,0,-1),"")</f>
        <v/>
      </c>
      <c r="H504" s="23" t="str">
        <f>IFERROR(IF(Table57[[#This Row],[Out]]&gt;=Table57[[#This Row],[In]],Table57[[#This Row],[Out]]-Table57[[#This Row],[In]],(0.5+Table57[[#This Row],[Out]])-Table57[[#This Row],[In]]),"")</f>
        <v/>
      </c>
      <c r="I504" s="31" t="str">
        <f>IFERROR(IF(Table57[[#This Row],[In]]&gt;$C$2,Table57[[#This Row],[In]]-$C$2,""),"")</f>
        <v/>
      </c>
      <c r="J504" s="31" t="str">
        <f>IF(Table57[[#This Row],[Work_Hours]]=0,"",(IF(Table57[[#This Row],[Out]]&lt;$C$3,$C$3-Table57[[#This Row],[Out]],"")))</f>
        <v/>
      </c>
      <c r="K504" s="32" t="str">
        <f>IFERROR(Table57[[#This Row],[In]]+$C$1,"")</f>
        <v/>
      </c>
      <c r="L504" s="29"/>
      <c r="M504" s="31" t="str">
        <f>IF($C$2&gt;Table57[[#This Row],[In]],$C$2-Table57[[#This Row],[In]],"")</f>
        <v/>
      </c>
      <c r="N504" s="29" t="str">
        <f>IFERROR(IF(Table57[[#This Row],[Out]]&gt;$C$3,(Table57[[#This Row],[Out]])-($C$3),""),"")</f>
        <v/>
      </c>
    </row>
    <row r="505" spans="1:14" hidden="1" x14ac:dyDescent="0.25">
      <c r="A505" s="23" t="str">
        <f>Table57[[#This Row],[No.]]&amp;Table57[[#This Row],[Date]]</f>
        <v>00</v>
      </c>
      <c r="B505" s="22">
        <f>'Unique Dates'!A502</f>
        <v>0</v>
      </c>
      <c r="C505" s="22" t="e" cm="1">
        <f t="array" ref="C505">_xlfn.XLOOKUP(Table57[[#This Row],[No.]],Table2[[#All],[CODE]],Table2[[#All],[NAME]],,0,1)</f>
        <v>#N/A</v>
      </c>
      <c r="D505" s="6">
        <f>'Unique Dates'!B502</f>
        <v>0</v>
      </c>
      <c r="E505" t="str">
        <f>TEXT(Table57[[#This Row],[Date]],"dddd")</f>
        <v>Saturday</v>
      </c>
      <c r="F505" s="25" t="str" cm="1">
        <f t="array" ref="F505">IFERROR(_xlfn.XLOOKUP(Table57[[#This Row],[Code]],Table1[[#All],[Code]],Table1[[#All],[Time]],,0,1),"")</f>
        <v/>
      </c>
      <c r="G505" s="25" t="str" cm="1">
        <f t="array" ref="G505">IFERROR(_xlfn.XLOOKUP(Table57[[#This Row],[Code]],Table1[[#All],[Code]],Table1[[#All],[Time]],,0,-1),"")</f>
        <v/>
      </c>
      <c r="H505" s="23" t="str">
        <f>IFERROR(IF(Table57[[#This Row],[Out]]&gt;=Table57[[#This Row],[In]],Table57[[#This Row],[Out]]-Table57[[#This Row],[In]],(0.5+Table57[[#This Row],[Out]])-Table57[[#This Row],[In]]),"")</f>
        <v/>
      </c>
      <c r="I505" s="31" t="str">
        <f>IFERROR(IF(Table57[[#This Row],[In]]&gt;$C$2,Table57[[#This Row],[In]]-$C$2,""),"")</f>
        <v/>
      </c>
      <c r="J505" s="31" t="str">
        <f>IF(Table57[[#This Row],[Work_Hours]]=0,"",(IF(Table57[[#This Row],[Out]]&lt;$C$3,$C$3-Table57[[#This Row],[Out]],"")))</f>
        <v/>
      </c>
      <c r="K505" s="32" t="str">
        <f>IFERROR(Table57[[#This Row],[In]]+$C$1,"")</f>
        <v/>
      </c>
      <c r="L505" s="29"/>
      <c r="M505" s="31" t="str">
        <f>IF($C$2&gt;Table57[[#This Row],[In]],$C$2-Table57[[#This Row],[In]],"")</f>
        <v/>
      </c>
      <c r="N505" s="29" t="str">
        <f>IFERROR(IF(Table57[[#This Row],[Out]]&gt;$C$3,(Table57[[#This Row],[Out]])-($C$3),""),"")</f>
        <v/>
      </c>
    </row>
    <row r="506" spans="1:14" hidden="1" x14ac:dyDescent="0.25">
      <c r="A506" s="23" t="str">
        <f>Table57[[#This Row],[No.]]&amp;Table57[[#This Row],[Date]]</f>
        <v>00</v>
      </c>
      <c r="B506" s="22">
        <f>'Unique Dates'!A503</f>
        <v>0</v>
      </c>
      <c r="C506" s="22" t="e" cm="1">
        <f t="array" ref="C506">_xlfn.XLOOKUP(Table57[[#This Row],[No.]],Table2[[#All],[CODE]],Table2[[#All],[NAME]],,0,1)</f>
        <v>#N/A</v>
      </c>
      <c r="D506" s="6">
        <f>'Unique Dates'!B503</f>
        <v>0</v>
      </c>
      <c r="E506" t="str">
        <f>TEXT(Table57[[#This Row],[Date]],"dddd")</f>
        <v>Saturday</v>
      </c>
      <c r="F506" s="25" t="str" cm="1">
        <f t="array" ref="F506">IFERROR(_xlfn.XLOOKUP(Table57[[#This Row],[Code]],Table1[[#All],[Code]],Table1[[#All],[Time]],,0,1),"")</f>
        <v/>
      </c>
      <c r="G506" s="25" t="str" cm="1">
        <f t="array" ref="G506">IFERROR(_xlfn.XLOOKUP(Table57[[#This Row],[Code]],Table1[[#All],[Code]],Table1[[#All],[Time]],,0,-1),"")</f>
        <v/>
      </c>
      <c r="H506" s="23" t="str">
        <f>IFERROR(IF(Table57[[#This Row],[Out]]&gt;=Table57[[#This Row],[In]],Table57[[#This Row],[Out]]-Table57[[#This Row],[In]],(0.5+Table57[[#This Row],[Out]])-Table57[[#This Row],[In]]),"")</f>
        <v/>
      </c>
      <c r="I506" s="31" t="str">
        <f>IFERROR(IF(Table57[[#This Row],[In]]&gt;$C$2,Table57[[#This Row],[In]]-$C$2,""),"")</f>
        <v/>
      </c>
      <c r="J506" s="31" t="str">
        <f>IF(Table57[[#This Row],[Work_Hours]]=0,"",(IF(Table57[[#This Row],[Out]]&lt;$C$3,$C$3-Table57[[#This Row],[Out]],"")))</f>
        <v/>
      </c>
      <c r="K506" s="32" t="str">
        <f>IFERROR(Table57[[#This Row],[In]]+$C$1,"")</f>
        <v/>
      </c>
      <c r="L506" s="29"/>
      <c r="M506" s="31" t="str">
        <f>IF($C$2&gt;Table57[[#This Row],[In]],$C$2-Table57[[#This Row],[In]],"")</f>
        <v/>
      </c>
      <c r="N506" s="29" t="str">
        <f>IFERROR(IF(Table57[[#This Row],[Out]]&gt;$C$3,(Table57[[#This Row],[Out]])-($C$3),""),"")</f>
        <v/>
      </c>
    </row>
    <row r="507" spans="1:14" hidden="1" x14ac:dyDescent="0.25">
      <c r="A507" s="23" t="str">
        <f>Table57[[#This Row],[No.]]&amp;Table57[[#This Row],[Date]]</f>
        <v>00</v>
      </c>
      <c r="B507" s="22">
        <f>'Unique Dates'!A504</f>
        <v>0</v>
      </c>
      <c r="C507" s="22" t="e" cm="1">
        <f t="array" ref="C507">_xlfn.XLOOKUP(Table57[[#This Row],[No.]],Table2[[#All],[CODE]],Table2[[#All],[NAME]],,0,1)</f>
        <v>#N/A</v>
      </c>
      <c r="D507" s="6">
        <f>'Unique Dates'!B504</f>
        <v>0</v>
      </c>
      <c r="E507" t="str">
        <f>TEXT(Table57[[#This Row],[Date]],"dddd")</f>
        <v>Saturday</v>
      </c>
      <c r="F507" s="25" t="str" cm="1">
        <f t="array" ref="F507">IFERROR(_xlfn.XLOOKUP(Table57[[#This Row],[Code]],Table1[[#All],[Code]],Table1[[#All],[Time]],,0,1),"")</f>
        <v/>
      </c>
      <c r="G507" s="25" t="str" cm="1">
        <f t="array" ref="G507">IFERROR(_xlfn.XLOOKUP(Table57[[#This Row],[Code]],Table1[[#All],[Code]],Table1[[#All],[Time]],,0,-1),"")</f>
        <v/>
      </c>
      <c r="H507" s="23" t="str">
        <f>IFERROR(IF(Table57[[#This Row],[Out]]&gt;=Table57[[#This Row],[In]],Table57[[#This Row],[Out]]-Table57[[#This Row],[In]],(0.5+Table57[[#This Row],[Out]])-Table57[[#This Row],[In]]),"")</f>
        <v/>
      </c>
      <c r="I507" s="31" t="str">
        <f>IFERROR(IF(Table57[[#This Row],[In]]&gt;$C$2,Table57[[#This Row],[In]]-$C$2,""),"")</f>
        <v/>
      </c>
      <c r="J507" s="31" t="str">
        <f>IF(Table57[[#This Row],[Work_Hours]]=0,"",(IF(Table57[[#This Row],[Out]]&lt;$C$3,$C$3-Table57[[#This Row],[Out]],"")))</f>
        <v/>
      </c>
      <c r="K507" s="32" t="str">
        <f>IFERROR(Table57[[#This Row],[In]]+$C$1,"")</f>
        <v/>
      </c>
      <c r="L507" s="29"/>
      <c r="M507" s="31" t="str">
        <f>IF($C$2&gt;Table57[[#This Row],[In]],$C$2-Table57[[#This Row],[In]],"")</f>
        <v/>
      </c>
      <c r="N507" s="29" t="str">
        <f>IFERROR(IF(Table57[[#This Row],[Out]]&gt;$C$3,(Table57[[#This Row],[Out]])-($C$3),""),"")</f>
        <v/>
      </c>
    </row>
    <row r="508" spans="1:14" hidden="1" x14ac:dyDescent="0.25">
      <c r="A508" s="23" t="str">
        <f>Table57[[#This Row],[No.]]&amp;Table57[[#This Row],[Date]]</f>
        <v>00</v>
      </c>
      <c r="B508" s="22">
        <f>'Unique Dates'!A505</f>
        <v>0</v>
      </c>
      <c r="C508" s="22" t="e" cm="1">
        <f t="array" ref="C508">_xlfn.XLOOKUP(Table57[[#This Row],[No.]],Table2[[#All],[CODE]],Table2[[#All],[NAME]],,0,1)</f>
        <v>#N/A</v>
      </c>
      <c r="D508" s="6">
        <f>'Unique Dates'!B505</f>
        <v>0</v>
      </c>
      <c r="E508" t="str">
        <f>TEXT(Table57[[#This Row],[Date]],"dddd")</f>
        <v>Saturday</v>
      </c>
      <c r="F508" s="25" t="str" cm="1">
        <f t="array" ref="F508">IFERROR(_xlfn.XLOOKUP(Table57[[#This Row],[Code]],Table1[[#All],[Code]],Table1[[#All],[Time]],,0,1),"")</f>
        <v/>
      </c>
      <c r="G508" s="25" t="str" cm="1">
        <f t="array" ref="G508">IFERROR(_xlfn.XLOOKUP(Table57[[#This Row],[Code]],Table1[[#All],[Code]],Table1[[#All],[Time]],,0,-1),"")</f>
        <v/>
      </c>
      <c r="H508" s="23" t="str">
        <f>IFERROR(IF(Table57[[#This Row],[Out]]&gt;=Table57[[#This Row],[In]],Table57[[#This Row],[Out]]-Table57[[#This Row],[In]],(0.5+Table57[[#This Row],[Out]])-Table57[[#This Row],[In]]),"")</f>
        <v/>
      </c>
      <c r="I508" s="31" t="str">
        <f>IFERROR(IF(Table57[[#This Row],[In]]&gt;$C$2,Table57[[#This Row],[In]]-$C$2,""),"")</f>
        <v/>
      </c>
      <c r="J508" s="31" t="str">
        <f>IF(Table57[[#This Row],[Work_Hours]]=0,"",(IF(Table57[[#This Row],[Out]]&lt;$C$3,$C$3-Table57[[#This Row],[Out]],"")))</f>
        <v/>
      </c>
      <c r="K508" s="32" t="str">
        <f>IFERROR(Table57[[#This Row],[In]]+$C$1,"")</f>
        <v/>
      </c>
      <c r="L508" s="29"/>
      <c r="M508" s="31" t="str">
        <f>IF($C$2&gt;Table57[[#This Row],[In]],$C$2-Table57[[#This Row],[In]],"")</f>
        <v/>
      </c>
      <c r="N508" s="29" t="str">
        <f>IFERROR(IF(Table57[[#This Row],[Out]]&gt;$C$3,(Table57[[#This Row],[Out]])-($C$3),""),"")</f>
        <v/>
      </c>
    </row>
    <row r="509" spans="1:14" hidden="1" x14ac:dyDescent="0.25">
      <c r="A509" s="23" t="str">
        <f>Table57[[#This Row],[No.]]&amp;Table57[[#This Row],[Date]]</f>
        <v>00</v>
      </c>
      <c r="B509" s="22">
        <f>'Unique Dates'!A506</f>
        <v>0</v>
      </c>
      <c r="C509" s="22" t="e" cm="1">
        <f t="array" ref="C509">_xlfn.XLOOKUP(Table57[[#This Row],[No.]],Table2[[#All],[CODE]],Table2[[#All],[NAME]],,0,1)</f>
        <v>#N/A</v>
      </c>
      <c r="D509" s="6">
        <f>'Unique Dates'!B506</f>
        <v>0</v>
      </c>
      <c r="E509" t="str">
        <f>TEXT(Table57[[#This Row],[Date]],"dddd")</f>
        <v>Saturday</v>
      </c>
      <c r="F509" s="25" t="str" cm="1">
        <f t="array" ref="F509">IFERROR(_xlfn.XLOOKUP(Table57[[#This Row],[Code]],Table1[[#All],[Code]],Table1[[#All],[Time]],,0,1),"")</f>
        <v/>
      </c>
      <c r="G509" s="25" t="str" cm="1">
        <f t="array" ref="G509">IFERROR(_xlfn.XLOOKUP(Table57[[#This Row],[Code]],Table1[[#All],[Code]],Table1[[#All],[Time]],,0,-1),"")</f>
        <v/>
      </c>
      <c r="H509" s="23" t="str">
        <f>IFERROR(IF(Table57[[#This Row],[Out]]&gt;=Table57[[#This Row],[In]],Table57[[#This Row],[Out]]-Table57[[#This Row],[In]],(0.5+Table57[[#This Row],[Out]])-Table57[[#This Row],[In]]),"")</f>
        <v/>
      </c>
      <c r="I509" s="31" t="str">
        <f>IFERROR(IF(Table57[[#This Row],[In]]&gt;$C$2,Table57[[#This Row],[In]]-$C$2,""),"")</f>
        <v/>
      </c>
      <c r="J509" s="31" t="str">
        <f>IF(Table57[[#This Row],[Work_Hours]]=0,"",(IF(Table57[[#This Row],[Out]]&lt;$C$3,$C$3-Table57[[#This Row],[Out]],"")))</f>
        <v/>
      </c>
      <c r="K509" s="32" t="str">
        <f>IFERROR(Table57[[#This Row],[In]]+$C$1,"")</f>
        <v/>
      </c>
      <c r="L509" s="29"/>
      <c r="M509" s="31" t="str">
        <f>IF($C$2&gt;Table57[[#This Row],[In]],$C$2-Table57[[#This Row],[In]],"")</f>
        <v/>
      </c>
      <c r="N509" s="29" t="str">
        <f>IFERROR(IF(Table57[[#This Row],[Out]]&gt;$C$3,(Table57[[#This Row],[Out]])-($C$3),""),"")</f>
        <v/>
      </c>
    </row>
    <row r="510" spans="1:14" hidden="1" x14ac:dyDescent="0.25">
      <c r="A510" s="23" t="str">
        <f>Table57[[#This Row],[No.]]&amp;Table57[[#This Row],[Date]]</f>
        <v>00</v>
      </c>
      <c r="B510" s="22">
        <f>'Unique Dates'!A507</f>
        <v>0</v>
      </c>
      <c r="C510" s="22" t="e" cm="1">
        <f t="array" ref="C510">_xlfn.XLOOKUP(Table57[[#This Row],[No.]],Table2[[#All],[CODE]],Table2[[#All],[NAME]],,0,1)</f>
        <v>#N/A</v>
      </c>
      <c r="D510" s="6">
        <f>'Unique Dates'!B507</f>
        <v>0</v>
      </c>
      <c r="E510" t="str">
        <f>TEXT(Table57[[#This Row],[Date]],"dddd")</f>
        <v>Saturday</v>
      </c>
      <c r="F510" s="25" t="str" cm="1">
        <f t="array" ref="F510">IFERROR(_xlfn.XLOOKUP(Table57[[#This Row],[Code]],Table1[[#All],[Code]],Table1[[#All],[Time]],,0,1),"")</f>
        <v/>
      </c>
      <c r="G510" s="25" t="str" cm="1">
        <f t="array" ref="G510">IFERROR(_xlfn.XLOOKUP(Table57[[#This Row],[Code]],Table1[[#All],[Code]],Table1[[#All],[Time]],,0,-1),"")</f>
        <v/>
      </c>
      <c r="H510" s="23" t="str">
        <f>IFERROR(IF(Table57[[#This Row],[Out]]&gt;=Table57[[#This Row],[In]],Table57[[#This Row],[Out]]-Table57[[#This Row],[In]],(0.5+Table57[[#This Row],[Out]])-Table57[[#This Row],[In]]),"")</f>
        <v/>
      </c>
      <c r="I510" s="31" t="str">
        <f>IFERROR(IF(Table57[[#This Row],[In]]&gt;$C$2,Table57[[#This Row],[In]]-$C$2,""),"")</f>
        <v/>
      </c>
      <c r="J510" s="31" t="str">
        <f>IF(Table57[[#This Row],[Work_Hours]]=0,"",(IF(Table57[[#This Row],[Out]]&lt;$C$3,$C$3-Table57[[#This Row],[Out]],"")))</f>
        <v/>
      </c>
      <c r="K510" s="32" t="str">
        <f>IFERROR(Table57[[#This Row],[In]]+$C$1,"")</f>
        <v/>
      </c>
      <c r="L510" s="29"/>
      <c r="M510" s="31" t="str">
        <f>IF($C$2&gt;Table57[[#This Row],[In]],$C$2-Table57[[#This Row],[In]],"")</f>
        <v/>
      </c>
      <c r="N510" s="29" t="str">
        <f>IFERROR(IF(Table57[[#This Row],[Out]]&gt;$C$3,(Table57[[#This Row],[Out]])-($C$3),""),"")</f>
        <v/>
      </c>
    </row>
    <row r="511" spans="1:14" hidden="1" x14ac:dyDescent="0.25">
      <c r="A511" s="23" t="str">
        <f>Table57[[#This Row],[No.]]&amp;Table57[[#This Row],[Date]]</f>
        <v>00</v>
      </c>
      <c r="B511" s="22">
        <f>'Unique Dates'!A508</f>
        <v>0</v>
      </c>
      <c r="C511" s="22" t="e" cm="1">
        <f t="array" ref="C511">_xlfn.XLOOKUP(Table57[[#This Row],[No.]],Table2[[#All],[CODE]],Table2[[#All],[NAME]],,0,1)</f>
        <v>#N/A</v>
      </c>
      <c r="D511" s="6">
        <f>'Unique Dates'!B508</f>
        <v>0</v>
      </c>
      <c r="E511" t="str">
        <f>TEXT(Table57[[#This Row],[Date]],"dddd")</f>
        <v>Saturday</v>
      </c>
      <c r="F511" s="25" t="str" cm="1">
        <f t="array" ref="F511">IFERROR(_xlfn.XLOOKUP(Table57[[#This Row],[Code]],Table1[[#All],[Code]],Table1[[#All],[Time]],,0,1),"")</f>
        <v/>
      </c>
      <c r="G511" s="25" t="str" cm="1">
        <f t="array" ref="G511">IFERROR(_xlfn.XLOOKUP(Table57[[#This Row],[Code]],Table1[[#All],[Code]],Table1[[#All],[Time]],,0,-1),"")</f>
        <v/>
      </c>
      <c r="H511" s="23" t="str">
        <f>IFERROR(IF(Table57[[#This Row],[Out]]&gt;=Table57[[#This Row],[In]],Table57[[#This Row],[Out]]-Table57[[#This Row],[In]],(0.5+Table57[[#This Row],[Out]])-Table57[[#This Row],[In]]),"")</f>
        <v/>
      </c>
      <c r="I511" s="31" t="str">
        <f>IFERROR(IF(Table57[[#This Row],[In]]&gt;$C$2,Table57[[#This Row],[In]]-$C$2,""),"")</f>
        <v/>
      </c>
      <c r="J511" s="31" t="str">
        <f>IF(Table57[[#This Row],[Work_Hours]]=0,"",(IF(Table57[[#This Row],[Out]]&lt;$C$3,$C$3-Table57[[#This Row],[Out]],"")))</f>
        <v/>
      </c>
      <c r="K511" s="32" t="str">
        <f>IFERROR(Table57[[#This Row],[In]]+$C$1,"")</f>
        <v/>
      </c>
      <c r="L511" s="29"/>
      <c r="M511" s="31" t="str">
        <f>IF($C$2&gt;Table57[[#This Row],[In]],$C$2-Table57[[#This Row],[In]],"")</f>
        <v/>
      </c>
      <c r="N511" s="29" t="str">
        <f>IFERROR(IF(Table57[[#This Row],[Out]]&gt;$C$3,(Table57[[#This Row],[Out]])-($C$3),""),"")</f>
        <v/>
      </c>
    </row>
    <row r="512" spans="1:14" hidden="1" x14ac:dyDescent="0.25">
      <c r="A512" s="23" t="str">
        <f>Table57[[#This Row],[No.]]&amp;Table57[[#This Row],[Date]]</f>
        <v>00</v>
      </c>
      <c r="B512" s="22">
        <f>'Unique Dates'!A509</f>
        <v>0</v>
      </c>
      <c r="C512" s="22" t="e" cm="1">
        <f t="array" ref="C512">_xlfn.XLOOKUP(Table57[[#This Row],[No.]],Table2[[#All],[CODE]],Table2[[#All],[NAME]],,0,1)</f>
        <v>#N/A</v>
      </c>
      <c r="D512" s="6">
        <f>'Unique Dates'!B509</f>
        <v>0</v>
      </c>
      <c r="E512" t="str">
        <f>TEXT(Table57[[#This Row],[Date]],"dddd")</f>
        <v>Saturday</v>
      </c>
      <c r="F512" s="25" t="str" cm="1">
        <f t="array" ref="F512">IFERROR(_xlfn.XLOOKUP(Table57[[#This Row],[Code]],Table1[[#All],[Code]],Table1[[#All],[Time]],,0,1),"")</f>
        <v/>
      </c>
      <c r="G512" s="25" t="str" cm="1">
        <f t="array" ref="G512">IFERROR(_xlfn.XLOOKUP(Table57[[#This Row],[Code]],Table1[[#All],[Code]],Table1[[#All],[Time]],,0,-1),"")</f>
        <v/>
      </c>
      <c r="H512" s="23" t="str">
        <f>IFERROR(IF(Table57[[#This Row],[Out]]&gt;=Table57[[#This Row],[In]],Table57[[#This Row],[Out]]-Table57[[#This Row],[In]],(0.5+Table57[[#This Row],[Out]])-Table57[[#This Row],[In]]),"")</f>
        <v/>
      </c>
      <c r="I512" s="31" t="str">
        <f>IFERROR(IF(Table57[[#This Row],[In]]&gt;$C$2,Table57[[#This Row],[In]]-$C$2,""),"")</f>
        <v/>
      </c>
      <c r="J512" s="31" t="str">
        <f>IF(Table57[[#This Row],[Work_Hours]]=0,"",(IF(Table57[[#This Row],[Out]]&lt;$C$3,$C$3-Table57[[#This Row],[Out]],"")))</f>
        <v/>
      </c>
      <c r="K512" s="32" t="str">
        <f>IFERROR(Table57[[#This Row],[In]]+$C$1,"")</f>
        <v/>
      </c>
      <c r="L512" s="29"/>
      <c r="M512" s="31" t="str">
        <f>IF($C$2&gt;Table57[[#This Row],[In]],$C$2-Table57[[#This Row],[In]],"")</f>
        <v/>
      </c>
      <c r="N512" s="29" t="str">
        <f>IFERROR(IF(Table57[[#This Row],[Out]]&gt;$C$3,(Table57[[#This Row],[Out]])-($C$3),""),"")</f>
        <v/>
      </c>
    </row>
    <row r="513" spans="1:14" hidden="1" x14ac:dyDescent="0.25">
      <c r="A513" s="23" t="str">
        <f>Table57[[#This Row],[No.]]&amp;Table57[[#This Row],[Date]]</f>
        <v>00</v>
      </c>
      <c r="B513" s="22">
        <f>'Unique Dates'!A510</f>
        <v>0</v>
      </c>
      <c r="C513" s="22" t="e" cm="1">
        <f t="array" ref="C513">_xlfn.XLOOKUP(Table57[[#This Row],[No.]],Table2[[#All],[CODE]],Table2[[#All],[NAME]],,0,1)</f>
        <v>#N/A</v>
      </c>
      <c r="D513" s="6">
        <f>'Unique Dates'!B510</f>
        <v>0</v>
      </c>
      <c r="E513" t="str">
        <f>TEXT(Table57[[#This Row],[Date]],"dddd")</f>
        <v>Saturday</v>
      </c>
      <c r="F513" s="25" t="str" cm="1">
        <f t="array" ref="F513">IFERROR(_xlfn.XLOOKUP(Table57[[#This Row],[Code]],Table1[[#All],[Code]],Table1[[#All],[Time]],,0,1),"")</f>
        <v/>
      </c>
      <c r="G513" s="25" t="str" cm="1">
        <f t="array" ref="G513">IFERROR(_xlfn.XLOOKUP(Table57[[#This Row],[Code]],Table1[[#All],[Code]],Table1[[#All],[Time]],,0,-1),"")</f>
        <v/>
      </c>
      <c r="H513" s="23" t="str">
        <f>IFERROR(IF(Table57[[#This Row],[Out]]&gt;=Table57[[#This Row],[In]],Table57[[#This Row],[Out]]-Table57[[#This Row],[In]],(0.5+Table57[[#This Row],[Out]])-Table57[[#This Row],[In]]),"")</f>
        <v/>
      </c>
      <c r="I513" s="31" t="str">
        <f>IFERROR(IF(Table57[[#This Row],[In]]&gt;$C$2,Table57[[#This Row],[In]]-$C$2,""),"")</f>
        <v/>
      </c>
      <c r="J513" s="31" t="str">
        <f>IF(Table57[[#This Row],[Work_Hours]]=0,"",(IF(Table57[[#This Row],[Out]]&lt;$C$3,$C$3-Table57[[#This Row],[Out]],"")))</f>
        <v/>
      </c>
      <c r="K513" s="32" t="str">
        <f>IFERROR(Table57[[#This Row],[In]]+$C$1,"")</f>
        <v/>
      </c>
      <c r="L513" s="29"/>
      <c r="M513" s="31" t="str">
        <f>IF($C$2&gt;Table57[[#This Row],[In]],$C$2-Table57[[#This Row],[In]],"")</f>
        <v/>
      </c>
      <c r="N513" s="29" t="str">
        <f>IFERROR(IF(Table57[[#This Row],[Out]]&gt;$C$3,(Table57[[#This Row],[Out]])-($C$3),""),"")</f>
        <v/>
      </c>
    </row>
    <row r="514" spans="1:14" hidden="1" x14ac:dyDescent="0.25">
      <c r="A514" s="23" t="str">
        <f>Table57[[#This Row],[No.]]&amp;Table57[[#This Row],[Date]]</f>
        <v>00</v>
      </c>
      <c r="B514" s="22">
        <f>'Unique Dates'!A511</f>
        <v>0</v>
      </c>
      <c r="C514" s="22" t="e" cm="1">
        <f t="array" ref="C514">_xlfn.XLOOKUP(Table57[[#This Row],[No.]],Table2[[#All],[CODE]],Table2[[#All],[NAME]],,0,1)</f>
        <v>#N/A</v>
      </c>
      <c r="D514" s="6">
        <f>'Unique Dates'!B511</f>
        <v>0</v>
      </c>
      <c r="E514" t="str">
        <f>TEXT(Table57[[#This Row],[Date]],"dddd")</f>
        <v>Saturday</v>
      </c>
      <c r="F514" s="25" t="str" cm="1">
        <f t="array" ref="F514">IFERROR(_xlfn.XLOOKUP(Table57[[#This Row],[Code]],Table1[[#All],[Code]],Table1[[#All],[Time]],,0,1),"")</f>
        <v/>
      </c>
      <c r="G514" s="25" t="str" cm="1">
        <f t="array" ref="G514">IFERROR(_xlfn.XLOOKUP(Table57[[#This Row],[Code]],Table1[[#All],[Code]],Table1[[#All],[Time]],,0,-1),"")</f>
        <v/>
      </c>
      <c r="H514" s="23" t="str">
        <f>IFERROR(IF(Table57[[#This Row],[Out]]&gt;=Table57[[#This Row],[In]],Table57[[#This Row],[Out]]-Table57[[#This Row],[In]],(0.5+Table57[[#This Row],[Out]])-Table57[[#This Row],[In]]),"")</f>
        <v/>
      </c>
      <c r="I514" s="31" t="str">
        <f>IFERROR(IF(Table57[[#This Row],[In]]&gt;$C$2,Table57[[#This Row],[In]]-$C$2,""),"")</f>
        <v/>
      </c>
      <c r="J514" s="31" t="str">
        <f>IF(Table57[[#This Row],[Work_Hours]]=0,"",(IF(Table57[[#This Row],[Out]]&lt;$C$3,$C$3-Table57[[#This Row],[Out]],"")))</f>
        <v/>
      </c>
      <c r="K514" s="32" t="str">
        <f>IFERROR(Table57[[#This Row],[In]]+$C$1,"")</f>
        <v/>
      </c>
      <c r="L514" s="29"/>
      <c r="M514" s="31" t="str">
        <f>IF($C$2&gt;Table57[[#This Row],[In]],$C$2-Table57[[#This Row],[In]],"")</f>
        <v/>
      </c>
      <c r="N514" s="29" t="str">
        <f>IFERROR(IF(Table57[[#This Row],[Out]]&gt;$C$3,(Table57[[#This Row],[Out]])-($C$3),""),"")</f>
        <v/>
      </c>
    </row>
    <row r="515" spans="1:14" hidden="1" x14ac:dyDescent="0.25">
      <c r="A515" s="23" t="str">
        <f>Table57[[#This Row],[No.]]&amp;Table57[[#This Row],[Date]]</f>
        <v>00</v>
      </c>
      <c r="B515" s="22">
        <f>'Unique Dates'!A512</f>
        <v>0</v>
      </c>
      <c r="C515" s="22" t="e" cm="1">
        <f t="array" ref="C515">_xlfn.XLOOKUP(Table57[[#This Row],[No.]],Table2[[#All],[CODE]],Table2[[#All],[NAME]],,0,1)</f>
        <v>#N/A</v>
      </c>
      <c r="D515" s="6">
        <f>'Unique Dates'!B512</f>
        <v>0</v>
      </c>
      <c r="E515" t="str">
        <f>TEXT(Table57[[#This Row],[Date]],"dddd")</f>
        <v>Saturday</v>
      </c>
      <c r="F515" s="25" t="str" cm="1">
        <f t="array" ref="F515">IFERROR(_xlfn.XLOOKUP(Table57[[#This Row],[Code]],Table1[[#All],[Code]],Table1[[#All],[Time]],,0,1),"")</f>
        <v/>
      </c>
      <c r="G515" s="25" t="str" cm="1">
        <f t="array" ref="G515">IFERROR(_xlfn.XLOOKUP(Table57[[#This Row],[Code]],Table1[[#All],[Code]],Table1[[#All],[Time]],,0,-1),"")</f>
        <v/>
      </c>
      <c r="H515" s="23" t="str">
        <f>IFERROR(IF(Table57[[#This Row],[Out]]&gt;=Table57[[#This Row],[In]],Table57[[#This Row],[Out]]-Table57[[#This Row],[In]],(0.5+Table57[[#This Row],[Out]])-Table57[[#This Row],[In]]),"")</f>
        <v/>
      </c>
      <c r="I515" s="31" t="str">
        <f>IFERROR(IF(Table57[[#This Row],[In]]&gt;$C$2,Table57[[#This Row],[In]]-$C$2,""),"")</f>
        <v/>
      </c>
      <c r="J515" s="31" t="str">
        <f>IF(Table57[[#This Row],[Work_Hours]]=0,"",(IF(Table57[[#This Row],[Out]]&lt;$C$3,$C$3-Table57[[#This Row],[Out]],"")))</f>
        <v/>
      </c>
      <c r="K515" s="32" t="str">
        <f>IFERROR(Table57[[#This Row],[In]]+$C$1,"")</f>
        <v/>
      </c>
      <c r="L515" s="29"/>
      <c r="M515" s="31" t="str">
        <f>IF($C$2&gt;Table57[[#This Row],[In]],$C$2-Table57[[#This Row],[In]],"")</f>
        <v/>
      </c>
      <c r="N515" s="29" t="str">
        <f>IFERROR(IF(Table57[[#This Row],[Out]]&gt;$C$3,(Table57[[#This Row],[Out]])-($C$3),""),"")</f>
        <v/>
      </c>
    </row>
    <row r="516" spans="1:14" hidden="1" x14ac:dyDescent="0.25">
      <c r="A516" s="23" t="str">
        <f>Table57[[#This Row],[No.]]&amp;Table57[[#This Row],[Date]]</f>
        <v>00</v>
      </c>
      <c r="B516" s="22">
        <f>'Unique Dates'!A513</f>
        <v>0</v>
      </c>
      <c r="C516" s="22" t="e" cm="1">
        <f t="array" ref="C516">_xlfn.XLOOKUP(Table57[[#This Row],[No.]],Table2[[#All],[CODE]],Table2[[#All],[NAME]],,0,1)</f>
        <v>#N/A</v>
      </c>
      <c r="D516" s="6">
        <f>'Unique Dates'!B513</f>
        <v>0</v>
      </c>
      <c r="E516" t="str">
        <f>TEXT(Table57[[#This Row],[Date]],"dddd")</f>
        <v>Saturday</v>
      </c>
      <c r="F516" s="25" t="str" cm="1">
        <f t="array" ref="F516">IFERROR(_xlfn.XLOOKUP(Table57[[#This Row],[Code]],Table1[[#All],[Code]],Table1[[#All],[Time]],,0,1),"")</f>
        <v/>
      </c>
      <c r="G516" s="25" t="str" cm="1">
        <f t="array" ref="G516">IFERROR(_xlfn.XLOOKUP(Table57[[#This Row],[Code]],Table1[[#All],[Code]],Table1[[#All],[Time]],,0,-1),"")</f>
        <v/>
      </c>
      <c r="H516" s="23" t="str">
        <f>IFERROR(IF(Table57[[#This Row],[Out]]&gt;=Table57[[#This Row],[In]],Table57[[#This Row],[Out]]-Table57[[#This Row],[In]],(0.5+Table57[[#This Row],[Out]])-Table57[[#This Row],[In]]),"")</f>
        <v/>
      </c>
      <c r="I516" s="31" t="str">
        <f>IFERROR(IF(Table57[[#This Row],[In]]&gt;$C$2,Table57[[#This Row],[In]]-$C$2,""),"")</f>
        <v/>
      </c>
      <c r="J516" s="31" t="str">
        <f>IF(Table57[[#This Row],[Work_Hours]]=0,"",(IF(Table57[[#This Row],[Out]]&lt;$C$3,$C$3-Table57[[#This Row],[Out]],"")))</f>
        <v/>
      </c>
      <c r="K516" s="32" t="str">
        <f>IFERROR(Table57[[#This Row],[In]]+$C$1,"")</f>
        <v/>
      </c>
      <c r="L516" s="29"/>
      <c r="M516" s="31" t="str">
        <f>IF($C$2&gt;Table57[[#This Row],[In]],$C$2-Table57[[#This Row],[In]],"")</f>
        <v/>
      </c>
      <c r="N516" s="29" t="str">
        <f>IFERROR(IF(Table57[[#This Row],[Out]]&gt;$C$3,(Table57[[#This Row],[Out]])-($C$3),""),"")</f>
        <v/>
      </c>
    </row>
    <row r="517" spans="1:14" hidden="1" x14ac:dyDescent="0.25">
      <c r="A517" s="23" t="str">
        <f>Table57[[#This Row],[No.]]&amp;Table57[[#This Row],[Date]]</f>
        <v>00</v>
      </c>
      <c r="B517" s="22">
        <f>'Unique Dates'!A514</f>
        <v>0</v>
      </c>
      <c r="C517" s="22" t="e" cm="1">
        <f t="array" ref="C517">_xlfn.XLOOKUP(Table57[[#This Row],[No.]],Table2[[#All],[CODE]],Table2[[#All],[NAME]],,0,1)</f>
        <v>#N/A</v>
      </c>
      <c r="D517" s="6">
        <f>'Unique Dates'!B514</f>
        <v>0</v>
      </c>
      <c r="E517" t="str">
        <f>TEXT(Table57[[#This Row],[Date]],"dddd")</f>
        <v>Saturday</v>
      </c>
      <c r="F517" s="25" t="str" cm="1">
        <f t="array" ref="F517">IFERROR(_xlfn.XLOOKUP(Table57[[#This Row],[Code]],Table1[[#All],[Code]],Table1[[#All],[Time]],,0,1),"")</f>
        <v/>
      </c>
      <c r="G517" s="25" t="str" cm="1">
        <f t="array" ref="G517">IFERROR(_xlfn.XLOOKUP(Table57[[#This Row],[Code]],Table1[[#All],[Code]],Table1[[#All],[Time]],,0,-1),"")</f>
        <v/>
      </c>
      <c r="H517" s="23" t="str">
        <f>IFERROR(IF(Table57[[#This Row],[Out]]&gt;=Table57[[#This Row],[In]],Table57[[#This Row],[Out]]-Table57[[#This Row],[In]],(0.5+Table57[[#This Row],[Out]])-Table57[[#This Row],[In]]),"")</f>
        <v/>
      </c>
      <c r="I517" s="31" t="str">
        <f>IFERROR(IF(Table57[[#This Row],[In]]&gt;$C$2,Table57[[#This Row],[In]]-$C$2,""),"")</f>
        <v/>
      </c>
      <c r="J517" s="31" t="str">
        <f>IF(Table57[[#This Row],[Work_Hours]]=0,"",(IF(Table57[[#This Row],[Out]]&lt;$C$3,$C$3-Table57[[#This Row],[Out]],"")))</f>
        <v/>
      </c>
      <c r="K517" s="32" t="str">
        <f>IFERROR(Table57[[#This Row],[In]]+$C$1,"")</f>
        <v/>
      </c>
      <c r="L517" s="29"/>
      <c r="M517" s="31" t="str">
        <f>IF($C$2&gt;Table57[[#This Row],[In]],$C$2-Table57[[#This Row],[In]],"")</f>
        <v/>
      </c>
      <c r="N517" s="29" t="str">
        <f>IFERROR(IF(Table57[[#This Row],[Out]]&gt;$C$3,(Table57[[#This Row],[Out]])-($C$3),""),"")</f>
        <v/>
      </c>
    </row>
    <row r="518" spans="1:14" hidden="1" x14ac:dyDescent="0.25">
      <c r="A518" s="23" t="str">
        <f>Table57[[#This Row],[No.]]&amp;Table57[[#This Row],[Date]]</f>
        <v>00</v>
      </c>
      <c r="B518" s="22">
        <f>'Unique Dates'!A515</f>
        <v>0</v>
      </c>
      <c r="C518" s="22" t="e" cm="1">
        <f t="array" ref="C518">_xlfn.XLOOKUP(Table57[[#This Row],[No.]],Table2[[#All],[CODE]],Table2[[#All],[NAME]],,0,1)</f>
        <v>#N/A</v>
      </c>
      <c r="D518" s="6">
        <f>'Unique Dates'!B515</f>
        <v>0</v>
      </c>
      <c r="E518" t="str">
        <f>TEXT(Table57[[#This Row],[Date]],"dddd")</f>
        <v>Saturday</v>
      </c>
      <c r="F518" s="25" t="str" cm="1">
        <f t="array" ref="F518">IFERROR(_xlfn.XLOOKUP(Table57[[#This Row],[Code]],Table1[[#All],[Code]],Table1[[#All],[Time]],,0,1),"")</f>
        <v/>
      </c>
      <c r="G518" s="25" t="str" cm="1">
        <f t="array" ref="G518">IFERROR(_xlfn.XLOOKUP(Table57[[#This Row],[Code]],Table1[[#All],[Code]],Table1[[#All],[Time]],,0,-1),"")</f>
        <v/>
      </c>
      <c r="H518" s="23" t="str">
        <f>IFERROR(IF(Table57[[#This Row],[Out]]&gt;=Table57[[#This Row],[In]],Table57[[#This Row],[Out]]-Table57[[#This Row],[In]],(0.5+Table57[[#This Row],[Out]])-Table57[[#This Row],[In]]),"")</f>
        <v/>
      </c>
      <c r="I518" s="31" t="str">
        <f>IFERROR(IF(Table57[[#This Row],[In]]&gt;$C$2,Table57[[#This Row],[In]]-$C$2,""),"")</f>
        <v/>
      </c>
      <c r="J518" s="31" t="str">
        <f>IF(Table57[[#This Row],[Work_Hours]]=0,"",(IF(Table57[[#This Row],[Out]]&lt;$C$3,$C$3-Table57[[#This Row],[Out]],"")))</f>
        <v/>
      </c>
      <c r="K518" s="32" t="str">
        <f>IFERROR(Table57[[#This Row],[In]]+$C$1,"")</f>
        <v/>
      </c>
      <c r="L518" s="29"/>
      <c r="M518" s="31" t="str">
        <f>IF($C$2&gt;Table57[[#This Row],[In]],$C$2-Table57[[#This Row],[In]],"")</f>
        <v/>
      </c>
      <c r="N518" s="29" t="str">
        <f>IFERROR(IF(Table57[[#This Row],[Out]]&gt;$C$3,(Table57[[#This Row],[Out]])-($C$3),""),"")</f>
        <v/>
      </c>
    </row>
    <row r="519" spans="1:14" hidden="1" x14ac:dyDescent="0.25">
      <c r="A519" s="23" t="str">
        <f>Table57[[#This Row],[No.]]&amp;Table57[[#This Row],[Date]]</f>
        <v>00</v>
      </c>
      <c r="B519" s="22">
        <f>'Unique Dates'!A516</f>
        <v>0</v>
      </c>
      <c r="C519" s="22" t="e" cm="1">
        <f t="array" ref="C519">_xlfn.XLOOKUP(Table57[[#This Row],[No.]],Table2[[#All],[CODE]],Table2[[#All],[NAME]],,0,1)</f>
        <v>#N/A</v>
      </c>
      <c r="D519" s="6">
        <f>'Unique Dates'!B516</f>
        <v>0</v>
      </c>
      <c r="E519" t="str">
        <f>TEXT(Table57[[#This Row],[Date]],"dddd")</f>
        <v>Saturday</v>
      </c>
      <c r="F519" s="25" t="str" cm="1">
        <f t="array" ref="F519">IFERROR(_xlfn.XLOOKUP(Table57[[#This Row],[Code]],Table1[[#All],[Code]],Table1[[#All],[Time]],,0,1),"")</f>
        <v/>
      </c>
      <c r="G519" s="25" t="str" cm="1">
        <f t="array" ref="G519">IFERROR(_xlfn.XLOOKUP(Table57[[#This Row],[Code]],Table1[[#All],[Code]],Table1[[#All],[Time]],,0,-1),"")</f>
        <v/>
      </c>
      <c r="H519" s="23" t="str">
        <f>IFERROR(IF(Table57[[#This Row],[Out]]&gt;=Table57[[#This Row],[In]],Table57[[#This Row],[Out]]-Table57[[#This Row],[In]],(0.5+Table57[[#This Row],[Out]])-Table57[[#This Row],[In]]),"")</f>
        <v/>
      </c>
      <c r="I519" s="31" t="str">
        <f>IFERROR(IF(Table57[[#This Row],[In]]&gt;$C$2,Table57[[#This Row],[In]]-$C$2,""),"")</f>
        <v/>
      </c>
      <c r="J519" s="31" t="str">
        <f>IF(Table57[[#This Row],[Work_Hours]]=0,"",(IF(Table57[[#This Row],[Out]]&lt;$C$3,$C$3-Table57[[#This Row],[Out]],"")))</f>
        <v/>
      </c>
      <c r="K519" s="32" t="str">
        <f>IFERROR(Table57[[#This Row],[In]]+$C$1,"")</f>
        <v/>
      </c>
      <c r="L519" s="29"/>
      <c r="M519" s="31" t="str">
        <f>IF($C$2&gt;Table57[[#This Row],[In]],$C$2-Table57[[#This Row],[In]],"")</f>
        <v/>
      </c>
      <c r="N519" s="29" t="str">
        <f>IFERROR(IF(Table57[[#This Row],[Out]]&gt;$C$3,(Table57[[#This Row],[Out]])-($C$3),""),"")</f>
        <v/>
      </c>
    </row>
    <row r="520" spans="1:14" hidden="1" x14ac:dyDescent="0.25">
      <c r="A520" s="23" t="str">
        <f>Table57[[#This Row],[No.]]&amp;Table57[[#This Row],[Date]]</f>
        <v>00</v>
      </c>
      <c r="B520" s="22">
        <f>'Unique Dates'!A517</f>
        <v>0</v>
      </c>
      <c r="C520" s="22" t="e" cm="1">
        <f t="array" ref="C520">_xlfn.XLOOKUP(Table57[[#This Row],[No.]],Table2[[#All],[CODE]],Table2[[#All],[NAME]],,0,1)</f>
        <v>#N/A</v>
      </c>
      <c r="D520" s="6">
        <f>'Unique Dates'!B517</f>
        <v>0</v>
      </c>
      <c r="E520" t="str">
        <f>TEXT(Table57[[#This Row],[Date]],"dddd")</f>
        <v>Saturday</v>
      </c>
      <c r="F520" s="25" t="str" cm="1">
        <f t="array" ref="F520">IFERROR(_xlfn.XLOOKUP(Table57[[#This Row],[Code]],Table1[[#All],[Code]],Table1[[#All],[Time]],,0,1),"")</f>
        <v/>
      </c>
      <c r="G520" s="25" t="str" cm="1">
        <f t="array" ref="G520">IFERROR(_xlfn.XLOOKUP(Table57[[#This Row],[Code]],Table1[[#All],[Code]],Table1[[#All],[Time]],,0,-1),"")</f>
        <v/>
      </c>
      <c r="H520" s="23" t="str">
        <f>IFERROR(IF(Table57[[#This Row],[Out]]&gt;=Table57[[#This Row],[In]],Table57[[#This Row],[Out]]-Table57[[#This Row],[In]],(0.5+Table57[[#This Row],[Out]])-Table57[[#This Row],[In]]),"")</f>
        <v/>
      </c>
      <c r="I520" s="31" t="str">
        <f>IFERROR(IF(Table57[[#This Row],[In]]&gt;$C$2,Table57[[#This Row],[In]]-$C$2,""),"")</f>
        <v/>
      </c>
      <c r="J520" s="31" t="str">
        <f>IF(Table57[[#This Row],[Work_Hours]]=0,"",(IF(Table57[[#This Row],[Out]]&lt;$C$3,$C$3-Table57[[#This Row],[Out]],"")))</f>
        <v/>
      </c>
      <c r="K520" s="32" t="str">
        <f>IFERROR(Table57[[#This Row],[In]]+$C$1,"")</f>
        <v/>
      </c>
      <c r="L520" s="29"/>
      <c r="M520" s="31" t="str">
        <f>IF($C$2&gt;Table57[[#This Row],[In]],$C$2-Table57[[#This Row],[In]],"")</f>
        <v/>
      </c>
      <c r="N520" s="29" t="str">
        <f>IFERROR(IF(Table57[[#This Row],[Out]]&gt;$C$3,(Table57[[#This Row],[Out]])-($C$3),""),"")</f>
        <v/>
      </c>
    </row>
    <row r="521" spans="1:14" hidden="1" x14ac:dyDescent="0.25">
      <c r="A521" s="23" t="str">
        <f>Table57[[#This Row],[No.]]&amp;Table57[[#This Row],[Date]]</f>
        <v>00</v>
      </c>
      <c r="B521" s="22">
        <f>'Unique Dates'!A518</f>
        <v>0</v>
      </c>
      <c r="C521" s="22" t="e" cm="1">
        <f t="array" ref="C521">_xlfn.XLOOKUP(Table57[[#This Row],[No.]],Table2[[#All],[CODE]],Table2[[#All],[NAME]],,0,1)</f>
        <v>#N/A</v>
      </c>
      <c r="D521" s="6">
        <f>'Unique Dates'!B518</f>
        <v>0</v>
      </c>
      <c r="E521" t="str">
        <f>TEXT(Table57[[#This Row],[Date]],"dddd")</f>
        <v>Saturday</v>
      </c>
      <c r="F521" s="25" t="str" cm="1">
        <f t="array" ref="F521">IFERROR(_xlfn.XLOOKUP(Table57[[#This Row],[Code]],Table1[[#All],[Code]],Table1[[#All],[Time]],,0,1),"")</f>
        <v/>
      </c>
      <c r="G521" s="25" t="str" cm="1">
        <f t="array" ref="G521">IFERROR(_xlfn.XLOOKUP(Table57[[#This Row],[Code]],Table1[[#All],[Code]],Table1[[#All],[Time]],,0,-1),"")</f>
        <v/>
      </c>
      <c r="H521" s="23" t="str">
        <f>IFERROR(IF(Table57[[#This Row],[Out]]&gt;=Table57[[#This Row],[In]],Table57[[#This Row],[Out]]-Table57[[#This Row],[In]],(0.5+Table57[[#This Row],[Out]])-Table57[[#This Row],[In]]),"")</f>
        <v/>
      </c>
      <c r="I521" s="31" t="str">
        <f>IFERROR(IF(Table57[[#This Row],[In]]&gt;$C$2,Table57[[#This Row],[In]]-$C$2,""),"")</f>
        <v/>
      </c>
      <c r="J521" s="31" t="str">
        <f>IF(Table57[[#This Row],[Work_Hours]]=0,"",(IF(Table57[[#This Row],[Out]]&lt;$C$3,$C$3-Table57[[#This Row],[Out]],"")))</f>
        <v/>
      </c>
      <c r="K521" s="32" t="str">
        <f>IFERROR(Table57[[#This Row],[In]]+$C$1,"")</f>
        <v/>
      </c>
      <c r="L521" s="29"/>
      <c r="M521" s="31" t="str">
        <f>IF($C$2&gt;Table57[[#This Row],[In]],$C$2-Table57[[#This Row],[In]],"")</f>
        <v/>
      </c>
      <c r="N521" s="29" t="str">
        <f>IFERROR(IF(Table57[[#This Row],[Out]]&gt;$C$3,(Table57[[#This Row],[Out]])-($C$3),""),"")</f>
        <v/>
      </c>
    </row>
    <row r="522" spans="1:14" hidden="1" x14ac:dyDescent="0.25">
      <c r="A522" s="23" t="str">
        <f>Table57[[#This Row],[No.]]&amp;Table57[[#This Row],[Date]]</f>
        <v>00</v>
      </c>
      <c r="B522" s="22">
        <f>'Unique Dates'!A519</f>
        <v>0</v>
      </c>
      <c r="C522" s="22" t="e" cm="1">
        <f t="array" ref="C522">_xlfn.XLOOKUP(Table57[[#This Row],[No.]],Table2[[#All],[CODE]],Table2[[#All],[NAME]],,0,1)</f>
        <v>#N/A</v>
      </c>
      <c r="D522" s="6">
        <f>'Unique Dates'!B519</f>
        <v>0</v>
      </c>
      <c r="E522" t="str">
        <f>TEXT(Table57[[#This Row],[Date]],"dddd")</f>
        <v>Saturday</v>
      </c>
      <c r="F522" s="25" t="str" cm="1">
        <f t="array" ref="F522">IFERROR(_xlfn.XLOOKUP(Table57[[#This Row],[Code]],Table1[[#All],[Code]],Table1[[#All],[Time]],,0,1),"")</f>
        <v/>
      </c>
      <c r="G522" s="25" t="str" cm="1">
        <f t="array" ref="G522">IFERROR(_xlfn.XLOOKUP(Table57[[#This Row],[Code]],Table1[[#All],[Code]],Table1[[#All],[Time]],,0,-1),"")</f>
        <v/>
      </c>
      <c r="H522" s="23" t="str">
        <f>IFERROR(IF(Table57[[#This Row],[Out]]&gt;=Table57[[#This Row],[In]],Table57[[#This Row],[Out]]-Table57[[#This Row],[In]],(0.5+Table57[[#This Row],[Out]])-Table57[[#This Row],[In]]),"")</f>
        <v/>
      </c>
      <c r="I522" s="31" t="str">
        <f>IFERROR(IF(Table57[[#This Row],[In]]&gt;$C$2,Table57[[#This Row],[In]]-$C$2,""),"")</f>
        <v/>
      </c>
      <c r="J522" s="31" t="str">
        <f>IF(Table57[[#This Row],[Work_Hours]]=0,"",(IF(Table57[[#This Row],[Out]]&lt;$C$3,$C$3-Table57[[#This Row],[Out]],"")))</f>
        <v/>
      </c>
      <c r="K522" s="32" t="str">
        <f>IFERROR(Table57[[#This Row],[In]]+$C$1,"")</f>
        <v/>
      </c>
      <c r="L522" s="29"/>
      <c r="M522" s="31" t="str">
        <f>IF($C$2&gt;Table57[[#This Row],[In]],$C$2-Table57[[#This Row],[In]],"")</f>
        <v/>
      </c>
      <c r="N522" s="29" t="str">
        <f>IFERROR(IF(Table57[[#This Row],[Out]]&gt;$C$3,(Table57[[#This Row],[Out]])-($C$3),""),"")</f>
        <v/>
      </c>
    </row>
    <row r="523" spans="1:14" hidden="1" x14ac:dyDescent="0.25">
      <c r="A523" s="23" t="str">
        <f>Table57[[#This Row],[No.]]&amp;Table57[[#This Row],[Date]]</f>
        <v>00</v>
      </c>
      <c r="B523" s="22">
        <f>'Unique Dates'!A520</f>
        <v>0</v>
      </c>
      <c r="C523" s="22" t="e" cm="1">
        <f t="array" ref="C523">_xlfn.XLOOKUP(Table57[[#This Row],[No.]],Table2[[#All],[CODE]],Table2[[#All],[NAME]],,0,1)</f>
        <v>#N/A</v>
      </c>
      <c r="D523" s="6">
        <f>'Unique Dates'!B520</f>
        <v>0</v>
      </c>
      <c r="E523" t="str">
        <f>TEXT(Table57[[#This Row],[Date]],"dddd")</f>
        <v>Saturday</v>
      </c>
      <c r="F523" s="25" t="str" cm="1">
        <f t="array" ref="F523">IFERROR(_xlfn.XLOOKUP(Table57[[#This Row],[Code]],Table1[[#All],[Code]],Table1[[#All],[Time]],,0,1),"")</f>
        <v/>
      </c>
      <c r="G523" s="25" t="str" cm="1">
        <f t="array" ref="G523">IFERROR(_xlfn.XLOOKUP(Table57[[#This Row],[Code]],Table1[[#All],[Code]],Table1[[#All],[Time]],,0,-1),"")</f>
        <v/>
      </c>
      <c r="H523" s="23" t="str">
        <f>IFERROR(IF(Table57[[#This Row],[Out]]&gt;=Table57[[#This Row],[In]],Table57[[#This Row],[Out]]-Table57[[#This Row],[In]],(0.5+Table57[[#This Row],[Out]])-Table57[[#This Row],[In]]),"")</f>
        <v/>
      </c>
      <c r="I523" s="31" t="str">
        <f>IFERROR(IF(Table57[[#This Row],[In]]&gt;$C$2,Table57[[#This Row],[In]]-$C$2,""),"")</f>
        <v/>
      </c>
      <c r="J523" s="31" t="str">
        <f>IF(Table57[[#This Row],[Work_Hours]]=0,"",(IF(Table57[[#This Row],[Out]]&lt;$C$3,$C$3-Table57[[#This Row],[Out]],"")))</f>
        <v/>
      </c>
      <c r="K523" s="32" t="str">
        <f>IFERROR(Table57[[#This Row],[In]]+$C$1,"")</f>
        <v/>
      </c>
      <c r="L523" s="29"/>
      <c r="M523" s="31" t="str">
        <f>IF($C$2&gt;Table57[[#This Row],[In]],$C$2-Table57[[#This Row],[In]],"")</f>
        <v/>
      </c>
      <c r="N523" s="29" t="str">
        <f>IFERROR(IF(Table57[[#This Row],[Out]]&gt;$C$3,(Table57[[#This Row],[Out]])-($C$3),""),"")</f>
        <v/>
      </c>
    </row>
    <row r="524" spans="1:14" hidden="1" x14ac:dyDescent="0.25">
      <c r="A524" s="23" t="str">
        <f>Table57[[#This Row],[No.]]&amp;Table57[[#This Row],[Date]]</f>
        <v>00</v>
      </c>
      <c r="B524" s="22">
        <f>'Unique Dates'!A521</f>
        <v>0</v>
      </c>
      <c r="C524" s="22" t="e" cm="1">
        <f t="array" ref="C524">_xlfn.XLOOKUP(Table57[[#This Row],[No.]],Table2[[#All],[CODE]],Table2[[#All],[NAME]],,0,1)</f>
        <v>#N/A</v>
      </c>
      <c r="D524" s="6">
        <f>'Unique Dates'!B521</f>
        <v>0</v>
      </c>
      <c r="E524" t="str">
        <f>TEXT(Table57[[#This Row],[Date]],"dddd")</f>
        <v>Saturday</v>
      </c>
      <c r="F524" s="25" t="str" cm="1">
        <f t="array" ref="F524">IFERROR(_xlfn.XLOOKUP(Table57[[#This Row],[Code]],Table1[[#All],[Code]],Table1[[#All],[Time]],,0,1),"")</f>
        <v/>
      </c>
      <c r="G524" s="25" t="str" cm="1">
        <f t="array" ref="G524">IFERROR(_xlfn.XLOOKUP(Table57[[#This Row],[Code]],Table1[[#All],[Code]],Table1[[#All],[Time]],,0,-1),"")</f>
        <v/>
      </c>
      <c r="H524" s="23" t="str">
        <f>IFERROR(IF(Table57[[#This Row],[Out]]&gt;=Table57[[#This Row],[In]],Table57[[#This Row],[Out]]-Table57[[#This Row],[In]],(0.5+Table57[[#This Row],[Out]])-Table57[[#This Row],[In]]),"")</f>
        <v/>
      </c>
      <c r="I524" s="31" t="str">
        <f>IFERROR(IF(Table57[[#This Row],[In]]&gt;$C$2,Table57[[#This Row],[In]]-$C$2,""),"")</f>
        <v/>
      </c>
      <c r="J524" s="31" t="str">
        <f>IF(Table57[[#This Row],[Work_Hours]]=0,"",(IF(Table57[[#This Row],[Out]]&lt;$C$3,$C$3-Table57[[#This Row],[Out]],"")))</f>
        <v/>
      </c>
      <c r="K524" s="32" t="str">
        <f>IFERROR(Table57[[#This Row],[In]]+$C$1,"")</f>
        <v/>
      </c>
      <c r="L524" s="29"/>
      <c r="M524" s="31" t="str">
        <f>IF($C$2&gt;Table57[[#This Row],[In]],$C$2-Table57[[#This Row],[In]],"")</f>
        <v/>
      </c>
      <c r="N524" s="29" t="str">
        <f>IFERROR(IF(Table57[[#This Row],[Out]]&gt;$C$3,(Table57[[#This Row],[Out]])-($C$3),""),"")</f>
        <v/>
      </c>
    </row>
    <row r="525" spans="1:14" hidden="1" x14ac:dyDescent="0.25">
      <c r="A525" s="23" t="str">
        <f>Table57[[#This Row],[No.]]&amp;Table57[[#This Row],[Date]]</f>
        <v>00</v>
      </c>
      <c r="B525" s="22">
        <f>'Unique Dates'!A522</f>
        <v>0</v>
      </c>
      <c r="C525" s="22" t="e" cm="1">
        <f t="array" ref="C525">_xlfn.XLOOKUP(Table57[[#This Row],[No.]],Table2[[#All],[CODE]],Table2[[#All],[NAME]],,0,1)</f>
        <v>#N/A</v>
      </c>
      <c r="D525" s="6">
        <f>'Unique Dates'!B522</f>
        <v>0</v>
      </c>
      <c r="E525" t="str">
        <f>TEXT(Table57[[#This Row],[Date]],"dddd")</f>
        <v>Saturday</v>
      </c>
      <c r="F525" s="25" t="str" cm="1">
        <f t="array" ref="F525">IFERROR(_xlfn.XLOOKUP(Table57[[#This Row],[Code]],Table1[[#All],[Code]],Table1[[#All],[Time]],,0,1),"")</f>
        <v/>
      </c>
      <c r="G525" s="25" t="str" cm="1">
        <f t="array" ref="G525">IFERROR(_xlfn.XLOOKUP(Table57[[#This Row],[Code]],Table1[[#All],[Code]],Table1[[#All],[Time]],,0,-1),"")</f>
        <v/>
      </c>
      <c r="H525" s="23" t="str">
        <f>IFERROR(IF(Table57[[#This Row],[Out]]&gt;=Table57[[#This Row],[In]],Table57[[#This Row],[Out]]-Table57[[#This Row],[In]],(0.5+Table57[[#This Row],[Out]])-Table57[[#This Row],[In]]),"")</f>
        <v/>
      </c>
      <c r="I525" s="31" t="str">
        <f>IFERROR(IF(Table57[[#This Row],[In]]&gt;$C$2,Table57[[#This Row],[In]]-$C$2,""),"")</f>
        <v/>
      </c>
      <c r="J525" s="31" t="str">
        <f>IF(Table57[[#This Row],[Work_Hours]]=0,"",(IF(Table57[[#This Row],[Out]]&lt;$C$3,$C$3-Table57[[#This Row],[Out]],"")))</f>
        <v/>
      </c>
      <c r="K525" s="32" t="str">
        <f>IFERROR(Table57[[#This Row],[In]]+$C$1,"")</f>
        <v/>
      </c>
      <c r="L525" s="29"/>
      <c r="M525" s="31" t="str">
        <f>IF($C$2&gt;Table57[[#This Row],[In]],$C$2-Table57[[#This Row],[In]],"")</f>
        <v/>
      </c>
      <c r="N525" s="29" t="str">
        <f>IFERROR(IF(Table57[[#This Row],[Out]]&gt;$C$3,(Table57[[#This Row],[Out]])-($C$3),""),"")</f>
        <v/>
      </c>
    </row>
    <row r="526" spans="1:14" hidden="1" x14ac:dyDescent="0.25">
      <c r="A526" s="23" t="str">
        <f>Table57[[#This Row],[No.]]&amp;Table57[[#This Row],[Date]]</f>
        <v>00</v>
      </c>
      <c r="B526" s="22">
        <f>'Unique Dates'!A523</f>
        <v>0</v>
      </c>
      <c r="C526" s="22" t="e" cm="1">
        <f t="array" ref="C526">_xlfn.XLOOKUP(Table57[[#This Row],[No.]],Table2[[#All],[CODE]],Table2[[#All],[NAME]],,0,1)</f>
        <v>#N/A</v>
      </c>
      <c r="D526" s="6">
        <f>'Unique Dates'!B523</f>
        <v>0</v>
      </c>
      <c r="E526" t="str">
        <f>TEXT(Table57[[#This Row],[Date]],"dddd")</f>
        <v>Saturday</v>
      </c>
      <c r="F526" s="25" t="str" cm="1">
        <f t="array" ref="F526">IFERROR(_xlfn.XLOOKUP(Table57[[#This Row],[Code]],Table1[[#All],[Code]],Table1[[#All],[Time]],,0,1),"")</f>
        <v/>
      </c>
      <c r="G526" s="25" t="str" cm="1">
        <f t="array" ref="G526">IFERROR(_xlfn.XLOOKUP(Table57[[#This Row],[Code]],Table1[[#All],[Code]],Table1[[#All],[Time]],,0,-1),"")</f>
        <v/>
      </c>
      <c r="H526" s="23" t="str">
        <f>IFERROR(IF(Table57[[#This Row],[Out]]&gt;=Table57[[#This Row],[In]],Table57[[#This Row],[Out]]-Table57[[#This Row],[In]],(0.5+Table57[[#This Row],[Out]])-Table57[[#This Row],[In]]),"")</f>
        <v/>
      </c>
      <c r="I526" s="31" t="str">
        <f>IFERROR(IF(Table57[[#This Row],[In]]&gt;$C$2,Table57[[#This Row],[In]]-$C$2,""),"")</f>
        <v/>
      </c>
      <c r="J526" s="31" t="str">
        <f>IF(Table57[[#This Row],[Work_Hours]]=0,"",(IF(Table57[[#This Row],[Out]]&lt;$C$3,$C$3-Table57[[#This Row],[Out]],"")))</f>
        <v/>
      </c>
      <c r="K526" s="32" t="str">
        <f>IFERROR(Table57[[#This Row],[In]]+$C$1,"")</f>
        <v/>
      </c>
      <c r="L526" s="29"/>
      <c r="M526" s="31" t="str">
        <f>IF($C$2&gt;Table57[[#This Row],[In]],$C$2-Table57[[#This Row],[In]],"")</f>
        <v/>
      </c>
      <c r="N526" s="29" t="str">
        <f>IFERROR(IF(Table57[[#This Row],[Out]]&gt;$C$3,(Table57[[#This Row],[Out]])-($C$3),""),"")</f>
        <v/>
      </c>
    </row>
    <row r="527" spans="1:14" hidden="1" x14ac:dyDescent="0.25">
      <c r="A527" s="23" t="str">
        <f>Table57[[#This Row],[No.]]&amp;Table57[[#This Row],[Date]]</f>
        <v>00</v>
      </c>
      <c r="B527" s="22">
        <f>'Unique Dates'!A524</f>
        <v>0</v>
      </c>
      <c r="C527" s="22" t="e" cm="1">
        <f t="array" ref="C527">_xlfn.XLOOKUP(Table57[[#This Row],[No.]],Table2[[#All],[CODE]],Table2[[#All],[NAME]],,0,1)</f>
        <v>#N/A</v>
      </c>
      <c r="D527" s="6">
        <f>'Unique Dates'!B524</f>
        <v>0</v>
      </c>
      <c r="E527" t="str">
        <f>TEXT(Table57[[#This Row],[Date]],"dddd")</f>
        <v>Saturday</v>
      </c>
      <c r="F527" s="25" t="str" cm="1">
        <f t="array" ref="F527">IFERROR(_xlfn.XLOOKUP(Table57[[#This Row],[Code]],Table1[[#All],[Code]],Table1[[#All],[Time]],,0,1),"")</f>
        <v/>
      </c>
      <c r="G527" s="25" t="str" cm="1">
        <f t="array" ref="G527">IFERROR(_xlfn.XLOOKUP(Table57[[#This Row],[Code]],Table1[[#All],[Code]],Table1[[#All],[Time]],,0,-1),"")</f>
        <v/>
      </c>
      <c r="H527" s="23" t="str">
        <f>IFERROR(IF(Table57[[#This Row],[Out]]&gt;=Table57[[#This Row],[In]],Table57[[#This Row],[Out]]-Table57[[#This Row],[In]],(0.5+Table57[[#This Row],[Out]])-Table57[[#This Row],[In]]),"")</f>
        <v/>
      </c>
      <c r="I527" s="31" t="str">
        <f>IFERROR(IF(Table57[[#This Row],[In]]&gt;$C$2,Table57[[#This Row],[In]]-$C$2,""),"")</f>
        <v/>
      </c>
      <c r="J527" s="31" t="str">
        <f>IF(Table57[[#This Row],[Work_Hours]]=0,"",(IF(Table57[[#This Row],[Out]]&lt;$C$3,$C$3-Table57[[#This Row],[Out]],"")))</f>
        <v/>
      </c>
      <c r="K527" s="32" t="str">
        <f>IFERROR(Table57[[#This Row],[In]]+$C$1,"")</f>
        <v/>
      </c>
      <c r="L527" s="29"/>
      <c r="M527" s="31" t="str">
        <f>IF($C$2&gt;Table57[[#This Row],[In]],$C$2-Table57[[#This Row],[In]],"")</f>
        <v/>
      </c>
      <c r="N527" s="29" t="str">
        <f>IFERROR(IF(Table57[[#This Row],[Out]]&gt;$C$3,(Table57[[#This Row],[Out]])-($C$3),""),"")</f>
        <v/>
      </c>
    </row>
    <row r="528" spans="1:14" hidden="1" x14ac:dyDescent="0.25">
      <c r="A528" s="23" t="str">
        <f>Table57[[#This Row],[No.]]&amp;Table57[[#This Row],[Date]]</f>
        <v>00</v>
      </c>
      <c r="B528" s="22">
        <f>'Unique Dates'!A525</f>
        <v>0</v>
      </c>
      <c r="C528" s="22" t="e" cm="1">
        <f t="array" ref="C528">_xlfn.XLOOKUP(Table57[[#This Row],[No.]],Table2[[#All],[CODE]],Table2[[#All],[NAME]],,0,1)</f>
        <v>#N/A</v>
      </c>
      <c r="D528" s="6">
        <f>'Unique Dates'!B525</f>
        <v>0</v>
      </c>
      <c r="E528" t="str">
        <f>TEXT(Table57[[#This Row],[Date]],"dddd")</f>
        <v>Saturday</v>
      </c>
      <c r="F528" s="25" t="str" cm="1">
        <f t="array" ref="F528">IFERROR(_xlfn.XLOOKUP(Table57[[#This Row],[Code]],Table1[[#All],[Code]],Table1[[#All],[Time]],,0,1),"")</f>
        <v/>
      </c>
      <c r="G528" s="25" t="str" cm="1">
        <f t="array" ref="G528">IFERROR(_xlfn.XLOOKUP(Table57[[#This Row],[Code]],Table1[[#All],[Code]],Table1[[#All],[Time]],,0,-1),"")</f>
        <v/>
      </c>
      <c r="H528" s="23" t="str">
        <f>IFERROR(IF(Table57[[#This Row],[Out]]&gt;=Table57[[#This Row],[In]],Table57[[#This Row],[Out]]-Table57[[#This Row],[In]],(0.5+Table57[[#This Row],[Out]])-Table57[[#This Row],[In]]),"")</f>
        <v/>
      </c>
      <c r="I528" s="31" t="str">
        <f>IFERROR(IF(Table57[[#This Row],[In]]&gt;$C$2,Table57[[#This Row],[In]]-$C$2,""),"")</f>
        <v/>
      </c>
      <c r="J528" s="31" t="str">
        <f>IF(Table57[[#This Row],[Work_Hours]]=0,"",(IF(Table57[[#This Row],[Out]]&lt;$C$3,$C$3-Table57[[#This Row],[Out]],"")))</f>
        <v/>
      </c>
      <c r="K528" s="32" t="str">
        <f>IFERROR(Table57[[#This Row],[In]]+$C$1,"")</f>
        <v/>
      </c>
      <c r="L528" s="29"/>
      <c r="M528" s="31" t="str">
        <f>IF($C$2&gt;Table57[[#This Row],[In]],$C$2-Table57[[#This Row],[In]],"")</f>
        <v/>
      </c>
      <c r="N528" s="29" t="str">
        <f>IFERROR(IF(Table57[[#This Row],[Out]]&gt;$C$3,(Table57[[#This Row],[Out]])-($C$3),""),"")</f>
        <v/>
      </c>
    </row>
    <row r="529" spans="1:14" hidden="1" x14ac:dyDescent="0.25">
      <c r="A529" s="23" t="str">
        <f>Table57[[#This Row],[No.]]&amp;Table57[[#This Row],[Date]]</f>
        <v>00</v>
      </c>
      <c r="B529" s="22">
        <f>'Unique Dates'!A526</f>
        <v>0</v>
      </c>
      <c r="C529" s="22" t="e" cm="1">
        <f t="array" ref="C529">_xlfn.XLOOKUP(Table57[[#This Row],[No.]],Table2[[#All],[CODE]],Table2[[#All],[NAME]],,0,1)</f>
        <v>#N/A</v>
      </c>
      <c r="D529" s="6">
        <f>'Unique Dates'!B526</f>
        <v>0</v>
      </c>
      <c r="E529" t="str">
        <f>TEXT(Table57[[#This Row],[Date]],"dddd")</f>
        <v>Saturday</v>
      </c>
      <c r="F529" s="25" t="str" cm="1">
        <f t="array" ref="F529">IFERROR(_xlfn.XLOOKUP(Table57[[#This Row],[Code]],Table1[[#All],[Code]],Table1[[#All],[Time]],,0,1),"")</f>
        <v/>
      </c>
      <c r="G529" s="25" t="str" cm="1">
        <f t="array" ref="G529">IFERROR(_xlfn.XLOOKUP(Table57[[#This Row],[Code]],Table1[[#All],[Code]],Table1[[#All],[Time]],,0,-1),"")</f>
        <v/>
      </c>
      <c r="H529" s="23" t="str">
        <f>IFERROR(IF(Table57[[#This Row],[Out]]&gt;=Table57[[#This Row],[In]],Table57[[#This Row],[Out]]-Table57[[#This Row],[In]],(0.5+Table57[[#This Row],[Out]])-Table57[[#This Row],[In]]),"")</f>
        <v/>
      </c>
      <c r="I529" s="31" t="str">
        <f>IFERROR(IF(Table57[[#This Row],[In]]&gt;$C$2,Table57[[#This Row],[In]]-$C$2,""),"")</f>
        <v/>
      </c>
      <c r="J529" s="31" t="str">
        <f>IF(Table57[[#This Row],[Work_Hours]]=0,"",(IF(Table57[[#This Row],[Out]]&lt;$C$3,$C$3-Table57[[#This Row],[Out]],"")))</f>
        <v/>
      </c>
      <c r="K529" s="32" t="str">
        <f>IFERROR(Table57[[#This Row],[In]]+$C$1,"")</f>
        <v/>
      </c>
      <c r="L529" s="29"/>
      <c r="M529" s="31" t="str">
        <f>IF($C$2&gt;Table57[[#This Row],[In]],$C$2-Table57[[#This Row],[In]],"")</f>
        <v/>
      </c>
      <c r="N529" s="29" t="str">
        <f>IFERROR(IF(Table57[[#This Row],[Out]]&gt;$C$3,(Table57[[#This Row],[Out]])-($C$3),""),"")</f>
        <v/>
      </c>
    </row>
    <row r="530" spans="1:14" hidden="1" x14ac:dyDescent="0.25">
      <c r="A530" s="23" t="str">
        <f>Table57[[#This Row],[No.]]&amp;Table57[[#This Row],[Date]]</f>
        <v>00</v>
      </c>
      <c r="B530" s="22">
        <f>'Unique Dates'!A527</f>
        <v>0</v>
      </c>
      <c r="C530" s="22" t="e" cm="1">
        <f t="array" ref="C530">_xlfn.XLOOKUP(Table57[[#This Row],[No.]],Table2[[#All],[CODE]],Table2[[#All],[NAME]],,0,1)</f>
        <v>#N/A</v>
      </c>
      <c r="D530" s="6">
        <f>'Unique Dates'!B527</f>
        <v>0</v>
      </c>
      <c r="E530" t="str">
        <f>TEXT(Table57[[#This Row],[Date]],"dddd")</f>
        <v>Saturday</v>
      </c>
      <c r="F530" s="25" t="str" cm="1">
        <f t="array" ref="F530">IFERROR(_xlfn.XLOOKUP(Table57[[#This Row],[Code]],Table1[[#All],[Code]],Table1[[#All],[Time]],,0,1),"")</f>
        <v/>
      </c>
      <c r="G530" s="25" t="str" cm="1">
        <f t="array" ref="G530">IFERROR(_xlfn.XLOOKUP(Table57[[#This Row],[Code]],Table1[[#All],[Code]],Table1[[#All],[Time]],,0,-1),"")</f>
        <v/>
      </c>
      <c r="H530" s="23" t="str">
        <f>IFERROR(IF(Table57[[#This Row],[Out]]&gt;=Table57[[#This Row],[In]],Table57[[#This Row],[Out]]-Table57[[#This Row],[In]],(0.5+Table57[[#This Row],[Out]])-Table57[[#This Row],[In]]),"")</f>
        <v/>
      </c>
      <c r="I530" s="31" t="str">
        <f>IFERROR(IF(Table57[[#This Row],[In]]&gt;$C$2,Table57[[#This Row],[In]]-$C$2,""),"")</f>
        <v/>
      </c>
      <c r="J530" s="31" t="str">
        <f>IF(Table57[[#This Row],[Work_Hours]]=0,"",(IF(Table57[[#This Row],[Out]]&lt;$C$3,$C$3-Table57[[#This Row],[Out]],"")))</f>
        <v/>
      </c>
      <c r="K530" s="32" t="str">
        <f>IFERROR(Table57[[#This Row],[In]]+$C$1,"")</f>
        <v/>
      </c>
      <c r="L530" s="29"/>
      <c r="M530" s="31" t="str">
        <f>IF($C$2&gt;Table57[[#This Row],[In]],$C$2-Table57[[#This Row],[In]],"")</f>
        <v/>
      </c>
      <c r="N530" s="29" t="str">
        <f>IFERROR(IF(Table57[[#This Row],[Out]]&gt;$C$3,(Table57[[#This Row],[Out]])-($C$3),""),"")</f>
        <v/>
      </c>
    </row>
    <row r="531" spans="1:14" hidden="1" x14ac:dyDescent="0.25">
      <c r="A531" s="23" t="str">
        <f>Table57[[#This Row],[No.]]&amp;Table57[[#This Row],[Date]]</f>
        <v>00</v>
      </c>
      <c r="B531" s="22">
        <f>'Unique Dates'!A528</f>
        <v>0</v>
      </c>
      <c r="C531" s="22" t="e" cm="1">
        <f t="array" ref="C531">_xlfn.XLOOKUP(Table57[[#This Row],[No.]],Table2[[#All],[CODE]],Table2[[#All],[NAME]],,0,1)</f>
        <v>#N/A</v>
      </c>
      <c r="D531" s="6">
        <f>'Unique Dates'!B528</f>
        <v>0</v>
      </c>
      <c r="E531" t="str">
        <f>TEXT(Table57[[#This Row],[Date]],"dddd")</f>
        <v>Saturday</v>
      </c>
      <c r="F531" s="25" t="str" cm="1">
        <f t="array" ref="F531">IFERROR(_xlfn.XLOOKUP(Table57[[#This Row],[Code]],Table1[[#All],[Code]],Table1[[#All],[Time]],,0,1),"")</f>
        <v/>
      </c>
      <c r="G531" s="25" t="str" cm="1">
        <f t="array" ref="G531">IFERROR(_xlfn.XLOOKUP(Table57[[#This Row],[Code]],Table1[[#All],[Code]],Table1[[#All],[Time]],,0,-1),"")</f>
        <v/>
      </c>
      <c r="H531" s="23" t="str">
        <f>IFERROR(IF(Table57[[#This Row],[Out]]&gt;=Table57[[#This Row],[In]],Table57[[#This Row],[Out]]-Table57[[#This Row],[In]],(0.5+Table57[[#This Row],[Out]])-Table57[[#This Row],[In]]),"")</f>
        <v/>
      </c>
      <c r="I531" s="31" t="str">
        <f>IFERROR(IF(Table57[[#This Row],[In]]&gt;$C$2,Table57[[#This Row],[In]]-$C$2,""),"")</f>
        <v/>
      </c>
      <c r="J531" s="31" t="str">
        <f>IF(Table57[[#This Row],[Work_Hours]]=0,"",(IF(Table57[[#This Row],[Out]]&lt;$C$3,$C$3-Table57[[#This Row],[Out]],"")))</f>
        <v/>
      </c>
      <c r="K531" s="32" t="str">
        <f>IFERROR(Table57[[#This Row],[In]]+$C$1,"")</f>
        <v/>
      </c>
      <c r="L531" s="29"/>
      <c r="M531" s="31" t="str">
        <f>IF($C$2&gt;Table57[[#This Row],[In]],$C$2-Table57[[#This Row],[In]],"")</f>
        <v/>
      </c>
      <c r="N531" s="29" t="str">
        <f>IFERROR(IF(Table57[[#This Row],[Out]]&gt;$C$3,(Table57[[#This Row],[Out]])-($C$3),""),"")</f>
        <v/>
      </c>
    </row>
    <row r="532" spans="1:14" hidden="1" x14ac:dyDescent="0.25">
      <c r="A532" s="23" t="str">
        <f>Table57[[#This Row],[No.]]&amp;Table57[[#This Row],[Date]]</f>
        <v>00</v>
      </c>
      <c r="B532" s="22">
        <f>'Unique Dates'!A529</f>
        <v>0</v>
      </c>
      <c r="C532" s="22" t="e" cm="1">
        <f t="array" ref="C532">_xlfn.XLOOKUP(Table57[[#This Row],[No.]],Table2[[#All],[CODE]],Table2[[#All],[NAME]],,0,1)</f>
        <v>#N/A</v>
      </c>
      <c r="D532" s="6">
        <f>'Unique Dates'!B529</f>
        <v>0</v>
      </c>
      <c r="E532" t="str">
        <f>TEXT(Table57[[#This Row],[Date]],"dddd")</f>
        <v>Saturday</v>
      </c>
      <c r="F532" s="25" t="str" cm="1">
        <f t="array" ref="F532">IFERROR(_xlfn.XLOOKUP(Table57[[#This Row],[Code]],Table1[[#All],[Code]],Table1[[#All],[Time]],,0,1),"")</f>
        <v/>
      </c>
      <c r="G532" s="25" t="str" cm="1">
        <f t="array" ref="G532">IFERROR(_xlfn.XLOOKUP(Table57[[#This Row],[Code]],Table1[[#All],[Code]],Table1[[#All],[Time]],,0,-1),"")</f>
        <v/>
      </c>
      <c r="H532" s="23" t="str">
        <f>IFERROR(IF(Table57[[#This Row],[Out]]&gt;=Table57[[#This Row],[In]],Table57[[#This Row],[Out]]-Table57[[#This Row],[In]],(0.5+Table57[[#This Row],[Out]])-Table57[[#This Row],[In]]),"")</f>
        <v/>
      </c>
      <c r="I532" s="31" t="str">
        <f>IFERROR(IF(Table57[[#This Row],[In]]&gt;$C$2,Table57[[#This Row],[In]]-$C$2,""),"")</f>
        <v/>
      </c>
      <c r="J532" s="31" t="str">
        <f>IF(Table57[[#This Row],[Work_Hours]]=0,"",(IF(Table57[[#This Row],[Out]]&lt;$C$3,$C$3-Table57[[#This Row],[Out]],"")))</f>
        <v/>
      </c>
      <c r="K532" s="32" t="str">
        <f>IFERROR(Table57[[#This Row],[In]]+$C$1,"")</f>
        <v/>
      </c>
      <c r="L532" s="29"/>
      <c r="M532" s="31" t="str">
        <f>IF($C$2&gt;Table57[[#This Row],[In]],$C$2-Table57[[#This Row],[In]],"")</f>
        <v/>
      </c>
      <c r="N532" s="29" t="str">
        <f>IFERROR(IF(Table57[[#This Row],[Out]]&gt;$C$3,(Table57[[#This Row],[Out]])-($C$3),""),"")</f>
        <v/>
      </c>
    </row>
    <row r="533" spans="1:14" hidden="1" x14ac:dyDescent="0.25">
      <c r="A533" s="23" t="str">
        <f>Table57[[#This Row],[No.]]&amp;Table57[[#This Row],[Date]]</f>
        <v>00</v>
      </c>
      <c r="B533" s="22">
        <f>'Unique Dates'!A530</f>
        <v>0</v>
      </c>
      <c r="C533" s="22" t="e" cm="1">
        <f t="array" ref="C533">_xlfn.XLOOKUP(Table57[[#This Row],[No.]],Table2[[#All],[CODE]],Table2[[#All],[NAME]],,0,1)</f>
        <v>#N/A</v>
      </c>
      <c r="D533" s="6">
        <f>'Unique Dates'!B530</f>
        <v>0</v>
      </c>
      <c r="E533" t="str">
        <f>TEXT(Table57[[#This Row],[Date]],"dddd")</f>
        <v>Saturday</v>
      </c>
      <c r="F533" s="25" t="str" cm="1">
        <f t="array" ref="F533">IFERROR(_xlfn.XLOOKUP(Table57[[#This Row],[Code]],Table1[[#All],[Code]],Table1[[#All],[Time]],,0,1),"")</f>
        <v/>
      </c>
      <c r="G533" s="25" t="str" cm="1">
        <f t="array" ref="G533">IFERROR(_xlfn.XLOOKUP(Table57[[#This Row],[Code]],Table1[[#All],[Code]],Table1[[#All],[Time]],,0,-1),"")</f>
        <v/>
      </c>
      <c r="H533" s="23" t="str">
        <f>IFERROR(IF(Table57[[#This Row],[Out]]&gt;=Table57[[#This Row],[In]],Table57[[#This Row],[Out]]-Table57[[#This Row],[In]],(0.5+Table57[[#This Row],[Out]])-Table57[[#This Row],[In]]),"")</f>
        <v/>
      </c>
      <c r="I533" s="31" t="str">
        <f>IFERROR(IF(Table57[[#This Row],[In]]&gt;$C$2,Table57[[#This Row],[In]]-$C$2,""),"")</f>
        <v/>
      </c>
      <c r="J533" s="31" t="str">
        <f>IF(Table57[[#This Row],[Work_Hours]]=0,"",(IF(Table57[[#This Row],[Out]]&lt;$C$3,$C$3-Table57[[#This Row],[Out]],"")))</f>
        <v/>
      </c>
      <c r="K533" s="32" t="str">
        <f>IFERROR(Table57[[#This Row],[In]]+$C$1,"")</f>
        <v/>
      </c>
      <c r="L533" s="29"/>
      <c r="M533" s="31" t="str">
        <f>IF($C$2&gt;Table57[[#This Row],[In]],$C$2-Table57[[#This Row],[In]],"")</f>
        <v/>
      </c>
      <c r="N533" s="29" t="str">
        <f>IFERROR(IF(Table57[[#This Row],[Out]]&gt;$C$3,(Table57[[#This Row],[Out]])-($C$3),""),"")</f>
        <v/>
      </c>
    </row>
    <row r="534" spans="1:14" hidden="1" x14ac:dyDescent="0.25">
      <c r="A534" s="23" t="str">
        <f>Table57[[#This Row],[No.]]&amp;Table57[[#This Row],[Date]]</f>
        <v>00</v>
      </c>
      <c r="B534" s="22">
        <f>'Unique Dates'!A531</f>
        <v>0</v>
      </c>
      <c r="C534" s="22" t="e" cm="1">
        <f t="array" ref="C534">_xlfn.XLOOKUP(Table57[[#This Row],[No.]],Table2[[#All],[CODE]],Table2[[#All],[NAME]],,0,1)</f>
        <v>#N/A</v>
      </c>
      <c r="D534" s="6">
        <f>'Unique Dates'!B531</f>
        <v>0</v>
      </c>
      <c r="E534" t="str">
        <f>TEXT(Table57[[#This Row],[Date]],"dddd")</f>
        <v>Saturday</v>
      </c>
      <c r="F534" s="25" t="str" cm="1">
        <f t="array" ref="F534">IFERROR(_xlfn.XLOOKUP(Table57[[#This Row],[Code]],Table1[[#All],[Code]],Table1[[#All],[Time]],,0,1),"")</f>
        <v/>
      </c>
      <c r="G534" s="25" t="str" cm="1">
        <f t="array" ref="G534">IFERROR(_xlfn.XLOOKUP(Table57[[#This Row],[Code]],Table1[[#All],[Code]],Table1[[#All],[Time]],,0,-1),"")</f>
        <v/>
      </c>
      <c r="H534" s="23" t="str">
        <f>IFERROR(IF(Table57[[#This Row],[Out]]&gt;=Table57[[#This Row],[In]],Table57[[#This Row],[Out]]-Table57[[#This Row],[In]],(0.5+Table57[[#This Row],[Out]])-Table57[[#This Row],[In]]),"")</f>
        <v/>
      </c>
      <c r="I534" s="31" t="str">
        <f>IFERROR(IF(Table57[[#This Row],[In]]&gt;$C$2,Table57[[#This Row],[In]]-$C$2,""),"")</f>
        <v/>
      </c>
      <c r="J534" s="31" t="str">
        <f>IF(Table57[[#This Row],[Work_Hours]]=0,"",(IF(Table57[[#This Row],[Out]]&lt;$C$3,$C$3-Table57[[#This Row],[Out]],"")))</f>
        <v/>
      </c>
      <c r="K534" s="32" t="str">
        <f>IFERROR(Table57[[#This Row],[In]]+$C$1,"")</f>
        <v/>
      </c>
      <c r="L534" s="29"/>
      <c r="M534" s="31" t="str">
        <f>IF($C$2&gt;Table57[[#This Row],[In]],$C$2-Table57[[#This Row],[In]],"")</f>
        <v/>
      </c>
      <c r="N534" s="29" t="str">
        <f>IFERROR(IF(Table57[[#This Row],[Out]]&gt;$C$3,(Table57[[#This Row],[Out]])-($C$3),""),"")</f>
        <v/>
      </c>
    </row>
    <row r="535" spans="1:14" hidden="1" x14ac:dyDescent="0.25">
      <c r="A535" s="23" t="str">
        <f>Table57[[#This Row],[No.]]&amp;Table57[[#This Row],[Date]]</f>
        <v>00</v>
      </c>
      <c r="B535" s="22">
        <f>'Unique Dates'!A532</f>
        <v>0</v>
      </c>
      <c r="C535" s="22" t="e" cm="1">
        <f t="array" ref="C535">_xlfn.XLOOKUP(Table57[[#This Row],[No.]],Table2[[#All],[CODE]],Table2[[#All],[NAME]],,0,1)</f>
        <v>#N/A</v>
      </c>
      <c r="D535" s="6">
        <f>'Unique Dates'!B532</f>
        <v>0</v>
      </c>
      <c r="E535" t="str">
        <f>TEXT(Table57[[#This Row],[Date]],"dddd")</f>
        <v>Saturday</v>
      </c>
      <c r="F535" s="25" t="str" cm="1">
        <f t="array" ref="F535">IFERROR(_xlfn.XLOOKUP(Table57[[#This Row],[Code]],Table1[[#All],[Code]],Table1[[#All],[Time]],,0,1),"")</f>
        <v/>
      </c>
      <c r="G535" s="25" t="str" cm="1">
        <f t="array" ref="G535">IFERROR(_xlfn.XLOOKUP(Table57[[#This Row],[Code]],Table1[[#All],[Code]],Table1[[#All],[Time]],,0,-1),"")</f>
        <v/>
      </c>
      <c r="H535" s="23" t="str">
        <f>IFERROR(IF(Table57[[#This Row],[Out]]&gt;=Table57[[#This Row],[In]],Table57[[#This Row],[Out]]-Table57[[#This Row],[In]],(0.5+Table57[[#This Row],[Out]])-Table57[[#This Row],[In]]),"")</f>
        <v/>
      </c>
      <c r="I535" s="31" t="str">
        <f>IFERROR(IF(Table57[[#This Row],[In]]&gt;$C$2,Table57[[#This Row],[In]]-$C$2,""),"")</f>
        <v/>
      </c>
      <c r="J535" s="31" t="str">
        <f>IF(Table57[[#This Row],[Work_Hours]]=0,"",(IF(Table57[[#This Row],[Out]]&lt;$C$3,$C$3-Table57[[#This Row],[Out]],"")))</f>
        <v/>
      </c>
      <c r="K535" s="32" t="str">
        <f>IFERROR(Table57[[#This Row],[In]]+$C$1,"")</f>
        <v/>
      </c>
      <c r="L535" s="29"/>
      <c r="M535" s="31" t="str">
        <f>IF($C$2&gt;Table57[[#This Row],[In]],$C$2-Table57[[#This Row],[In]],"")</f>
        <v/>
      </c>
      <c r="N535" s="29" t="str">
        <f>IFERROR(IF(Table57[[#This Row],[Out]]&gt;$C$3,(Table57[[#This Row],[Out]])-($C$3),""),"")</f>
        <v/>
      </c>
    </row>
    <row r="536" spans="1:14" hidden="1" x14ac:dyDescent="0.25">
      <c r="A536" s="23" t="str">
        <f>Table57[[#This Row],[No.]]&amp;Table57[[#This Row],[Date]]</f>
        <v>00</v>
      </c>
      <c r="B536" s="22">
        <f>'Unique Dates'!A533</f>
        <v>0</v>
      </c>
      <c r="C536" s="22" t="e" cm="1">
        <f t="array" ref="C536">_xlfn.XLOOKUP(Table57[[#This Row],[No.]],Table2[[#All],[CODE]],Table2[[#All],[NAME]],,0,1)</f>
        <v>#N/A</v>
      </c>
      <c r="D536" s="6">
        <f>'Unique Dates'!B533</f>
        <v>0</v>
      </c>
      <c r="E536" t="str">
        <f>TEXT(Table57[[#This Row],[Date]],"dddd")</f>
        <v>Saturday</v>
      </c>
      <c r="F536" s="25" t="str" cm="1">
        <f t="array" ref="F536">IFERROR(_xlfn.XLOOKUP(Table57[[#This Row],[Code]],Table1[[#All],[Code]],Table1[[#All],[Time]],,0,1),"")</f>
        <v/>
      </c>
      <c r="G536" s="25" t="str" cm="1">
        <f t="array" ref="G536">IFERROR(_xlfn.XLOOKUP(Table57[[#This Row],[Code]],Table1[[#All],[Code]],Table1[[#All],[Time]],,0,-1),"")</f>
        <v/>
      </c>
      <c r="H536" s="23" t="str">
        <f>IFERROR(IF(Table57[[#This Row],[Out]]&gt;=Table57[[#This Row],[In]],Table57[[#This Row],[Out]]-Table57[[#This Row],[In]],(0.5+Table57[[#This Row],[Out]])-Table57[[#This Row],[In]]),"")</f>
        <v/>
      </c>
      <c r="I536" s="31" t="str">
        <f>IFERROR(IF(Table57[[#This Row],[In]]&gt;$C$2,Table57[[#This Row],[In]]-$C$2,""),"")</f>
        <v/>
      </c>
      <c r="J536" s="31" t="str">
        <f>IF(Table57[[#This Row],[Work_Hours]]=0,"",(IF(Table57[[#This Row],[Out]]&lt;$C$3,$C$3-Table57[[#This Row],[Out]],"")))</f>
        <v/>
      </c>
      <c r="K536" s="32" t="str">
        <f>IFERROR(Table57[[#This Row],[In]]+$C$1,"")</f>
        <v/>
      </c>
      <c r="L536" s="29"/>
      <c r="M536" s="31" t="str">
        <f>IF($C$2&gt;Table57[[#This Row],[In]],$C$2-Table57[[#This Row],[In]],"")</f>
        <v/>
      </c>
      <c r="N536" s="29" t="str">
        <f>IFERROR(IF(Table57[[#This Row],[Out]]&gt;$C$3,(Table57[[#This Row],[Out]])-($C$3),""),"")</f>
        <v/>
      </c>
    </row>
    <row r="537" spans="1:14" hidden="1" x14ac:dyDescent="0.25">
      <c r="A537" s="23" t="str">
        <f>Table57[[#This Row],[No.]]&amp;Table57[[#This Row],[Date]]</f>
        <v>00</v>
      </c>
      <c r="B537" s="22">
        <f>'Unique Dates'!A534</f>
        <v>0</v>
      </c>
      <c r="C537" s="22" t="e" cm="1">
        <f t="array" ref="C537">_xlfn.XLOOKUP(Table57[[#This Row],[No.]],Table2[[#All],[CODE]],Table2[[#All],[NAME]],,0,1)</f>
        <v>#N/A</v>
      </c>
      <c r="D537" s="6">
        <f>'Unique Dates'!B534</f>
        <v>0</v>
      </c>
      <c r="E537" t="str">
        <f>TEXT(Table57[[#This Row],[Date]],"dddd")</f>
        <v>Saturday</v>
      </c>
      <c r="F537" s="25" t="str" cm="1">
        <f t="array" ref="F537">IFERROR(_xlfn.XLOOKUP(Table57[[#This Row],[Code]],Table1[[#All],[Code]],Table1[[#All],[Time]],,0,1),"")</f>
        <v/>
      </c>
      <c r="G537" s="25" t="str" cm="1">
        <f t="array" ref="G537">IFERROR(_xlfn.XLOOKUP(Table57[[#This Row],[Code]],Table1[[#All],[Code]],Table1[[#All],[Time]],,0,-1),"")</f>
        <v/>
      </c>
      <c r="H537" s="23" t="str">
        <f>IFERROR(IF(Table57[[#This Row],[Out]]&gt;=Table57[[#This Row],[In]],Table57[[#This Row],[Out]]-Table57[[#This Row],[In]],(0.5+Table57[[#This Row],[Out]])-Table57[[#This Row],[In]]),"")</f>
        <v/>
      </c>
      <c r="I537" s="31" t="str">
        <f>IFERROR(IF(Table57[[#This Row],[In]]&gt;$C$2,Table57[[#This Row],[In]]-$C$2,""),"")</f>
        <v/>
      </c>
      <c r="J537" s="31" t="str">
        <f>IF(Table57[[#This Row],[Work_Hours]]=0,"",(IF(Table57[[#This Row],[Out]]&lt;$C$3,$C$3-Table57[[#This Row],[Out]],"")))</f>
        <v/>
      </c>
      <c r="K537" s="32" t="str">
        <f>IFERROR(Table57[[#This Row],[In]]+$C$1,"")</f>
        <v/>
      </c>
      <c r="L537" s="29"/>
      <c r="M537" s="31" t="str">
        <f>IF($C$2&gt;Table57[[#This Row],[In]],$C$2-Table57[[#This Row],[In]],"")</f>
        <v/>
      </c>
      <c r="N537" s="29" t="str">
        <f>IFERROR(IF(Table57[[#This Row],[Out]]&gt;$C$3,(Table57[[#This Row],[Out]])-($C$3),""),"")</f>
        <v/>
      </c>
    </row>
    <row r="538" spans="1:14" hidden="1" x14ac:dyDescent="0.25">
      <c r="A538" s="23" t="str">
        <f>Table57[[#This Row],[No.]]&amp;Table57[[#This Row],[Date]]</f>
        <v>00</v>
      </c>
      <c r="B538" s="22">
        <f>'Unique Dates'!A535</f>
        <v>0</v>
      </c>
      <c r="C538" s="22" t="e" cm="1">
        <f t="array" ref="C538">_xlfn.XLOOKUP(Table57[[#This Row],[No.]],Table2[[#All],[CODE]],Table2[[#All],[NAME]],,0,1)</f>
        <v>#N/A</v>
      </c>
      <c r="D538" s="6">
        <f>'Unique Dates'!B535</f>
        <v>0</v>
      </c>
      <c r="E538" t="str">
        <f>TEXT(Table57[[#This Row],[Date]],"dddd")</f>
        <v>Saturday</v>
      </c>
      <c r="F538" s="25" t="str" cm="1">
        <f t="array" ref="F538">IFERROR(_xlfn.XLOOKUP(Table57[[#This Row],[Code]],Table1[[#All],[Code]],Table1[[#All],[Time]],,0,1),"")</f>
        <v/>
      </c>
      <c r="G538" s="25" t="str" cm="1">
        <f t="array" ref="G538">IFERROR(_xlfn.XLOOKUP(Table57[[#This Row],[Code]],Table1[[#All],[Code]],Table1[[#All],[Time]],,0,-1),"")</f>
        <v/>
      </c>
      <c r="H538" s="23" t="str">
        <f>IFERROR(IF(Table57[[#This Row],[Out]]&gt;=Table57[[#This Row],[In]],Table57[[#This Row],[Out]]-Table57[[#This Row],[In]],(0.5+Table57[[#This Row],[Out]])-Table57[[#This Row],[In]]),"")</f>
        <v/>
      </c>
      <c r="I538" s="31" t="str">
        <f>IFERROR(IF(Table57[[#This Row],[In]]&gt;$C$2,Table57[[#This Row],[In]]-$C$2,""),"")</f>
        <v/>
      </c>
      <c r="J538" s="31" t="str">
        <f>IF(Table57[[#This Row],[Work_Hours]]=0,"",(IF(Table57[[#This Row],[Out]]&lt;$C$3,$C$3-Table57[[#This Row],[Out]],"")))</f>
        <v/>
      </c>
      <c r="K538" s="32" t="str">
        <f>IFERROR(Table57[[#This Row],[In]]+$C$1,"")</f>
        <v/>
      </c>
      <c r="L538" s="29"/>
      <c r="M538" s="31" t="str">
        <f>IF($C$2&gt;Table57[[#This Row],[In]],$C$2-Table57[[#This Row],[In]],"")</f>
        <v/>
      </c>
      <c r="N538" s="29" t="str">
        <f>IFERROR(IF(Table57[[#This Row],[Out]]&gt;$C$3,(Table57[[#This Row],[Out]])-($C$3),""),"")</f>
        <v/>
      </c>
    </row>
    <row r="539" spans="1:14" hidden="1" x14ac:dyDescent="0.25">
      <c r="A539" s="23" t="str">
        <f>Table57[[#This Row],[No.]]&amp;Table57[[#This Row],[Date]]</f>
        <v>00</v>
      </c>
      <c r="B539" s="22">
        <f>'Unique Dates'!A536</f>
        <v>0</v>
      </c>
      <c r="C539" s="22" t="e" cm="1">
        <f t="array" ref="C539">_xlfn.XLOOKUP(Table57[[#This Row],[No.]],Table2[[#All],[CODE]],Table2[[#All],[NAME]],,0,1)</f>
        <v>#N/A</v>
      </c>
      <c r="D539" s="6">
        <f>'Unique Dates'!B536</f>
        <v>0</v>
      </c>
      <c r="E539" t="str">
        <f>TEXT(Table57[[#This Row],[Date]],"dddd")</f>
        <v>Saturday</v>
      </c>
      <c r="F539" s="25" t="str" cm="1">
        <f t="array" ref="F539">IFERROR(_xlfn.XLOOKUP(Table57[[#This Row],[Code]],Table1[[#All],[Code]],Table1[[#All],[Time]],,0,1),"")</f>
        <v/>
      </c>
      <c r="G539" s="25" t="str" cm="1">
        <f t="array" ref="G539">IFERROR(_xlfn.XLOOKUP(Table57[[#This Row],[Code]],Table1[[#All],[Code]],Table1[[#All],[Time]],,0,-1),"")</f>
        <v/>
      </c>
      <c r="H539" s="23" t="str">
        <f>IFERROR(IF(Table57[[#This Row],[Out]]&gt;=Table57[[#This Row],[In]],Table57[[#This Row],[Out]]-Table57[[#This Row],[In]],(0.5+Table57[[#This Row],[Out]])-Table57[[#This Row],[In]]),"")</f>
        <v/>
      </c>
      <c r="I539" s="31" t="str">
        <f>IFERROR(IF(Table57[[#This Row],[In]]&gt;$C$2,Table57[[#This Row],[In]]-$C$2,""),"")</f>
        <v/>
      </c>
      <c r="J539" s="31" t="str">
        <f>IF(Table57[[#This Row],[Work_Hours]]=0,"",(IF(Table57[[#This Row],[Out]]&lt;$C$3,$C$3-Table57[[#This Row],[Out]],"")))</f>
        <v/>
      </c>
      <c r="K539" s="32" t="str">
        <f>IFERROR(Table57[[#This Row],[In]]+$C$1,"")</f>
        <v/>
      </c>
      <c r="L539" s="29"/>
      <c r="M539" s="31" t="str">
        <f>IF($C$2&gt;Table57[[#This Row],[In]],$C$2-Table57[[#This Row],[In]],"")</f>
        <v/>
      </c>
      <c r="N539" s="29" t="str">
        <f>IFERROR(IF(Table57[[#This Row],[Out]]&gt;$C$3,(Table57[[#This Row],[Out]])-($C$3),""),"")</f>
        <v/>
      </c>
    </row>
    <row r="540" spans="1:14" hidden="1" x14ac:dyDescent="0.25">
      <c r="A540" s="23" t="str">
        <f>Table57[[#This Row],[No.]]&amp;Table57[[#This Row],[Date]]</f>
        <v>00</v>
      </c>
      <c r="B540" s="22">
        <f>'Unique Dates'!A537</f>
        <v>0</v>
      </c>
      <c r="C540" s="22" t="e" cm="1">
        <f t="array" ref="C540">_xlfn.XLOOKUP(Table57[[#This Row],[No.]],Table2[[#All],[CODE]],Table2[[#All],[NAME]],,0,1)</f>
        <v>#N/A</v>
      </c>
      <c r="D540" s="6">
        <f>'Unique Dates'!B537</f>
        <v>0</v>
      </c>
      <c r="E540" t="str">
        <f>TEXT(Table57[[#This Row],[Date]],"dddd")</f>
        <v>Saturday</v>
      </c>
      <c r="F540" s="25" t="str" cm="1">
        <f t="array" ref="F540">IFERROR(_xlfn.XLOOKUP(Table57[[#This Row],[Code]],Table1[[#All],[Code]],Table1[[#All],[Time]],,0,1),"")</f>
        <v/>
      </c>
      <c r="G540" s="25" t="str" cm="1">
        <f t="array" ref="G540">IFERROR(_xlfn.XLOOKUP(Table57[[#This Row],[Code]],Table1[[#All],[Code]],Table1[[#All],[Time]],,0,-1),"")</f>
        <v/>
      </c>
      <c r="H540" s="23" t="str">
        <f>IFERROR(IF(Table57[[#This Row],[Out]]&gt;=Table57[[#This Row],[In]],Table57[[#This Row],[Out]]-Table57[[#This Row],[In]],(0.5+Table57[[#This Row],[Out]])-Table57[[#This Row],[In]]),"")</f>
        <v/>
      </c>
      <c r="I540" s="31" t="str">
        <f>IFERROR(IF(Table57[[#This Row],[In]]&gt;$C$2,Table57[[#This Row],[In]]-$C$2,""),"")</f>
        <v/>
      </c>
      <c r="J540" s="31" t="str">
        <f>IF(Table57[[#This Row],[Work_Hours]]=0,"",(IF(Table57[[#This Row],[Out]]&lt;$C$3,$C$3-Table57[[#This Row],[Out]],"")))</f>
        <v/>
      </c>
      <c r="K540" s="32" t="str">
        <f>IFERROR(Table57[[#This Row],[In]]+$C$1,"")</f>
        <v/>
      </c>
      <c r="L540" s="29"/>
      <c r="M540" s="31" t="str">
        <f>IF($C$2&gt;Table57[[#This Row],[In]],$C$2-Table57[[#This Row],[In]],"")</f>
        <v/>
      </c>
      <c r="N540" s="29" t="str">
        <f>IFERROR(IF(Table57[[#This Row],[Out]]&gt;$C$3,(Table57[[#This Row],[Out]])-($C$3),""),"")</f>
        <v/>
      </c>
    </row>
    <row r="541" spans="1:14" hidden="1" x14ac:dyDescent="0.25">
      <c r="A541" s="23" t="str">
        <f>Table57[[#This Row],[No.]]&amp;Table57[[#This Row],[Date]]</f>
        <v>00</v>
      </c>
      <c r="B541" s="22">
        <f>'Unique Dates'!A538</f>
        <v>0</v>
      </c>
      <c r="C541" s="22" t="e" cm="1">
        <f t="array" ref="C541">_xlfn.XLOOKUP(Table57[[#This Row],[No.]],Table2[[#All],[CODE]],Table2[[#All],[NAME]],,0,1)</f>
        <v>#N/A</v>
      </c>
      <c r="D541" s="6">
        <f>'Unique Dates'!B538</f>
        <v>0</v>
      </c>
      <c r="E541" t="str">
        <f>TEXT(Table57[[#This Row],[Date]],"dddd")</f>
        <v>Saturday</v>
      </c>
      <c r="F541" s="25" t="str" cm="1">
        <f t="array" ref="F541">IFERROR(_xlfn.XLOOKUP(Table57[[#This Row],[Code]],Table1[[#All],[Code]],Table1[[#All],[Time]],,0,1),"")</f>
        <v/>
      </c>
      <c r="G541" s="25" t="str" cm="1">
        <f t="array" ref="G541">IFERROR(_xlfn.XLOOKUP(Table57[[#This Row],[Code]],Table1[[#All],[Code]],Table1[[#All],[Time]],,0,-1),"")</f>
        <v/>
      </c>
      <c r="H541" s="23" t="str">
        <f>IFERROR(IF(Table57[[#This Row],[Out]]&gt;=Table57[[#This Row],[In]],Table57[[#This Row],[Out]]-Table57[[#This Row],[In]],(0.5+Table57[[#This Row],[Out]])-Table57[[#This Row],[In]]),"")</f>
        <v/>
      </c>
      <c r="I541" s="31" t="str">
        <f>IFERROR(IF(Table57[[#This Row],[In]]&gt;$C$2,Table57[[#This Row],[In]]-$C$2,""),"")</f>
        <v/>
      </c>
      <c r="J541" s="31" t="str">
        <f>IF(Table57[[#This Row],[Work_Hours]]=0,"",(IF(Table57[[#This Row],[Out]]&lt;$C$3,$C$3-Table57[[#This Row],[Out]],"")))</f>
        <v/>
      </c>
      <c r="K541" s="32" t="str">
        <f>IFERROR(Table57[[#This Row],[In]]+$C$1,"")</f>
        <v/>
      </c>
      <c r="L541" s="29"/>
      <c r="M541" s="31" t="str">
        <f>IF($C$2&gt;Table57[[#This Row],[In]],$C$2-Table57[[#This Row],[In]],"")</f>
        <v/>
      </c>
      <c r="N541" s="29" t="str">
        <f>IFERROR(IF(Table57[[#This Row],[Out]]&gt;$C$3,(Table57[[#This Row],[Out]])-($C$3),""),"")</f>
        <v/>
      </c>
    </row>
    <row r="542" spans="1:14" hidden="1" x14ac:dyDescent="0.25">
      <c r="A542" s="23" t="str">
        <f>Table57[[#This Row],[No.]]&amp;Table57[[#This Row],[Date]]</f>
        <v>00</v>
      </c>
      <c r="B542" s="22">
        <f>'Unique Dates'!A539</f>
        <v>0</v>
      </c>
      <c r="C542" s="22" t="e" cm="1">
        <f t="array" ref="C542">_xlfn.XLOOKUP(Table57[[#This Row],[No.]],Table2[[#All],[CODE]],Table2[[#All],[NAME]],,0,1)</f>
        <v>#N/A</v>
      </c>
      <c r="D542" s="6">
        <f>'Unique Dates'!B539</f>
        <v>0</v>
      </c>
      <c r="E542" t="str">
        <f>TEXT(Table57[[#This Row],[Date]],"dddd")</f>
        <v>Saturday</v>
      </c>
      <c r="F542" s="25" t="str" cm="1">
        <f t="array" ref="F542">IFERROR(_xlfn.XLOOKUP(Table57[[#This Row],[Code]],Table1[[#All],[Code]],Table1[[#All],[Time]],,0,1),"")</f>
        <v/>
      </c>
      <c r="G542" s="25" t="str" cm="1">
        <f t="array" ref="G542">IFERROR(_xlfn.XLOOKUP(Table57[[#This Row],[Code]],Table1[[#All],[Code]],Table1[[#All],[Time]],,0,-1),"")</f>
        <v/>
      </c>
      <c r="H542" s="23" t="str">
        <f>IFERROR(IF(Table57[[#This Row],[Out]]&gt;=Table57[[#This Row],[In]],Table57[[#This Row],[Out]]-Table57[[#This Row],[In]],(0.5+Table57[[#This Row],[Out]])-Table57[[#This Row],[In]]),"")</f>
        <v/>
      </c>
      <c r="I542" s="31" t="str">
        <f>IFERROR(IF(Table57[[#This Row],[In]]&gt;$C$2,Table57[[#This Row],[In]]-$C$2,""),"")</f>
        <v/>
      </c>
      <c r="J542" s="31" t="str">
        <f>IF(Table57[[#This Row],[Work_Hours]]=0,"",(IF(Table57[[#This Row],[Out]]&lt;$C$3,$C$3-Table57[[#This Row],[Out]],"")))</f>
        <v/>
      </c>
      <c r="K542" s="32" t="str">
        <f>IFERROR(Table57[[#This Row],[In]]+$C$1,"")</f>
        <v/>
      </c>
      <c r="L542" s="29"/>
      <c r="M542" s="31" t="str">
        <f>IF($C$2&gt;Table57[[#This Row],[In]],$C$2-Table57[[#This Row],[In]],"")</f>
        <v/>
      </c>
      <c r="N542" s="29" t="str">
        <f>IFERROR(IF(Table57[[#This Row],[Out]]&gt;$C$3,(Table57[[#This Row],[Out]])-($C$3),""),"")</f>
        <v/>
      </c>
    </row>
    <row r="543" spans="1:14" hidden="1" x14ac:dyDescent="0.25">
      <c r="A543" s="23" t="str">
        <f>Table57[[#This Row],[No.]]&amp;Table57[[#This Row],[Date]]</f>
        <v>00</v>
      </c>
      <c r="B543" s="22">
        <f>'Unique Dates'!A540</f>
        <v>0</v>
      </c>
      <c r="C543" s="22" t="e" cm="1">
        <f t="array" ref="C543">_xlfn.XLOOKUP(Table57[[#This Row],[No.]],Table2[[#All],[CODE]],Table2[[#All],[NAME]],,0,1)</f>
        <v>#N/A</v>
      </c>
      <c r="D543" s="6">
        <f>'Unique Dates'!B540</f>
        <v>0</v>
      </c>
      <c r="E543" t="str">
        <f>TEXT(Table57[[#This Row],[Date]],"dddd")</f>
        <v>Saturday</v>
      </c>
      <c r="F543" s="25" t="str" cm="1">
        <f t="array" ref="F543">IFERROR(_xlfn.XLOOKUP(Table57[[#This Row],[Code]],Table1[[#All],[Code]],Table1[[#All],[Time]],,0,1),"")</f>
        <v/>
      </c>
      <c r="G543" s="25" t="str" cm="1">
        <f t="array" ref="G543">IFERROR(_xlfn.XLOOKUP(Table57[[#This Row],[Code]],Table1[[#All],[Code]],Table1[[#All],[Time]],,0,-1),"")</f>
        <v/>
      </c>
      <c r="H543" s="23" t="str">
        <f>IFERROR(IF(Table57[[#This Row],[Out]]&gt;=Table57[[#This Row],[In]],Table57[[#This Row],[Out]]-Table57[[#This Row],[In]],(0.5+Table57[[#This Row],[Out]])-Table57[[#This Row],[In]]),"")</f>
        <v/>
      </c>
      <c r="I543" s="31" t="str">
        <f>IFERROR(IF(Table57[[#This Row],[In]]&gt;$C$2,Table57[[#This Row],[In]]-$C$2,""),"")</f>
        <v/>
      </c>
      <c r="J543" s="31" t="str">
        <f>IF(Table57[[#This Row],[Work_Hours]]=0,"",(IF(Table57[[#This Row],[Out]]&lt;$C$3,$C$3-Table57[[#This Row],[Out]],"")))</f>
        <v/>
      </c>
      <c r="K543" s="32" t="str">
        <f>IFERROR(Table57[[#This Row],[In]]+$C$1,"")</f>
        <v/>
      </c>
      <c r="L543" s="29"/>
      <c r="M543" s="31" t="str">
        <f>IF($C$2&gt;Table57[[#This Row],[In]],$C$2-Table57[[#This Row],[In]],"")</f>
        <v/>
      </c>
      <c r="N543" s="29" t="str">
        <f>IFERROR(IF(Table57[[#This Row],[Out]]&gt;$C$3,(Table57[[#This Row],[Out]])-($C$3),""),"")</f>
        <v/>
      </c>
    </row>
    <row r="544" spans="1:14" hidden="1" x14ac:dyDescent="0.25">
      <c r="A544" s="23" t="str">
        <f>Table57[[#This Row],[No.]]&amp;Table57[[#This Row],[Date]]</f>
        <v>00</v>
      </c>
      <c r="B544" s="22">
        <f>'Unique Dates'!A541</f>
        <v>0</v>
      </c>
      <c r="C544" s="22" t="e" cm="1">
        <f t="array" ref="C544">_xlfn.XLOOKUP(Table57[[#This Row],[No.]],Table2[[#All],[CODE]],Table2[[#All],[NAME]],,0,1)</f>
        <v>#N/A</v>
      </c>
      <c r="D544" s="6">
        <f>'Unique Dates'!B541</f>
        <v>0</v>
      </c>
      <c r="E544" t="str">
        <f>TEXT(Table57[[#This Row],[Date]],"dddd")</f>
        <v>Saturday</v>
      </c>
      <c r="F544" s="25" t="str" cm="1">
        <f t="array" ref="F544">IFERROR(_xlfn.XLOOKUP(Table57[[#This Row],[Code]],Table1[[#All],[Code]],Table1[[#All],[Time]],,0,1),"")</f>
        <v/>
      </c>
      <c r="G544" s="25" t="str" cm="1">
        <f t="array" ref="G544">IFERROR(_xlfn.XLOOKUP(Table57[[#This Row],[Code]],Table1[[#All],[Code]],Table1[[#All],[Time]],,0,-1),"")</f>
        <v/>
      </c>
      <c r="H544" s="23" t="str">
        <f>IFERROR(IF(Table57[[#This Row],[Out]]&gt;=Table57[[#This Row],[In]],Table57[[#This Row],[Out]]-Table57[[#This Row],[In]],(0.5+Table57[[#This Row],[Out]])-Table57[[#This Row],[In]]),"")</f>
        <v/>
      </c>
      <c r="I544" s="31" t="str">
        <f>IFERROR(IF(Table57[[#This Row],[In]]&gt;$C$2,Table57[[#This Row],[In]]-$C$2,""),"")</f>
        <v/>
      </c>
      <c r="J544" s="31" t="str">
        <f>IF(Table57[[#This Row],[Work_Hours]]=0,"",(IF(Table57[[#This Row],[Out]]&lt;$C$3,$C$3-Table57[[#This Row],[Out]],"")))</f>
        <v/>
      </c>
      <c r="K544" s="32" t="str">
        <f>IFERROR(Table57[[#This Row],[In]]+$C$1,"")</f>
        <v/>
      </c>
      <c r="L544" s="29"/>
      <c r="M544" s="31" t="str">
        <f>IF($C$2&gt;Table57[[#This Row],[In]],$C$2-Table57[[#This Row],[In]],"")</f>
        <v/>
      </c>
      <c r="N544" s="29" t="str">
        <f>IFERROR(IF(Table57[[#This Row],[Out]]&gt;$C$3,(Table57[[#This Row],[Out]])-($C$3),""),"")</f>
        <v/>
      </c>
    </row>
    <row r="545" spans="1:14" hidden="1" x14ac:dyDescent="0.25">
      <c r="A545" s="23" t="str">
        <f>Table57[[#This Row],[No.]]&amp;Table57[[#This Row],[Date]]</f>
        <v>00</v>
      </c>
      <c r="B545" s="22">
        <f>'Unique Dates'!A542</f>
        <v>0</v>
      </c>
      <c r="C545" s="22" t="e" cm="1">
        <f t="array" ref="C545">_xlfn.XLOOKUP(Table57[[#This Row],[No.]],Table2[[#All],[CODE]],Table2[[#All],[NAME]],,0,1)</f>
        <v>#N/A</v>
      </c>
      <c r="D545" s="6">
        <f>'Unique Dates'!B542</f>
        <v>0</v>
      </c>
      <c r="E545" t="str">
        <f>TEXT(Table57[[#This Row],[Date]],"dddd")</f>
        <v>Saturday</v>
      </c>
      <c r="F545" s="25" t="str" cm="1">
        <f t="array" ref="F545">IFERROR(_xlfn.XLOOKUP(Table57[[#This Row],[Code]],Table1[[#All],[Code]],Table1[[#All],[Time]],,0,1),"")</f>
        <v/>
      </c>
      <c r="G545" s="25" t="str" cm="1">
        <f t="array" ref="G545">IFERROR(_xlfn.XLOOKUP(Table57[[#This Row],[Code]],Table1[[#All],[Code]],Table1[[#All],[Time]],,0,-1),"")</f>
        <v/>
      </c>
      <c r="H545" s="23" t="str">
        <f>IFERROR(IF(Table57[[#This Row],[Out]]&gt;=Table57[[#This Row],[In]],Table57[[#This Row],[Out]]-Table57[[#This Row],[In]],(0.5+Table57[[#This Row],[Out]])-Table57[[#This Row],[In]]),"")</f>
        <v/>
      </c>
      <c r="I545" s="31" t="str">
        <f>IFERROR(IF(Table57[[#This Row],[In]]&gt;$C$2,Table57[[#This Row],[In]]-$C$2,""),"")</f>
        <v/>
      </c>
      <c r="J545" s="31" t="str">
        <f>IF(Table57[[#This Row],[Work_Hours]]=0,"",(IF(Table57[[#This Row],[Out]]&lt;$C$3,$C$3-Table57[[#This Row],[Out]],"")))</f>
        <v/>
      </c>
      <c r="K545" s="32" t="str">
        <f>IFERROR(Table57[[#This Row],[In]]+$C$1,"")</f>
        <v/>
      </c>
      <c r="L545" s="29"/>
      <c r="M545" s="31" t="str">
        <f>IF($C$2&gt;Table57[[#This Row],[In]],$C$2-Table57[[#This Row],[In]],"")</f>
        <v/>
      </c>
      <c r="N545" s="29" t="str">
        <f>IFERROR(IF(Table57[[#This Row],[Out]]&gt;$C$3,(Table57[[#This Row],[Out]])-($C$3),""),"")</f>
        <v/>
      </c>
    </row>
    <row r="546" spans="1:14" hidden="1" x14ac:dyDescent="0.25">
      <c r="A546" s="23" t="str">
        <f>Table57[[#This Row],[No.]]&amp;Table57[[#This Row],[Date]]</f>
        <v>00</v>
      </c>
      <c r="B546" s="22">
        <f>'Unique Dates'!A543</f>
        <v>0</v>
      </c>
      <c r="C546" s="22" t="e" cm="1">
        <f t="array" ref="C546">_xlfn.XLOOKUP(Table57[[#This Row],[No.]],Table2[[#All],[CODE]],Table2[[#All],[NAME]],,0,1)</f>
        <v>#N/A</v>
      </c>
      <c r="D546" s="6">
        <f>'Unique Dates'!B543</f>
        <v>0</v>
      </c>
      <c r="E546" t="str">
        <f>TEXT(Table57[[#This Row],[Date]],"dddd")</f>
        <v>Saturday</v>
      </c>
      <c r="F546" s="25" t="str" cm="1">
        <f t="array" ref="F546">IFERROR(_xlfn.XLOOKUP(Table57[[#This Row],[Code]],Table1[[#All],[Code]],Table1[[#All],[Time]],,0,1),"")</f>
        <v/>
      </c>
      <c r="G546" s="25" t="str" cm="1">
        <f t="array" ref="G546">IFERROR(_xlfn.XLOOKUP(Table57[[#This Row],[Code]],Table1[[#All],[Code]],Table1[[#All],[Time]],,0,-1),"")</f>
        <v/>
      </c>
      <c r="H546" s="23" t="str">
        <f>IFERROR(IF(Table57[[#This Row],[Out]]&gt;=Table57[[#This Row],[In]],Table57[[#This Row],[Out]]-Table57[[#This Row],[In]],(0.5+Table57[[#This Row],[Out]])-Table57[[#This Row],[In]]),"")</f>
        <v/>
      </c>
      <c r="I546" s="31" t="str">
        <f>IFERROR(IF(Table57[[#This Row],[In]]&gt;$C$2,Table57[[#This Row],[In]]-$C$2,""),"")</f>
        <v/>
      </c>
      <c r="J546" s="31" t="str">
        <f>IF(Table57[[#This Row],[Work_Hours]]=0,"",(IF(Table57[[#This Row],[Out]]&lt;$C$3,$C$3-Table57[[#This Row],[Out]],"")))</f>
        <v/>
      </c>
      <c r="K546" s="32" t="str">
        <f>IFERROR(Table57[[#This Row],[In]]+$C$1,"")</f>
        <v/>
      </c>
      <c r="L546" s="29"/>
      <c r="M546" s="31" t="str">
        <f>IF($C$2&gt;Table57[[#This Row],[In]],$C$2-Table57[[#This Row],[In]],"")</f>
        <v/>
      </c>
      <c r="N546" s="29" t="str">
        <f>IFERROR(IF(Table57[[#This Row],[Out]]&gt;$C$3,(Table57[[#This Row],[Out]])-($C$3),""),"")</f>
        <v/>
      </c>
    </row>
    <row r="547" spans="1:14" hidden="1" x14ac:dyDescent="0.25">
      <c r="A547" s="23" t="str">
        <f>Table57[[#This Row],[No.]]&amp;Table57[[#This Row],[Date]]</f>
        <v>00</v>
      </c>
      <c r="B547" s="22">
        <f>'Unique Dates'!A544</f>
        <v>0</v>
      </c>
      <c r="C547" s="22" t="e" cm="1">
        <f t="array" ref="C547">_xlfn.XLOOKUP(Table57[[#This Row],[No.]],Table2[[#All],[CODE]],Table2[[#All],[NAME]],,0,1)</f>
        <v>#N/A</v>
      </c>
      <c r="D547" s="6">
        <f>'Unique Dates'!B544</f>
        <v>0</v>
      </c>
      <c r="E547" t="str">
        <f>TEXT(Table57[[#This Row],[Date]],"dddd")</f>
        <v>Saturday</v>
      </c>
      <c r="F547" s="25" t="str" cm="1">
        <f t="array" ref="F547">IFERROR(_xlfn.XLOOKUP(Table57[[#This Row],[Code]],Table1[[#All],[Code]],Table1[[#All],[Time]],,0,1),"")</f>
        <v/>
      </c>
      <c r="G547" s="25" t="str" cm="1">
        <f t="array" ref="G547">IFERROR(_xlfn.XLOOKUP(Table57[[#This Row],[Code]],Table1[[#All],[Code]],Table1[[#All],[Time]],,0,-1),"")</f>
        <v/>
      </c>
      <c r="H547" s="23" t="str">
        <f>IFERROR(IF(Table57[[#This Row],[Out]]&gt;=Table57[[#This Row],[In]],Table57[[#This Row],[Out]]-Table57[[#This Row],[In]],(0.5+Table57[[#This Row],[Out]])-Table57[[#This Row],[In]]),"")</f>
        <v/>
      </c>
      <c r="I547" s="31" t="str">
        <f>IFERROR(IF(Table57[[#This Row],[In]]&gt;$C$2,Table57[[#This Row],[In]]-$C$2,""),"")</f>
        <v/>
      </c>
      <c r="J547" s="31" t="str">
        <f>IF(Table57[[#This Row],[Work_Hours]]=0,"",(IF(Table57[[#This Row],[Out]]&lt;$C$3,$C$3-Table57[[#This Row],[Out]],"")))</f>
        <v/>
      </c>
      <c r="K547" s="32" t="str">
        <f>IFERROR(Table57[[#This Row],[In]]+$C$1,"")</f>
        <v/>
      </c>
      <c r="L547" s="29"/>
      <c r="M547" s="31" t="str">
        <f>IF($C$2&gt;Table57[[#This Row],[In]],$C$2-Table57[[#This Row],[In]],"")</f>
        <v/>
      </c>
      <c r="N547" s="29" t="str">
        <f>IFERROR(IF(Table57[[#This Row],[Out]]&gt;$C$3,(Table57[[#This Row],[Out]])-($C$3),""),"")</f>
        <v/>
      </c>
    </row>
    <row r="548" spans="1:14" hidden="1" x14ac:dyDescent="0.25">
      <c r="A548" s="23" t="str">
        <f>Table57[[#This Row],[No.]]&amp;Table57[[#This Row],[Date]]</f>
        <v>00</v>
      </c>
      <c r="B548" s="22">
        <f>'Unique Dates'!A545</f>
        <v>0</v>
      </c>
      <c r="C548" s="22" t="e" cm="1">
        <f t="array" ref="C548">_xlfn.XLOOKUP(Table57[[#This Row],[No.]],Table2[[#All],[CODE]],Table2[[#All],[NAME]],,0,1)</f>
        <v>#N/A</v>
      </c>
      <c r="D548" s="6">
        <f>'Unique Dates'!B545</f>
        <v>0</v>
      </c>
      <c r="E548" t="str">
        <f>TEXT(Table57[[#This Row],[Date]],"dddd")</f>
        <v>Saturday</v>
      </c>
      <c r="F548" s="25" t="str" cm="1">
        <f t="array" ref="F548">IFERROR(_xlfn.XLOOKUP(Table57[[#This Row],[Code]],Table1[[#All],[Code]],Table1[[#All],[Time]],,0,1),"")</f>
        <v/>
      </c>
      <c r="G548" s="25" t="str" cm="1">
        <f t="array" ref="G548">IFERROR(_xlfn.XLOOKUP(Table57[[#This Row],[Code]],Table1[[#All],[Code]],Table1[[#All],[Time]],,0,-1),"")</f>
        <v/>
      </c>
      <c r="H548" s="23" t="str">
        <f>IFERROR(IF(Table57[[#This Row],[Out]]&gt;=Table57[[#This Row],[In]],Table57[[#This Row],[Out]]-Table57[[#This Row],[In]],(0.5+Table57[[#This Row],[Out]])-Table57[[#This Row],[In]]),"")</f>
        <v/>
      </c>
      <c r="I548" s="31" t="str">
        <f>IFERROR(IF(Table57[[#This Row],[In]]&gt;$C$2,Table57[[#This Row],[In]]-$C$2,""),"")</f>
        <v/>
      </c>
      <c r="J548" s="31" t="str">
        <f>IF(Table57[[#This Row],[Work_Hours]]=0,"",(IF(Table57[[#This Row],[Out]]&lt;$C$3,$C$3-Table57[[#This Row],[Out]],"")))</f>
        <v/>
      </c>
      <c r="K548" s="32" t="str">
        <f>IFERROR(Table57[[#This Row],[In]]+$C$1,"")</f>
        <v/>
      </c>
      <c r="L548" s="29"/>
      <c r="M548" s="31" t="str">
        <f>IF($C$2&gt;Table57[[#This Row],[In]],$C$2-Table57[[#This Row],[In]],"")</f>
        <v/>
      </c>
      <c r="N548" s="29" t="str">
        <f>IFERROR(IF(Table57[[#This Row],[Out]]&gt;$C$3,(Table57[[#This Row],[Out]])-($C$3),""),"")</f>
        <v/>
      </c>
    </row>
    <row r="549" spans="1:14" hidden="1" x14ac:dyDescent="0.25">
      <c r="A549" s="23" t="str">
        <f>Table57[[#This Row],[No.]]&amp;Table57[[#This Row],[Date]]</f>
        <v>00</v>
      </c>
      <c r="B549" s="22">
        <f>'Unique Dates'!A546</f>
        <v>0</v>
      </c>
      <c r="C549" s="22" t="e" cm="1">
        <f t="array" ref="C549">_xlfn.XLOOKUP(Table57[[#This Row],[No.]],Table2[[#All],[CODE]],Table2[[#All],[NAME]],,0,1)</f>
        <v>#N/A</v>
      </c>
      <c r="D549" s="6">
        <f>'Unique Dates'!B546</f>
        <v>0</v>
      </c>
      <c r="E549" t="str">
        <f>TEXT(Table57[[#This Row],[Date]],"dddd")</f>
        <v>Saturday</v>
      </c>
      <c r="F549" s="25" t="str" cm="1">
        <f t="array" ref="F549">IFERROR(_xlfn.XLOOKUP(Table57[[#This Row],[Code]],Table1[[#All],[Code]],Table1[[#All],[Time]],,0,1),"")</f>
        <v/>
      </c>
      <c r="G549" s="25" t="str" cm="1">
        <f t="array" ref="G549">IFERROR(_xlfn.XLOOKUP(Table57[[#This Row],[Code]],Table1[[#All],[Code]],Table1[[#All],[Time]],,0,-1),"")</f>
        <v/>
      </c>
      <c r="H549" s="23" t="str">
        <f>IFERROR(IF(Table57[[#This Row],[Out]]&gt;=Table57[[#This Row],[In]],Table57[[#This Row],[Out]]-Table57[[#This Row],[In]],(0.5+Table57[[#This Row],[Out]])-Table57[[#This Row],[In]]),"")</f>
        <v/>
      </c>
      <c r="I549" s="31" t="str">
        <f>IFERROR(IF(Table57[[#This Row],[In]]&gt;$C$2,Table57[[#This Row],[In]]-$C$2,""),"")</f>
        <v/>
      </c>
      <c r="J549" s="31" t="str">
        <f>IF(Table57[[#This Row],[Work_Hours]]=0,"",(IF(Table57[[#This Row],[Out]]&lt;$C$3,$C$3-Table57[[#This Row],[Out]],"")))</f>
        <v/>
      </c>
      <c r="K549" s="32" t="str">
        <f>IFERROR(Table57[[#This Row],[In]]+$C$1,"")</f>
        <v/>
      </c>
      <c r="L549" s="29"/>
      <c r="M549" s="31" t="str">
        <f>IF($C$2&gt;Table57[[#This Row],[In]],$C$2-Table57[[#This Row],[In]],"")</f>
        <v/>
      </c>
      <c r="N549" s="29" t="str">
        <f>IFERROR(IF(Table57[[#This Row],[Out]]&gt;$C$3,(Table57[[#This Row],[Out]])-($C$3),""),"")</f>
        <v/>
      </c>
    </row>
    <row r="550" spans="1:14" hidden="1" x14ac:dyDescent="0.25">
      <c r="A550" s="23" t="str">
        <f>Table57[[#This Row],[No.]]&amp;Table57[[#This Row],[Date]]</f>
        <v>00</v>
      </c>
      <c r="B550" s="22">
        <f>'Unique Dates'!A547</f>
        <v>0</v>
      </c>
      <c r="C550" s="22" t="e" cm="1">
        <f t="array" ref="C550">_xlfn.XLOOKUP(Table57[[#This Row],[No.]],Table2[[#All],[CODE]],Table2[[#All],[NAME]],,0,1)</f>
        <v>#N/A</v>
      </c>
      <c r="D550" s="6">
        <f>'Unique Dates'!B547</f>
        <v>0</v>
      </c>
      <c r="E550" t="str">
        <f>TEXT(Table57[[#This Row],[Date]],"dddd")</f>
        <v>Saturday</v>
      </c>
      <c r="F550" s="25" t="str" cm="1">
        <f t="array" ref="F550">IFERROR(_xlfn.XLOOKUP(Table57[[#This Row],[Code]],Table1[[#All],[Code]],Table1[[#All],[Time]],,0,1),"")</f>
        <v/>
      </c>
      <c r="G550" s="25" t="str" cm="1">
        <f t="array" ref="G550">IFERROR(_xlfn.XLOOKUP(Table57[[#This Row],[Code]],Table1[[#All],[Code]],Table1[[#All],[Time]],,0,-1),"")</f>
        <v/>
      </c>
      <c r="H550" s="23" t="str">
        <f>IFERROR(IF(Table57[[#This Row],[Out]]&gt;=Table57[[#This Row],[In]],Table57[[#This Row],[Out]]-Table57[[#This Row],[In]],(0.5+Table57[[#This Row],[Out]])-Table57[[#This Row],[In]]),"")</f>
        <v/>
      </c>
      <c r="I550" s="31" t="str">
        <f>IFERROR(IF(Table57[[#This Row],[In]]&gt;$C$2,Table57[[#This Row],[In]]-$C$2,""),"")</f>
        <v/>
      </c>
      <c r="J550" s="31" t="str">
        <f>IF(Table57[[#This Row],[Work_Hours]]=0,"",(IF(Table57[[#This Row],[Out]]&lt;$C$3,$C$3-Table57[[#This Row],[Out]],"")))</f>
        <v/>
      </c>
      <c r="K550" s="32" t="str">
        <f>IFERROR(Table57[[#This Row],[In]]+$C$1,"")</f>
        <v/>
      </c>
      <c r="L550" s="29"/>
      <c r="M550" s="31" t="str">
        <f>IF($C$2&gt;Table57[[#This Row],[In]],$C$2-Table57[[#This Row],[In]],"")</f>
        <v/>
      </c>
      <c r="N550" s="29" t="str">
        <f>IFERROR(IF(Table57[[#This Row],[Out]]&gt;$C$3,(Table57[[#This Row],[Out]])-($C$3),""),"")</f>
        <v/>
      </c>
    </row>
    <row r="551" spans="1:14" hidden="1" x14ac:dyDescent="0.25">
      <c r="A551" s="23" t="str">
        <f>Table57[[#This Row],[No.]]&amp;Table57[[#This Row],[Date]]</f>
        <v>00</v>
      </c>
      <c r="B551" s="22">
        <f>'Unique Dates'!A548</f>
        <v>0</v>
      </c>
      <c r="C551" s="22" t="e" cm="1">
        <f t="array" ref="C551">_xlfn.XLOOKUP(Table57[[#This Row],[No.]],Table2[[#All],[CODE]],Table2[[#All],[NAME]],,0,1)</f>
        <v>#N/A</v>
      </c>
      <c r="D551" s="6">
        <f>'Unique Dates'!B548</f>
        <v>0</v>
      </c>
      <c r="E551" t="str">
        <f>TEXT(Table57[[#This Row],[Date]],"dddd")</f>
        <v>Saturday</v>
      </c>
      <c r="F551" s="25" t="str" cm="1">
        <f t="array" ref="F551">IFERROR(_xlfn.XLOOKUP(Table57[[#This Row],[Code]],Table1[[#All],[Code]],Table1[[#All],[Time]],,0,1),"")</f>
        <v/>
      </c>
      <c r="G551" s="25" t="str" cm="1">
        <f t="array" ref="G551">IFERROR(_xlfn.XLOOKUP(Table57[[#This Row],[Code]],Table1[[#All],[Code]],Table1[[#All],[Time]],,0,-1),"")</f>
        <v/>
      </c>
      <c r="H551" s="23" t="str">
        <f>IFERROR(IF(Table57[[#This Row],[Out]]&gt;=Table57[[#This Row],[In]],Table57[[#This Row],[Out]]-Table57[[#This Row],[In]],(0.5+Table57[[#This Row],[Out]])-Table57[[#This Row],[In]]),"")</f>
        <v/>
      </c>
      <c r="I551" s="31" t="str">
        <f>IFERROR(IF(Table57[[#This Row],[In]]&gt;$C$2,Table57[[#This Row],[In]]-$C$2,""),"")</f>
        <v/>
      </c>
      <c r="J551" s="31" t="str">
        <f>IF(Table57[[#This Row],[Work_Hours]]=0,"",(IF(Table57[[#This Row],[Out]]&lt;$C$3,$C$3-Table57[[#This Row],[Out]],"")))</f>
        <v/>
      </c>
      <c r="K551" s="32" t="str">
        <f>IFERROR(Table57[[#This Row],[In]]+$C$1,"")</f>
        <v/>
      </c>
      <c r="L551" s="29"/>
      <c r="M551" s="31" t="str">
        <f>IF($C$2&gt;Table57[[#This Row],[In]],$C$2-Table57[[#This Row],[In]],"")</f>
        <v/>
      </c>
      <c r="N551" s="29" t="str">
        <f>IFERROR(IF(Table57[[#This Row],[Out]]&gt;$C$3,(Table57[[#This Row],[Out]])-($C$3),""),"")</f>
        <v/>
      </c>
    </row>
    <row r="552" spans="1:14" hidden="1" x14ac:dyDescent="0.25">
      <c r="A552" s="23" t="str">
        <f>Table57[[#This Row],[No.]]&amp;Table57[[#This Row],[Date]]</f>
        <v>00</v>
      </c>
      <c r="B552" s="22">
        <f>'Unique Dates'!A549</f>
        <v>0</v>
      </c>
      <c r="C552" s="22" t="e" cm="1">
        <f t="array" ref="C552">_xlfn.XLOOKUP(Table57[[#This Row],[No.]],Table2[[#All],[CODE]],Table2[[#All],[NAME]],,0,1)</f>
        <v>#N/A</v>
      </c>
      <c r="D552" s="6">
        <f>'Unique Dates'!B549</f>
        <v>0</v>
      </c>
      <c r="E552" t="str">
        <f>TEXT(Table57[[#This Row],[Date]],"dddd")</f>
        <v>Saturday</v>
      </c>
      <c r="F552" s="25" t="str" cm="1">
        <f t="array" ref="F552">IFERROR(_xlfn.XLOOKUP(Table57[[#This Row],[Code]],Table1[[#All],[Code]],Table1[[#All],[Time]],,0,1),"")</f>
        <v/>
      </c>
      <c r="G552" s="25" t="str" cm="1">
        <f t="array" ref="G552">IFERROR(_xlfn.XLOOKUP(Table57[[#This Row],[Code]],Table1[[#All],[Code]],Table1[[#All],[Time]],,0,-1),"")</f>
        <v/>
      </c>
      <c r="H552" s="23" t="str">
        <f>IFERROR(IF(Table57[[#This Row],[Out]]&gt;=Table57[[#This Row],[In]],Table57[[#This Row],[Out]]-Table57[[#This Row],[In]],(0.5+Table57[[#This Row],[Out]])-Table57[[#This Row],[In]]),"")</f>
        <v/>
      </c>
      <c r="I552" s="31" t="str">
        <f>IFERROR(IF(Table57[[#This Row],[In]]&gt;$C$2,Table57[[#This Row],[In]]-$C$2,""),"")</f>
        <v/>
      </c>
      <c r="J552" s="31" t="str">
        <f>IF(Table57[[#This Row],[Work_Hours]]=0,"",(IF(Table57[[#This Row],[Out]]&lt;$C$3,$C$3-Table57[[#This Row],[Out]],"")))</f>
        <v/>
      </c>
      <c r="K552" s="32" t="str">
        <f>IFERROR(Table57[[#This Row],[In]]+$C$1,"")</f>
        <v/>
      </c>
      <c r="L552" s="29"/>
      <c r="M552" s="31" t="str">
        <f>IF($C$2&gt;Table57[[#This Row],[In]],$C$2-Table57[[#This Row],[In]],"")</f>
        <v/>
      </c>
      <c r="N552" s="29" t="str">
        <f>IFERROR(IF(Table57[[#This Row],[Out]]&gt;$C$3,(Table57[[#This Row],[Out]])-($C$3),""),"")</f>
        <v/>
      </c>
    </row>
    <row r="553" spans="1:14" hidden="1" x14ac:dyDescent="0.25">
      <c r="A553" s="23" t="str">
        <f>Table57[[#This Row],[No.]]&amp;Table57[[#This Row],[Date]]</f>
        <v>00</v>
      </c>
      <c r="B553" s="22">
        <f>'Unique Dates'!A550</f>
        <v>0</v>
      </c>
      <c r="C553" s="22" t="e" cm="1">
        <f t="array" ref="C553">_xlfn.XLOOKUP(Table57[[#This Row],[No.]],Table2[[#All],[CODE]],Table2[[#All],[NAME]],,0,1)</f>
        <v>#N/A</v>
      </c>
      <c r="D553" s="6">
        <f>'Unique Dates'!B550</f>
        <v>0</v>
      </c>
      <c r="E553" t="str">
        <f>TEXT(Table57[[#This Row],[Date]],"dddd")</f>
        <v>Saturday</v>
      </c>
      <c r="F553" s="25" t="str" cm="1">
        <f t="array" ref="F553">IFERROR(_xlfn.XLOOKUP(Table57[[#This Row],[Code]],Table1[[#All],[Code]],Table1[[#All],[Time]],,0,1),"")</f>
        <v/>
      </c>
      <c r="G553" s="25" t="str" cm="1">
        <f t="array" ref="G553">IFERROR(_xlfn.XLOOKUP(Table57[[#This Row],[Code]],Table1[[#All],[Code]],Table1[[#All],[Time]],,0,-1),"")</f>
        <v/>
      </c>
      <c r="H553" s="23" t="str">
        <f>IFERROR(IF(Table57[[#This Row],[Out]]&gt;=Table57[[#This Row],[In]],Table57[[#This Row],[Out]]-Table57[[#This Row],[In]],(0.5+Table57[[#This Row],[Out]])-Table57[[#This Row],[In]]),"")</f>
        <v/>
      </c>
      <c r="I553" s="31" t="str">
        <f>IFERROR(IF(Table57[[#This Row],[In]]&gt;$C$2,Table57[[#This Row],[In]]-$C$2,""),"")</f>
        <v/>
      </c>
      <c r="J553" s="31" t="str">
        <f>IF(Table57[[#This Row],[Work_Hours]]=0,"",(IF(Table57[[#This Row],[Out]]&lt;$C$3,$C$3-Table57[[#This Row],[Out]],"")))</f>
        <v/>
      </c>
      <c r="K553" s="32" t="str">
        <f>IFERROR(Table57[[#This Row],[In]]+$C$1,"")</f>
        <v/>
      </c>
      <c r="L553" s="29"/>
      <c r="M553" s="31" t="str">
        <f>IF($C$2&gt;Table57[[#This Row],[In]],$C$2-Table57[[#This Row],[In]],"")</f>
        <v/>
      </c>
      <c r="N553" s="29" t="str">
        <f>IFERROR(IF(Table57[[#This Row],[Out]]&gt;$C$3,(Table57[[#This Row],[Out]])-($C$3),""),"")</f>
        <v/>
      </c>
    </row>
    <row r="554" spans="1:14" hidden="1" x14ac:dyDescent="0.25">
      <c r="A554" s="23" t="str">
        <f>Table57[[#This Row],[No.]]&amp;Table57[[#This Row],[Date]]</f>
        <v>00</v>
      </c>
      <c r="B554" s="22">
        <f>'Unique Dates'!A551</f>
        <v>0</v>
      </c>
      <c r="C554" s="22" t="e" cm="1">
        <f t="array" ref="C554">_xlfn.XLOOKUP(Table57[[#This Row],[No.]],Table2[[#All],[CODE]],Table2[[#All],[NAME]],,0,1)</f>
        <v>#N/A</v>
      </c>
      <c r="D554" s="6">
        <f>'Unique Dates'!B551</f>
        <v>0</v>
      </c>
      <c r="E554" t="str">
        <f>TEXT(Table57[[#This Row],[Date]],"dddd")</f>
        <v>Saturday</v>
      </c>
      <c r="F554" s="25" t="str" cm="1">
        <f t="array" ref="F554">IFERROR(_xlfn.XLOOKUP(Table57[[#This Row],[Code]],Table1[[#All],[Code]],Table1[[#All],[Time]],,0,1),"")</f>
        <v/>
      </c>
      <c r="G554" s="25" t="str" cm="1">
        <f t="array" ref="G554">IFERROR(_xlfn.XLOOKUP(Table57[[#This Row],[Code]],Table1[[#All],[Code]],Table1[[#All],[Time]],,0,-1),"")</f>
        <v/>
      </c>
      <c r="H554" s="23" t="str">
        <f>IFERROR(IF(Table57[[#This Row],[Out]]&gt;=Table57[[#This Row],[In]],Table57[[#This Row],[Out]]-Table57[[#This Row],[In]],(0.5+Table57[[#This Row],[Out]])-Table57[[#This Row],[In]]),"")</f>
        <v/>
      </c>
      <c r="I554" s="31" t="str">
        <f>IFERROR(IF(Table57[[#This Row],[In]]&gt;$C$2,Table57[[#This Row],[In]]-$C$2,""),"")</f>
        <v/>
      </c>
      <c r="J554" s="31" t="str">
        <f>IF(Table57[[#This Row],[Work_Hours]]=0,"",(IF(Table57[[#This Row],[Out]]&lt;$C$3,$C$3-Table57[[#This Row],[Out]],"")))</f>
        <v/>
      </c>
      <c r="K554" s="32" t="str">
        <f>IFERROR(Table57[[#This Row],[In]]+$C$1,"")</f>
        <v/>
      </c>
      <c r="L554" s="29"/>
      <c r="M554" s="31" t="str">
        <f>IF($C$2&gt;Table57[[#This Row],[In]],$C$2-Table57[[#This Row],[In]],"")</f>
        <v/>
      </c>
      <c r="N554" s="29" t="str">
        <f>IFERROR(IF(Table57[[#This Row],[Out]]&gt;$C$3,(Table57[[#This Row],[Out]])-($C$3),""),"")</f>
        <v/>
      </c>
    </row>
    <row r="555" spans="1:14" hidden="1" x14ac:dyDescent="0.25">
      <c r="A555" s="23" t="str">
        <f>Table57[[#This Row],[No.]]&amp;Table57[[#This Row],[Date]]</f>
        <v>00</v>
      </c>
      <c r="B555" s="22">
        <f>'Unique Dates'!A552</f>
        <v>0</v>
      </c>
      <c r="C555" s="22" t="e" cm="1">
        <f t="array" ref="C555">_xlfn.XLOOKUP(Table57[[#This Row],[No.]],Table2[[#All],[CODE]],Table2[[#All],[NAME]],,0,1)</f>
        <v>#N/A</v>
      </c>
      <c r="D555" s="6">
        <f>'Unique Dates'!B552</f>
        <v>0</v>
      </c>
      <c r="E555" t="str">
        <f>TEXT(Table57[[#This Row],[Date]],"dddd")</f>
        <v>Saturday</v>
      </c>
      <c r="F555" s="25" t="str" cm="1">
        <f t="array" ref="F555">IFERROR(_xlfn.XLOOKUP(Table57[[#This Row],[Code]],Table1[[#All],[Code]],Table1[[#All],[Time]],,0,1),"")</f>
        <v/>
      </c>
      <c r="G555" s="25" t="str" cm="1">
        <f t="array" ref="G555">IFERROR(_xlfn.XLOOKUP(Table57[[#This Row],[Code]],Table1[[#All],[Code]],Table1[[#All],[Time]],,0,-1),"")</f>
        <v/>
      </c>
      <c r="H555" s="23" t="str">
        <f>IFERROR(IF(Table57[[#This Row],[Out]]&gt;=Table57[[#This Row],[In]],Table57[[#This Row],[Out]]-Table57[[#This Row],[In]],(0.5+Table57[[#This Row],[Out]])-Table57[[#This Row],[In]]),"")</f>
        <v/>
      </c>
      <c r="I555" s="31" t="str">
        <f>IFERROR(IF(Table57[[#This Row],[In]]&gt;$C$2,Table57[[#This Row],[In]]-$C$2,""),"")</f>
        <v/>
      </c>
      <c r="J555" s="31" t="str">
        <f>IF(Table57[[#This Row],[Work_Hours]]=0,"",(IF(Table57[[#This Row],[Out]]&lt;$C$3,$C$3-Table57[[#This Row],[Out]],"")))</f>
        <v/>
      </c>
      <c r="K555" s="32" t="str">
        <f>IFERROR(Table57[[#This Row],[In]]+$C$1,"")</f>
        <v/>
      </c>
      <c r="L555" s="29"/>
      <c r="M555" s="31" t="str">
        <f>IF($C$2&gt;Table57[[#This Row],[In]],$C$2-Table57[[#This Row],[In]],"")</f>
        <v/>
      </c>
      <c r="N555" s="29" t="str">
        <f>IFERROR(IF(Table57[[#This Row],[Out]]&gt;$C$3,(Table57[[#This Row],[Out]])-($C$3),""),"")</f>
        <v/>
      </c>
    </row>
    <row r="556" spans="1:14" hidden="1" x14ac:dyDescent="0.25">
      <c r="A556" s="23" t="str">
        <f>Table57[[#This Row],[No.]]&amp;Table57[[#This Row],[Date]]</f>
        <v>00</v>
      </c>
      <c r="B556" s="22">
        <f>'Unique Dates'!A553</f>
        <v>0</v>
      </c>
      <c r="C556" s="22" t="e" cm="1">
        <f t="array" ref="C556">_xlfn.XLOOKUP(Table57[[#This Row],[No.]],Table2[[#All],[CODE]],Table2[[#All],[NAME]],,0,1)</f>
        <v>#N/A</v>
      </c>
      <c r="D556" s="6">
        <f>'Unique Dates'!B553</f>
        <v>0</v>
      </c>
      <c r="E556" t="str">
        <f>TEXT(Table57[[#This Row],[Date]],"dddd")</f>
        <v>Saturday</v>
      </c>
      <c r="F556" s="25" t="str" cm="1">
        <f t="array" ref="F556">IFERROR(_xlfn.XLOOKUP(Table57[[#This Row],[Code]],Table1[[#All],[Code]],Table1[[#All],[Time]],,0,1),"")</f>
        <v/>
      </c>
      <c r="G556" s="25" t="str" cm="1">
        <f t="array" ref="G556">IFERROR(_xlfn.XLOOKUP(Table57[[#This Row],[Code]],Table1[[#All],[Code]],Table1[[#All],[Time]],,0,-1),"")</f>
        <v/>
      </c>
      <c r="H556" s="23" t="str">
        <f>IFERROR(IF(Table57[[#This Row],[Out]]&gt;=Table57[[#This Row],[In]],Table57[[#This Row],[Out]]-Table57[[#This Row],[In]],(0.5+Table57[[#This Row],[Out]])-Table57[[#This Row],[In]]),"")</f>
        <v/>
      </c>
      <c r="I556" s="31" t="str">
        <f>IFERROR(IF(Table57[[#This Row],[In]]&gt;$C$2,Table57[[#This Row],[In]]-$C$2,""),"")</f>
        <v/>
      </c>
      <c r="J556" s="31" t="str">
        <f>IF(Table57[[#This Row],[Work_Hours]]=0,"",(IF(Table57[[#This Row],[Out]]&lt;$C$3,$C$3-Table57[[#This Row],[Out]],"")))</f>
        <v/>
      </c>
      <c r="K556" s="32" t="str">
        <f>IFERROR(Table57[[#This Row],[In]]+$C$1,"")</f>
        <v/>
      </c>
      <c r="L556" s="29"/>
      <c r="M556" s="31" t="str">
        <f>IF($C$2&gt;Table57[[#This Row],[In]],$C$2-Table57[[#This Row],[In]],"")</f>
        <v/>
      </c>
      <c r="N556" s="29" t="str">
        <f>IFERROR(IF(Table57[[#This Row],[Out]]&gt;$C$3,(Table57[[#This Row],[Out]])-($C$3),""),"")</f>
        <v/>
      </c>
    </row>
    <row r="557" spans="1:14" hidden="1" x14ac:dyDescent="0.25">
      <c r="A557" s="23" t="str">
        <f>Table57[[#This Row],[No.]]&amp;Table57[[#This Row],[Date]]</f>
        <v>00</v>
      </c>
      <c r="B557" s="22">
        <f>'Unique Dates'!A554</f>
        <v>0</v>
      </c>
      <c r="C557" s="22" t="e" cm="1">
        <f t="array" ref="C557">_xlfn.XLOOKUP(Table57[[#This Row],[No.]],Table2[[#All],[CODE]],Table2[[#All],[NAME]],,0,1)</f>
        <v>#N/A</v>
      </c>
      <c r="D557" s="6">
        <f>'Unique Dates'!B554</f>
        <v>0</v>
      </c>
      <c r="E557" t="str">
        <f>TEXT(Table57[[#This Row],[Date]],"dddd")</f>
        <v>Saturday</v>
      </c>
      <c r="F557" s="25" t="str" cm="1">
        <f t="array" ref="F557">IFERROR(_xlfn.XLOOKUP(Table57[[#This Row],[Code]],Table1[[#All],[Code]],Table1[[#All],[Time]],,0,1),"")</f>
        <v/>
      </c>
      <c r="G557" s="25" t="str" cm="1">
        <f t="array" ref="G557">IFERROR(_xlfn.XLOOKUP(Table57[[#This Row],[Code]],Table1[[#All],[Code]],Table1[[#All],[Time]],,0,-1),"")</f>
        <v/>
      </c>
      <c r="H557" s="23" t="str">
        <f>IFERROR(IF(Table57[[#This Row],[Out]]&gt;=Table57[[#This Row],[In]],Table57[[#This Row],[Out]]-Table57[[#This Row],[In]],(0.5+Table57[[#This Row],[Out]])-Table57[[#This Row],[In]]),"")</f>
        <v/>
      </c>
      <c r="I557" s="31" t="str">
        <f>IFERROR(IF(Table57[[#This Row],[In]]&gt;$C$2,Table57[[#This Row],[In]]-$C$2,""),"")</f>
        <v/>
      </c>
      <c r="J557" s="31" t="str">
        <f>IF(Table57[[#This Row],[Work_Hours]]=0,"",(IF(Table57[[#This Row],[Out]]&lt;$C$3,$C$3-Table57[[#This Row],[Out]],"")))</f>
        <v/>
      </c>
      <c r="K557" s="32" t="str">
        <f>IFERROR(Table57[[#This Row],[In]]+$C$1,"")</f>
        <v/>
      </c>
      <c r="L557" s="29"/>
      <c r="M557" s="31" t="str">
        <f>IF($C$2&gt;Table57[[#This Row],[In]],$C$2-Table57[[#This Row],[In]],"")</f>
        <v/>
      </c>
      <c r="N557" s="29" t="str">
        <f>IFERROR(IF(Table57[[#This Row],[Out]]&gt;$C$3,(Table57[[#This Row],[Out]])-($C$3),""),"")</f>
        <v/>
      </c>
    </row>
    <row r="558" spans="1:14" hidden="1" x14ac:dyDescent="0.25">
      <c r="A558" s="23" t="str">
        <f>Table57[[#This Row],[No.]]&amp;Table57[[#This Row],[Date]]</f>
        <v>00</v>
      </c>
      <c r="B558" s="22">
        <f>'Unique Dates'!A555</f>
        <v>0</v>
      </c>
      <c r="C558" s="22" t="e" cm="1">
        <f t="array" ref="C558">_xlfn.XLOOKUP(Table57[[#This Row],[No.]],Table2[[#All],[CODE]],Table2[[#All],[NAME]],,0,1)</f>
        <v>#N/A</v>
      </c>
      <c r="D558" s="6">
        <f>'Unique Dates'!B555</f>
        <v>0</v>
      </c>
      <c r="E558" t="str">
        <f>TEXT(Table57[[#This Row],[Date]],"dddd")</f>
        <v>Saturday</v>
      </c>
      <c r="F558" s="25" t="str" cm="1">
        <f t="array" ref="F558">IFERROR(_xlfn.XLOOKUP(Table57[[#This Row],[Code]],Table1[[#All],[Code]],Table1[[#All],[Time]],,0,1),"")</f>
        <v/>
      </c>
      <c r="G558" s="25" t="str" cm="1">
        <f t="array" ref="G558">IFERROR(_xlfn.XLOOKUP(Table57[[#This Row],[Code]],Table1[[#All],[Code]],Table1[[#All],[Time]],,0,-1),"")</f>
        <v/>
      </c>
      <c r="H558" s="23" t="str">
        <f>IFERROR(IF(Table57[[#This Row],[Out]]&gt;=Table57[[#This Row],[In]],Table57[[#This Row],[Out]]-Table57[[#This Row],[In]],(0.5+Table57[[#This Row],[Out]])-Table57[[#This Row],[In]]),"")</f>
        <v/>
      </c>
      <c r="I558" s="31" t="str">
        <f>IFERROR(IF(Table57[[#This Row],[In]]&gt;$C$2,Table57[[#This Row],[In]]-$C$2,""),"")</f>
        <v/>
      </c>
      <c r="J558" s="31" t="str">
        <f>IF(Table57[[#This Row],[Work_Hours]]=0,"",(IF(Table57[[#This Row],[Out]]&lt;$C$3,$C$3-Table57[[#This Row],[Out]],"")))</f>
        <v/>
      </c>
      <c r="K558" s="32" t="str">
        <f>IFERROR(Table57[[#This Row],[In]]+$C$1,"")</f>
        <v/>
      </c>
      <c r="L558" s="29"/>
      <c r="M558" s="31" t="str">
        <f>IF($C$2&gt;Table57[[#This Row],[In]],$C$2-Table57[[#This Row],[In]],"")</f>
        <v/>
      </c>
      <c r="N558" s="29" t="str">
        <f>IFERROR(IF(Table57[[#This Row],[Out]]&gt;$C$3,(Table57[[#This Row],[Out]])-($C$3),""),"")</f>
        <v/>
      </c>
    </row>
    <row r="559" spans="1:14" hidden="1" x14ac:dyDescent="0.25">
      <c r="A559" s="23" t="str">
        <f>Table57[[#This Row],[No.]]&amp;Table57[[#This Row],[Date]]</f>
        <v>00</v>
      </c>
      <c r="B559" s="22">
        <f>'Unique Dates'!A556</f>
        <v>0</v>
      </c>
      <c r="C559" s="22" t="e" cm="1">
        <f t="array" ref="C559">_xlfn.XLOOKUP(Table57[[#This Row],[No.]],Table2[[#All],[CODE]],Table2[[#All],[NAME]],,0,1)</f>
        <v>#N/A</v>
      </c>
      <c r="D559" s="6">
        <f>'Unique Dates'!B556</f>
        <v>0</v>
      </c>
      <c r="E559" t="str">
        <f>TEXT(Table57[[#This Row],[Date]],"dddd")</f>
        <v>Saturday</v>
      </c>
      <c r="F559" s="25" t="str" cm="1">
        <f t="array" ref="F559">IFERROR(_xlfn.XLOOKUP(Table57[[#This Row],[Code]],Table1[[#All],[Code]],Table1[[#All],[Time]],,0,1),"")</f>
        <v/>
      </c>
      <c r="G559" s="25" t="str" cm="1">
        <f t="array" ref="G559">IFERROR(_xlfn.XLOOKUP(Table57[[#This Row],[Code]],Table1[[#All],[Code]],Table1[[#All],[Time]],,0,-1),"")</f>
        <v/>
      </c>
      <c r="H559" s="23" t="str">
        <f>IFERROR(IF(Table57[[#This Row],[Out]]&gt;=Table57[[#This Row],[In]],Table57[[#This Row],[Out]]-Table57[[#This Row],[In]],(0.5+Table57[[#This Row],[Out]])-Table57[[#This Row],[In]]),"")</f>
        <v/>
      </c>
      <c r="I559" s="31" t="str">
        <f>IFERROR(IF(Table57[[#This Row],[In]]&gt;$C$2,Table57[[#This Row],[In]]-$C$2,""),"")</f>
        <v/>
      </c>
      <c r="J559" s="31" t="str">
        <f>IF(Table57[[#This Row],[Work_Hours]]=0,"",(IF(Table57[[#This Row],[Out]]&lt;$C$3,$C$3-Table57[[#This Row],[Out]],"")))</f>
        <v/>
      </c>
      <c r="K559" s="32" t="str">
        <f>IFERROR(Table57[[#This Row],[In]]+$C$1,"")</f>
        <v/>
      </c>
      <c r="L559" s="29"/>
      <c r="M559" s="31" t="str">
        <f>IF($C$2&gt;Table57[[#This Row],[In]],$C$2-Table57[[#This Row],[In]],"")</f>
        <v/>
      </c>
      <c r="N559" s="29" t="str">
        <f>IFERROR(IF(Table57[[#This Row],[Out]]&gt;$C$3,(Table57[[#This Row],[Out]])-($C$3),""),"")</f>
        <v/>
      </c>
    </row>
    <row r="560" spans="1:14" hidden="1" x14ac:dyDescent="0.25">
      <c r="A560" s="23" t="str">
        <f>Table57[[#This Row],[No.]]&amp;Table57[[#This Row],[Date]]</f>
        <v>00</v>
      </c>
      <c r="B560" s="22">
        <f>'Unique Dates'!A557</f>
        <v>0</v>
      </c>
      <c r="C560" s="22" t="e" cm="1">
        <f t="array" ref="C560">_xlfn.XLOOKUP(Table57[[#This Row],[No.]],Table2[[#All],[CODE]],Table2[[#All],[NAME]],,0,1)</f>
        <v>#N/A</v>
      </c>
      <c r="D560" s="6">
        <f>'Unique Dates'!B557</f>
        <v>0</v>
      </c>
      <c r="E560" t="str">
        <f>TEXT(Table57[[#This Row],[Date]],"dddd")</f>
        <v>Saturday</v>
      </c>
      <c r="F560" s="25" t="str" cm="1">
        <f t="array" ref="F560">IFERROR(_xlfn.XLOOKUP(Table57[[#This Row],[Code]],Table1[[#All],[Code]],Table1[[#All],[Time]],,0,1),"")</f>
        <v/>
      </c>
      <c r="G560" s="25" t="str" cm="1">
        <f t="array" ref="G560">IFERROR(_xlfn.XLOOKUP(Table57[[#This Row],[Code]],Table1[[#All],[Code]],Table1[[#All],[Time]],,0,-1),"")</f>
        <v/>
      </c>
      <c r="H560" s="23" t="str">
        <f>IFERROR(IF(Table57[[#This Row],[Out]]&gt;=Table57[[#This Row],[In]],Table57[[#This Row],[Out]]-Table57[[#This Row],[In]],(0.5+Table57[[#This Row],[Out]])-Table57[[#This Row],[In]]),"")</f>
        <v/>
      </c>
      <c r="I560" s="31" t="str">
        <f>IFERROR(IF(Table57[[#This Row],[In]]&gt;$C$2,Table57[[#This Row],[In]]-$C$2,""),"")</f>
        <v/>
      </c>
      <c r="J560" s="31" t="str">
        <f>IF(Table57[[#This Row],[Work_Hours]]=0,"",(IF(Table57[[#This Row],[Out]]&lt;$C$3,$C$3-Table57[[#This Row],[Out]],"")))</f>
        <v/>
      </c>
      <c r="K560" s="32" t="str">
        <f>IFERROR(Table57[[#This Row],[In]]+$C$1,"")</f>
        <v/>
      </c>
      <c r="L560" s="29"/>
      <c r="M560" s="31" t="str">
        <f>IF($C$2&gt;Table57[[#This Row],[In]],$C$2-Table57[[#This Row],[In]],"")</f>
        <v/>
      </c>
      <c r="N560" s="29" t="str">
        <f>IFERROR(IF(Table57[[#This Row],[Out]]&gt;$C$3,(Table57[[#This Row],[Out]])-($C$3),""),"")</f>
        <v/>
      </c>
    </row>
    <row r="561" spans="1:14" hidden="1" x14ac:dyDescent="0.25">
      <c r="A561" s="23" t="str">
        <f>Table57[[#This Row],[No.]]&amp;Table57[[#This Row],[Date]]</f>
        <v>00</v>
      </c>
      <c r="B561" s="22">
        <f>'Unique Dates'!A558</f>
        <v>0</v>
      </c>
      <c r="C561" s="22" t="e" cm="1">
        <f t="array" ref="C561">_xlfn.XLOOKUP(Table57[[#This Row],[No.]],Table2[[#All],[CODE]],Table2[[#All],[NAME]],,0,1)</f>
        <v>#N/A</v>
      </c>
      <c r="D561" s="6">
        <f>'Unique Dates'!B558</f>
        <v>0</v>
      </c>
      <c r="E561" t="str">
        <f>TEXT(Table57[[#This Row],[Date]],"dddd")</f>
        <v>Saturday</v>
      </c>
      <c r="F561" s="25" t="str" cm="1">
        <f t="array" ref="F561">IFERROR(_xlfn.XLOOKUP(Table57[[#This Row],[Code]],Table1[[#All],[Code]],Table1[[#All],[Time]],,0,1),"")</f>
        <v/>
      </c>
      <c r="G561" s="25" t="str" cm="1">
        <f t="array" ref="G561">IFERROR(_xlfn.XLOOKUP(Table57[[#This Row],[Code]],Table1[[#All],[Code]],Table1[[#All],[Time]],,0,-1),"")</f>
        <v/>
      </c>
      <c r="H561" s="23" t="str">
        <f>IFERROR(IF(Table57[[#This Row],[Out]]&gt;=Table57[[#This Row],[In]],Table57[[#This Row],[Out]]-Table57[[#This Row],[In]],(0.5+Table57[[#This Row],[Out]])-Table57[[#This Row],[In]]),"")</f>
        <v/>
      </c>
      <c r="I561" s="31" t="str">
        <f>IFERROR(IF(Table57[[#This Row],[In]]&gt;$C$2,Table57[[#This Row],[In]]-$C$2,""),"")</f>
        <v/>
      </c>
      <c r="J561" s="31" t="str">
        <f>IF(Table57[[#This Row],[Work_Hours]]=0,"",(IF(Table57[[#This Row],[Out]]&lt;$C$3,$C$3-Table57[[#This Row],[Out]],"")))</f>
        <v/>
      </c>
      <c r="K561" s="32" t="str">
        <f>IFERROR(Table57[[#This Row],[In]]+$C$1,"")</f>
        <v/>
      </c>
      <c r="L561" s="29"/>
      <c r="M561" s="31" t="str">
        <f>IF($C$2&gt;Table57[[#This Row],[In]],$C$2-Table57[[#This Row],[In]],"")</f>
        <v/>
      </c>
      <c r="N561" s="29" t="str">
        <f>IFERROR(IF(Table57[[#This Row],[Out]]&gt;$C$3,(Table57[[#This Row],[Out]])-($C$3),""),"")</f>
        <v/>
      </c>
    </row>
    <row r="562" spans="1:14" hidden="1" x14ac:dyDescent="0.25">
      <c r="A562" s="23" t="str">
        <f>Table57[[#This Row],[No.]]&amp;Table57[[#This Row],[Date]]</f>
        <v>00</v>
      </c>
      <c r="B562" s="22">
        <f>'Unique Dates'!A559</f>
        <v>0</v>
      </c>
      <c r="C562" s="22" t="e" cm="1">
        <f t="array" ref="C562">_xlfn.XLOOKUP(Table57[[#This Row],[No.]],Table2[[#All],[CODE]],Table2[[#All],[NAME]],,0,1)</f>
        <v>#N/A</v>
      </c>
      <c r="D562" s="6">
        <f>'Unique Dates'!B559</f>
        <v>0</v>
      </c>
      <c r="E562" t="str">
        <f>TEXT(Table57[[#This Row],[Date]],"dddd")</f>
        <v>Saturday</v>
      </c>
      <c r="F562" s="25" t="str" cm="1">
        <f t="array" ref="F562">IFERROR(_xlfn.XLOOKUP(Table57[[#This Row],[Code]],Table1[[#All],[Code]],Table1[[#All],[Time]],,0,1),"")</f>
        <v/>
      </c>
      <c r="G562" s="25" t="str" cm="1">
        <f t="array" ref="G562">IFERROR(_xlfn.XLOOKUP(Table57[[#This Row],[Code]],Table1[[#All],[Code]],Table1[[#All],[Time]],,0,-1),"")</f>
        <v/>
      </c>
      <c r="H562" s="23" t="str">
        <f>IFERROR(IF(Table57[[#This Row],[Out]]&gt;=Table57[[#This Row],[In]],Table57[[#This Row],[Out]]-Table57[[#This Row],[In]],(0.5+Table57[[#This Row],[Out]])-Table57[[#This Row],[In]]),"")</f>
        <v/>
      </c>
      <c r="I562" s="31" t="str">
        <f>IFERROR(IF(Table57[[#This Row],[In]]&gt;$C$2,Table57[[#This Row],[In]]-$C$2,""),"")</f>
        <v/>
      </c>
      <c r="J562" s="31" t="str">
        <f>IF(Table57[[#This Row],[Work_Hours]]=0,"",(IF(Table57[[#This Row],[Out]]&lt;$C$3,$C$3-Table57[[#This Row],[Out]],"")))</f>
        <v/>
      </c>
      <c r="K562" s="32" t="str">
        <f>IFERROR(Table57[[#This Row],[In]]+$C$1,"")</f>
        <v/>
      </c>
      <c r="L562" s="29"/>
      <c r="M562" s="31" t="str">
        <f>IF($C$2&gt;Table57[[#This Row],[In]],$C$2-Table57[[#This Row],[In]],"")</f>
        <v/>
      </c>
      <c r="N562" s="29" t="str">
        <f>IFERROR(IF(Table57[[#This Row],[Out]]&gt;$C$3,(Table57[[#This Row],[Out]])-($C$3),""),"")</f>
        <v/>
      </c>
    </row>
    <row r="563" spans="1:14" hidden="1" x14ac:dyDescent="0.25">
      <c r="A563" s="23" t="str">
        <f>Table57[[#This Row],[No.]]&amp;Table57[[#This Row],[Date]]</f>
        <v>00</v>
      </c>
      <c r="B563" s="22">
        <f>'Unique Dates'!A560</f>
        <v>0</v>
      </c>
      <c r="C563" s="22" t="e" cm="1">
        <f t="array" ref="C563">_xlfn.XLOOKUP(Table57[[#This Row],[No.]],Table2[[#All],[CODE]],Table2[[#All],[NAME]],,0,1)</f>
        <v>#N/A</v>
      </c>
      <c r="D563" s="6">
        <f>'Unique Dates'!B560</f>
        <v>0</v>
      </c>
      <c r="E563" t="str">
        <f>TEXT(Table57[[#This Row],[Date]],"dddd")</f>
        <v>Saturday</v>
      </c>
      <c r="F563" s="25" t="str" cm="1">
        <f t="array" ref="F563">IFERROR(_xlfn.XLOOKUP(Table57[[#This Row],[Code]],Table1[[#All],[Code]],Table1[[#All],[Time]],,0,1),"")</f>
        <v/>
      </c>
      <c r="G563" s="25" t="str" cm="1">
        <f t="array" ref="G563">IFERROR(_xlfn.XLOOKUP(Table57[[#This Row],[Code]],Table1[[#All],[Code]],Table1[[#All],[Time]],,0,-1),"")</f>
        <v/>
      </c>
      <c r="H563" s="23" t="str">
        <f>IFERROR(IF(Table57[[#This Row],[Out]]&gt;=Table57[[#This Row],[In]],Table57[[#This Row],[Out]]-Table57[[#This Row],[In]],(0.5+Table57[[#This Row],[Out]])-Table57[[#This Row],[In]]),"")</f>
        <v/>
      </c>
      <c r="I563" s="31" t="str">
        <f>IFERROR(IF(Table57[[#This Row],[In]]&gt;$C$2,Table57[[#This Row],[In]]-$C$2,""),"")</f>
        <v/>
      </c>
      <c r="J563" s="31" t="str">
        <f>IF(Table57[[#This Row],[Work_Hours]]=0,"",(IF(Table57[[#This Row],[Out]]&lt;$C$3,$C$3-Table57[[#This Row],[Out]],"")))</f>
        <v/>
      </c>
      <c r="K563" s="32" t="str">
        <f>IFERROR(Table57[[#This Row],[In]]+$C$1,"")</f>
        <v/>
      </c>
      <c r="L563" s="29"/>
      <c r="M563" s="31" t="str">
        <f>IF($C$2&gt;Table57[[#This Row],[In]],$C$2-Table57[[#This Row],[In]],"")</f>
        <v/>
      </c>
      <c r="N563" s="29" t="str">
        <f>IFERROR(IF(Table57[[#This Row],[Out]]&gt;$C$3,(Table57[[#This Row],[Out]])-($C$3),""),"")</f>
        <v/>
      </c>
    </row>
    <row r="564" spans="1:14" hidden="1" x14ac:dyDescent="0.25">
      <c r="A564" s="23" t="str">
        <f>Table57[[#This Row],[No.]]&amp;Table57[[#This Row],[Date]]</f>
        <v>00</v>
      </c>
      <c r="B564" s="22">
        <f>'Unique Dates'!A561</f>
        <v>0</v>
      </c>
      <c r="C564" s="22" t="e" cm="1">
        <f t="array" ref="C564">_xlfn.XLOOKUP(Table57[[#This Row],[No.]],Table2[[#All],[CODE]],Table2[[#All],[NAME]],,0,1)</f>
        <v>#N/A</v>
      </c>
      <c r="D564" s="6">
        <f>'Unique Dates'!B561</f>
        <v>0</v>
      </c>
      <c r="E564" t="str">
        <f>TEXT(Table57[[#This Row],[Date]],"dddd")</f>
        <v>Saturday</v>
      </c>
      <c r="F564" s="25" t="str" cm="1">
        <f t="array" ref="F564">IFERROR(_xlfn.XLOOKUP(Table57[[#This Row],[Code]],Table1[[#All],[Code]],Table1[[#All],[Time]],,0,1),"")</f>
        <v/>
      </c>
      <c r="G564" s="25" t="str" cm="1">
        <f t="array" ref="G564">IFERROR(_xlfn.XLOOKUP(Table57[[#This Row],[Code]],Table1[[#All],[Code]],Table1[[#All],[Time]],,0,-1),"")</f>
        <v/>
      </c>
      <c r="H564" s="23" t="str">
        <f>IFERROR(IF(Table57[[#This Row],[Out]]&gt;=Table57[[#This Row],[In]],Table57[[#This Row],[Out]]-Table57[[#This Row],[In]],(0.5+Table57[[#This Row],[Out]])-Table57[[#This Row],[In]]),"")</f>
        <v/>
      </c>
      <c r="I564" s="31" t="str">
        <f>IFERROR(IF(Table57[[#This Row],[In]]&gt;$C$2,Table57[[#This Row],[In]]-$C$2,""),"")</f>
        <v/>
      </c>
      <c r="J564" s="31" t="str">
        <f>IF(Table57[[#This Row],[Work_Hours]]=0,"",(IF(Table57[[#This Row],[Out]]&lt;$C$3,$C$3-Table57[[#This Row],[Out]],"")))</f>
        <v/>
      </c>
      <c r="K564" s="32" t="str">
        <f>IFERROR(Table57[[#This Row],[In]]+$C$1,"")</f>
        <v/>
      </c>
      <c r="L564" s="29"/>
      <c r="M564" s="31" t="str">
        <f>IF($C$2&gt;Table57[[#This Row],[In]],$C$2-Table57[[#This Row],[In]],"")</f>
        <v/>
      </c>
      <c r="N564" s="29" t="str">
        <f>IFERROR(IF(Table57[[#This Row],[Out]]&gt;$C$3,(Table57[[#This Row],[Out]])-($C$3),""),"")</f>
        <v/>
      </c>
    </row>
    <row r="565" spans="1:14" hidden="1" x14ac:dyDescent="0.25">
      <c r="A565" s="23" t="str">
        <f>Table57[[#This Row],[No.]]&amp;Table57[[#This Row],[Date]]</f>
        <v>00</v>
      </c>
      <c r="B565" s="22">
        <f>'Unique Dates'!A562</f>
        <v>0</v>
      </c>
      <c r="C565" s="22" t="e" cm="1">
        <f t="array" ref="C565">_xlfn.XLOOKUP(Table57[[#This Row],[No.]],Table2[[#All],[CODE]],Table2[[#All],[NAME]],,0,1)</f>
        <v>#N/A</v>
      </c>
      <c r="D565" s="6">
        <f>'Unique Dates'!B562</f>
        <v>0</v>
      </c>
      <c r="E565" t="str">
        <f>TEXT(Table57[[#This Row],[Date]],"dddd")</f>
        <v>Saturday</v>
      </c>
      <c r="F565" s="25" t="str" cm="1">
        <f t="array" ref="F565">IFERROR(_xlfn.XLOOKUP(Table57[[#This Row],[Code]],Table1[[#All],[Code]],Table1[[#All],[Time]],,0,1),"")</f>
        <v/>
      </c>
      <c r="G565" s="25" t="str" cm="1">
        <f t="array" ref="G565">IFERROR(_xlfn.XLOOKUP(Table57[[#This Row],[Code]],Table1[[#All],[Code]],Table1[[#All],[Time]],,0,-1),"")</f>
        <v/>
      </c>
      <c r="H565" s="23" t="str">
        <f>IFERROR(IF(Table57[[#This Row],[Out]]&gt;=Table57[[#This Row],[In]],Table57[[#This Row],[Out]]-Table57[[#This Row],[In]],(0.5+Table57[[#This Row],[Out]])-Table57[[#This Row],[In]]),"")</f>
        <v/>
      </c>
      <c r="I565" s="31" t="str">
        <f>IFERROR(IF(Table57[[#This Row],[In]]&gt;$C$2,Table57[[#This Row],[In]]-$C$2,""),"")</f>
        <v/>
      </c>
      <c r="J565" s="31" t="str">
        <f>IF(Table57[[#This Row],[Work_Hours]]=0,"",(IF(Table57[[#This Row],[Out]]&lt;$C$3,$C$3-Table57[[#This Row],[Out]],"")))</f>
        <v/>
      </c>
      <c r="K565" s="32" t="str">
        <f>IFERROR(Table57[[#This Row],[In]]+$C$1,"")</f>
        <v/>
      </c>
      <c r="L565" s="29"/>
      <c r="M565" s="31" t="str">
        <f>IF($C$2&gt;Table57[[#This Row],[In]],$C$2-Table57[[#This Row],[In]],"")</f>
        <v/>
      </c>
      <c r="N565" s="29" t="str">
        <f>IFERROR(IF(Table57[[#This Row],[Out]]&gt;$C$3,(Table57[[#This Row],[Out]])-($C$3),""),"")</f>
        <v/>
      </c>
    </row>
    <row r="566" spans="1:14" hidden="1" x14ac:dyDescent="0.25">
      <c r="A566" s="23" t="str">
        <f>Table57[[#This Row],[No.]]&amp;Table57[[#This Row],[Date]]</f>
        <v>00</v>
      </c>
      <c r="B566" s="22">
        <f>'Unique Dates'!A563</f>
        <v>0</v>
      </c>
      <c r="C566" s="22" t="e" cm="1">
        <f t="array" ref="C566">_xlfn.XLOOKUP(Table57[[#This Row],[No.]],Table2[[#All],[CODE]],Table2[[#All],[NAME]],,0,1)</f>
        <v>#N/A</v>
      </c>
      <c r="D566" s="6">
        <f>'Unique Dates'!B563</f>
        <v>0</v>
      </c>
      <c r="E566" t="str">
        <f>TEXT(Table57[[#This Row],[Date]],"dddd")</f>
        <v>Saturday</v>
      </c>
      <c r="F566" s="25" t="str" cm="1">
        <f t="array" ref="F566">IFERROR(_xlfn.XLOOKUP(Table57[[#This Row],[Code]],Table1[[#All],[Code]],Table1[[#All],[Time]],,0,1),"")</f>
        <v/>
      </c>
      <c r="G566" s="25" t="str" cm="1">
        <f t="array" ref="G566">IFERROR(_xlfn.XLOOKUP(Table57[[#This Row],[Code]],Table1[[#All],[Code]],Table1[[#All],[Time]],,0,-1),"")</f>
        <v/>
      </c>
      <c r="H566" s="23" t="str">
        <f>IFERROR(IF(Table57[[#This Row],[Out]]&gt;=Table57[[#This Row],[In]],Table57[[#This Row],[Out]]-Table57[[#This Row],[In]],(0.5+Table57[[#This Row],[Out]])-Table57[[#This Row],[In]]),"")</f>
        <v/>
      </c>
      <c r="I566" s="31" t="str">
        <f>IFERROR(IF(Table57[[#This Row],[In]]&gt;$C$2,Table57[[#This Row],[In]]-$C$2,""),"")</f>
        <v/>
      </c>
      <c r="J566" s="31" t="str">
        <f>IF(Table57[[#This Row],[Work_Hours]]=0,"",(IF(Table57[[#This Row],[Out]]&lt;$C$3,$C$3-Table57[[#This Row],[Out]],"")))</f>
        <v/>
      </c>
      <c r="K566" s="32" t="str">
        <f>IFERROR(Table57[[#This Row],[In]]+$C$1,"")</f>
        <v/>
      </c>
      <c r="L566" s="29"/>
      <c r="M566" s="31" t="str">
        <f>IF($C$2&gt;Table57[[#This Row],[In]],$C$2-Table57[[#This Row],[In]],"")</f>
        <v/>
      </c>
      <c r="N566" s="29" t="str">
        <f>IFERROR(IF(Table57[[#This Row],[Out]]&gt;$C$3,(Table57[[#This Row],[Out]])-($C$3),""),"")</f>
        <v/>
      </c>
    </row>
    <row r="567" spans="1:14" hidden="1" x14ac:dyDescent="0.25">
      <c r="A567" s="23" t="str">
        <f>Table57[[#This Row],[No.]]&amp;Table57[[#This Row],[Date]]</f>
        <v>00</v>
      </c>
      <c r="B567" s="22">
        <f>'Unique Dates'!A564</f>
        <v>0</v>
      </c>
      <c r="C567" s="22" t="e" cm="1">
        <f t="array" ref="C567">_xlfn.XLOOKUP(Table57[[#This Row],[No.]],Table2[[#All],[CODE]],Table2[[#All],[NAME]],,0,1)</f>
        <v>#N/A</v>
      </c>
      <c r="D567" s="6">
        <f>'Unique Dates'!B564</f>
        <v>0</v>
      </c>
      <c r="E567" t="str">
        <f>TEXT(Table57[[#This Row],[Date]],"dddd")</f>
        <v>Saturday</v>
      </c>
      <c r="F567" s="25" t="str" cm="1">
        <f t="array" ref="F567">IFERROR(_xlfn.XLOOKUP(Table57[[#This Row],[Code]],Table1[[#All],[Code]],Table1[[#All],[Time]],,0,1),"")</f>
        <v/>
      </c>
      <c r="G567" s="25" t="str" cm="1">
        <f t="array" ref="G567">IFERROR(_xlfn.XLOOKUP(Table57[[#This Row],[Code]],Table1[[#All],[Code]],Table1[[#All],[Time]],,0,-1),"")</f>
        <v/>
      </c>
      <c r="H567" s="23" t="str">
        <f>IFERROR(IF(Table57[[#This Row],[Out]]&gt;=Table57[[#This Row],[In]],Table57[[#This Row],[Out]]-Table57[[#This Row],[In]],(0.5+Table57[[#This Row],[Out]])-Table57[[#This Row],[In]]),"")</f>
        <v/>
      </c>
      <c r="I567" s="31" t="str">
        <f>IFERROR(IF(Table57[[#This Row],[In]]&gt;$C$2,Table57[[#This Row],[In]]-$C$2,""),"")</f>
        <v/>
      </c>
      <c r="J567" s="31" t="str">
        <f>IF(Table57[[#This Row],[Work_Hours]]=0,"",(IF(Table57[[#This Row],[Out]]&lt;$C$3,$C$3-Table57[[#This Row],[Out]],"")))</f>
        <v/>
      </c>
      <c r="K567" s="32" t="str">
        <f>IFERROR(Table57[[#This Row],[In]]+$C$1,"")</f>
        <v/>
      </c>
      <c r="L567" s="29"/>
      <c r="M567" s="31" t="str">
        <f>IF($C$2&gt;Table57[[#This Row],[In]],$C$2-Table57[[#This Row],[In]],"")</f>
        <v/>
      </c>
      <c r="N567" s="29" t="str">
        <f>IFERROR(IF(Table57[[#This Row],[Out]]&gt;$C$3,(Table57[[#This Row],[Out]])-($C$3),""),"")</f>
        <v/>
      </c>
    </row>
    <row r="568" spans="1:14" hidden="1" x14ac:dyDescent="0.25">
      <c r="A568" s="23" t="str">
        <f>Table57[[#This Row],[No.]]&amp;Table57[[#This Row],[Date]]</f>
        <v>00</v>
      </c>
      <c r="B568" s="22">
        <f>'Unique Dates'!A565</f>
        <v>0</v>
      </c>
      <c r="C568" s="22" t="e" cm="1">
        <f t="array" ref="C568">_xlfn.XLOOKUP(Table57[[#This Row],[No.]],Table2[[#All],[CODE]],Table2[[#All],[NAME]],,0,1)</f>
        <v>#N/A</v>
      </c>
      <c r="D568" s="6">
        <f>'Unique Dates'!B565</f>
        <v>0</v>
      </c>
      <c r="E568" t="str">
        <f>TEXT(Table57[[#This Row],[Date]],"dddd")</f>
        <v>Saturday</v>
      </c>
      <c r="F568" s="25" t="str" cm="1">
        <f t="array" ref="F568">IFERROR(_xlfn.XLOOKUP(Table57[[#This Row],[Code]],Table1[[#All],[Code]],Table1[[#All],[Time]],,0,1),"")</f>
        <v/>
      </c>
      <c r="G568" s="25" t="str" cm="1">
        <f t="array" ref="G568">IFERROR(_xlfn.XLOOKUP(Table57[[#This Row],[Code]],Table1[[#All],[Code]],Table1[[#All],[Time]],,0,-1),"")</f>
        <v/>
      </c>
      <c r="H568" s="23" t="str">
        <f>IFERROR(IF(Table57[[#This Row],[Out]]&gt;=Table57[[#This Row],[In]],Table57[[#This Row],[Out]]-Table57[[#This Row],[In]],(0.5+Table57[[#This Row],[Out]])-Table57[[#This Row],[In]]),"")</f>
        <v/>
      </c>
      <c r="I568" s="31" t="str">
        <f>IFERROR(IF(Table57[[#This Row],[In]]&gt;$C$2,Table57[[#This Row],[In]]-$C$2,""),"")</f>
        <v/>
      </c>
      <c r="J568" s="31" t="str">
        <f>IF(Table57[[#This Row],[Work_Hours]]=0,"",(IF(Table57[[#This Row],[Out]]&lt;$C$3,$C$3-Table57[[#This Row],[Out]],"")))</f>
        <v/>
      </c>
      <c r="K568" s="32" t="str">
        <f>IFERROR(Table57[[#This Row],[In]]+$C$1,"")</f>
        <v/>
      </c>
      <c r="L568" s="29"/>
      <c r="M568" s="31" t="str">
        <f>IF($C$2&gt;Table57[[#This Row],[In]],$C$2-Table57[[#This Row],[In]],"")</f>
        <v/>
      </c>
      <c r="N568" s="29" t="str">
        <f>IFERROR(IF(Table57[[#This Row],[Out]]&gt;$C$3,(Table57[[#This Row],[Out]])-($C$3),""),"")</f>
        <v/>
      </c>
    </row>
    <row r="569" spans="1:14" hidden="1" x14ac:dyDescent="0.25">
      <c r="A569" s="23" t="str">
        <f>Table57[[#This Row],[No.]]&amp;Table57[[#This Row],[Date]]</f>
        <v>00</v>
      </c>
      <c r="B569" s="22">
        <f>'Unique Dates'!A566</f>
        <v>0</v>
      </c>
      <c r="C569" s="22" t="e" cm="1">
        <f t="array" ref="C569">_xlfn.XLOOKUP(Table57[[#This Row],[No.]],Table2[[#All],[CODE]],Table2[[#All],[NAME]],,0,1)</f>
        <v>#N/A</v>
      </c>
      <c r="D569" s="6">
        <f>'Unique Dates'!B566</f>
        <v>0</v>
      </c>
      <c r="E569" t="str">
        <f>TEXT(Table57[[#This Row],[Date]],"dddd")</f>
        <v>Saturday</v>
      </c>
      <c r="F569" s="25" t="str" cm="1">
        <f t="array" ref="F569">IFERROR(_xlfn.XLOOKUP(Table57[[#This Row],[Code]],Table1[[#All],[Code]],Table1[[#All],[Time]],,0,1),"")</f>
        <v/>
      </c>
      <c r="G569" s="25" t="str" cm="1">
        <f t="array" ref="G569">IFERROR(_xlfn.XLOOKUP(Table57[[#This Row],[Code]],Table1[[#All],[Code]],Table1[[#All],[Time]],,0,-1),"")</f>
        <v/>
      </c>
      <c r="H569" s="23" t="str">
        <f>IFERROR(IF(Table57[[#This Row],[Out]]&gt;=Table57[[#This Row],[In]],Table57[[#This Row],[Out]]-Table57[[#This Row],[In]],(0.5+Table57[[#This Row],[Out]])-Table57[[#This Row],[In]]),"")</f>
        <v/>
      </c>
      <c r="I569" s="31" t="str">
        <f>IFERROR(IF(Table57[[#This Row],[In]]&gt;$C$2,Table57[[#This Row],[In]]-$C$2,""),"")</f>
        <v/>
      </c>
      <c r="J569" s="31" t="str">
        <f>IF(Table57[[#This Row],[Work_Hours]]=0,"",(IF(Table57[[#This Row],[Out]]&lt;$C$3,$C$3-Table57[[#This Row],[Out]],"")))</f>
        <v/>
      </c>
      <c r="K569" s="32" t="str">
        <f>IFERROR(Table57[[#This Row],[In]]+$C$1,"")</f>
        <v/>
      </c>
      <c r="L569" s="29"/>
      <c r="M569" s="31" t="str">
        <f>IF($C$2&gt;Table57[[#This Row],[In]],$C$2-Table57[[#This Row],[In]],"")</f>
        <v/>
      </c>
      <c r="N569" s="29" t="str">
        <f>IFERROR(IF(Table57[[#This Row],[Out]]&gt;$C$3,(Table57[[#This Row],[Out]])-($C$3),""),"")</f>
        <v/>
      </c>
    </row>
    <row r="570" spans="1:14" hidden="1" x14ac:dyDescent="0.25">
      <c r="A570" s="23" t="str">
        <f>Table57[[#This Row],[No.]]&amp;Table57[[#This Row],[Date]]</f>
        <v>00</v>
      </c>
      <c r="B570" s="22">
        <f>'Unique Dates'!A567</f>
        <v>0</v>
      </c>
      <c r="C570" s="22" t="e" cm="1">
        <f t="array" ref="C570">_xlfn.XLOOKUP(Table57[[#This Row],[No.]],Table2[[#All],[CODE]],Table2[[#All],[NAME]],,0,1)</f>
        <v>#N/A</v>
      </c>
      <c r="D570" s="6">
        <f>'Unique Dates'!B567</f>
        <v>0</v>
      </c>
      <c r="E570" t="str">
        <f>TEXT(Table57[[#This Row],[Date]],"dddd")</f>
        <v>Saturday</v>
      </c>
      <c r="F570" s="25" t="str" cm="1">
        <f t="array" ref="F570">IFERROR(_xlfn.XLOOKUP(Table57[[#This Row],[Code]],Table1[[#All],[Code]],Table1[[#All],[Time]],,0,1),"")</f>
        <v/>
      </c>
      <c r="G570" s="25" t="str" cm="1">
        <f t="array" ref="G570">IFERROR(_xlfn.XLOOKUP(Table57[[#This Row],[Code]],Table1[[#All],[Code]],Table1[[#All],[Time]],,0,-1),"")</f>
        <v/>
      </c>
      <c r="H570" s="23" t="str">
        <f>IFERROR(IF(Table57[[#This Row],[Out]]&gt;=Table57[[#This Row],[In]],Table57[[#This Row],[Out]]-Table57[[#This Row],[In]],(0.5+Table57[[#This Row],[Out]])-Table57[[#This Row],[In]]),"")</f>
        <v/>
      </c>
      <c r="I570" s="31" t="str">
        <f>IFERROR(IF(Table57[[#This Row],[In]]&gt;$C$2,Table57[[#This Row],[In]]-$C$2,""),"")</f>
        <v/>
      </c>
      <c r="J570" s="31" t="str">
        <f>IF(Table57[[#This Row],[Work_Hours]]=0,"",(IF(Table57[[#This Row],[Out]]&lt;$C$3,$C$3-Table57[[#This Row],[Out]],"")))</f>
        <v/>
      </c>
      <c r="K570" s="32" t="str">
        <f>IFERROR(Table57[[#This Row],[In]]+$C$1,"")</f>
        <v/>
      </c>
      <c r="L570" s="29"/>
      <c r="M570" s="31" t="str">
        <f>IF($C$2&gt;Table57[[#This Row],[In]],$C$2-Table57[[#This Row],[In]],"")</f>
        <v/>
      </c>
      <c r="N570" s="29" t="str">
        <f>IFERROR(IF(Table57[[#This Row],[Out]]&gt;$C$3,(Table57[[#This Row],[Out]])-($C$3),""),"")</f>
        <v/>
      </c>
    </row>
    <row r="571" spans="1:14" hidden="1" x14ac:dyDescent="0.25">
      <c r="A571" s="23" t="str">
        <f>Table57[[#This Row],[No.]]&amp;Table57[[#This Row],[Date]]</f>
        <v>00</v>
      </c>
      <c r="B571" s="22">
        <f>'Unique Dates'!A568</f>
        <v>0</v>
      </c>
      <c r="C571" s="22" t="e" cm="1">
        <f t="array" ref="C571">_xlfn.XLOOKUP(Table57[[#This Row],[No.]],Table2[[#All],[CODE]],Table2[[#All],[NAME]],,0,1)</f>
        <v>#N/A</v>
      </c>
      <c r="D571" s="6">
        <f>'Unique Dates'!B568</f>
        <v>0</v>
      </c>
      <c r="E571" t="str">
        <f>TEXT(Table57[[#This Row],[Date]],"dddd")</f>
        <v>Saturday</v>
      </c>
      <c r="F571" s="25" t="str" cm="1">
        <f t="array" ref="F571">IFERROR(_xlfn.XLOOKUP(Table57[[#This Row],[Code]],Table1[[#All],[Code]],Table1[[#All],[Time]],,0,1),"")</f>
        <v/>
      </c>
      <c r="G571" s="25" t="str" cm="1">
        <f t="array" ref="G571">IFERROR(_xlfn.XLOOKUP(Table57[[#This Row],[Code]],Table1[[#All],[Code]],Table1[[#All],[Time]],,0,-1),"")</f>
        <v/>
      </c>
      <c r="H571" s="23" t="str">
        <f>IFERROR(IF(Table57[[#This Row],[Out]]&gt;=Table57[[#This Row],[In]],Table57[[#This Row],[Out]]-Table57[[#This Row],[In]],(0.5+Table57[[#This Row],[Out]])-Table57[[#This Row],[In]]),"")</f>
        <v/>
      </c>
      <c r="I571" s="31" t="str">
        <f>IFERROR(IF(Table57[[#This Row],[In]]&gt;$C$2,Table57[[#This Row],[In]]-$C$2,""),"")</f>
        <v/>
      </c>
      <c r="J571" s="31" t="str">
        <f>IF(Table57[[#This Row],[Work_Hours]]=0,"",(IF(Table57[[#This Row],[Out]]&lt;$C$3,$C$3-Table57[[#This Row],[Out]],"")))</f>
        <v/>
      </c>
      <c r="K571" s="32" t="str">
        <f>IFERROR(Table57[[#This Row],[In]]+$C$1,"")</f>
        <v/>
      </c>
      <c r="L571" s="29"/>
      <c r="M571" s="31" t="str">
        <f>IF($C$2&gt;Table57[[#This Row],[In]],$C$2-Table57[[#This Row],[In]],"")</f>
        <v/>
      </c>
      <c r="N571" s="29" t="str">
        <f>IFERROR(IF(Table57[[#This Row],[Out]]&gt;$C$3,(Table57[[#This Row],[Out]])-($C$3),""),"")</f>
        <v/>
      </c>
    </row>
    <row r="572" spans="1:14" hidden="1" x14ac:dyDescent="0.25">
      <c r="A572" s="23" t="str">
        <f>Table57[[#This Row],[No.]]&amp;Table57[[#This Row],[Date]]</f>
        <v>00</v>
      </c>
      <c r="B572" s="22">
        <f>'Unique Dates'!A569</f>
        <v>0</v>
      </c>
      <c r="C572" s="22" t="e" cm="1">
        <f t="array" ref="C572">_xlfn.XLOOKUP(Table57[[#This Row],[No.]],Table2[[#All],[CODE]],Table2[[#All],[NAME]],,0,1)</f>
        <v>#N/A</v>
      </c>
      <c r="D572" s="6">
        <f>'Unique Dates'!B569</f>
        <v>0</v>
      </c>
      <c r="E572" t="str">
        <f>TEXT(Table57[[#This Row],[Date]],"dddd")</f>
        <v>Saturday</v>
      </c>
      <c r="F572" s="25" t="str" cm="1">
        <f t="array" ref="F572">IFERROR(_xlfn.XLOOKUP(Table57[[#This Row],[Code]],Table1[[#All],[Code]],Table1[[#All],[Time]],,0,1),"")</f>
        <v/>
      </c>
      <c r="G572" s="25" t="str" cm="1">
        <f t="array" ref="G572">IFERROR(_xlfn.XLOOKUP(Table57[[#This Row],[Code]],Table1[[#All],[Code]],Table1[[#All],[Time]],,0,-1),"")</f>
        <v/>
      </c>
      <c r="H572" s="23" t="str">
        <f>IFERROR(IF(Table57[[#This Row],[Out]]&gt;=Table57[[#This Row],[In]],Table57[[#This Row],[Out]]-Table57[[#This Row],[In]],(0.5+Table57[[#This Row],[Out]])-Table57[[#This Row],[In]]),"")</f>
        <v/>
      </c>
      <c r="I572" s="31" t="str">
        <f>IFERROR(IF(Table57[[#This Row],[In]]&gt;$C$2,Table57[[#This Row],[In]]-$C$2,""),"")</f>
        <v/>
      </c>
      <c r="J572" s="31" t="str">
        <f>IF(Table57[[#This Row],[Work_Hours]]=0,"",(IF(Table57[[#This Row],[Out]]&lt;$C$3,$C$3-Table57[[#This Row],[Out]],"")))</f>
        <v/>
      </c>
      <c r="K572" s="32" t="str">
        <f>IFERROR(Table57[[#This Row],[In]]+$C$1,"")</f>
        <v/>
      </c>
      <c r="L572" s="29"/>
      <c r="M572" s="31" t="str">
        <f>IF($C$2&gt;Table57[[#This Row],[In]],$C$2-Table57[[#This Row],[In]],"")</f>
        <v/>
      </c>
      <c r="N572" s="29" t="str">
        <f>IFERROR(IF(Table57[[#This Row],[Out]]&gt;$C$3,(Table57[[#This Row],[Out]])-($C$3),""),"")</f>
        <v/>
      </c>
    </row>
    <row r="573" spans="1:14" hidden="1" x14ac:dyDescent="0.25">
      <c r="A573" s="23" t="str">
        <f>Table57[[#This Row],[No.]]&amp;Table57[[#This Row],[Date]]</f>
        <v>00</v>
      </c>
      <c r="B573" s="22">
        <f>'Unique Dates'!A570</f>
        <v>0</v>
      </c>
      <c r="C573" s="22" t="e" cm="1">
        <f t="array" ref="C573">_xlfn.XLOOKUP(Table57[[#This Row],[No.]],Table2[[#All],[CODE]],Table2[[#All],[NAME]],,0,1)</f>
        <v>#N/A</v>
      </c>
      <c r="D573" s="6">
        <f>'Unique Dates'!B570</f>
        <v>0</v>
      </c>
      <c r="E573" t="str">
        <f>TEXT(Table57[[#This Row],[Date]],"dddd")</f>
        <v>Saturday</v>
      </c>
      <c r="F573" s="25" t="str" cm="1">
        <f t="array" ref="F573">IFERROR(_xlfn.XLOOKUP(Table57[[#This Row],[Code]],Table1[[#All],[Code]],Table1[[#All],[Time]],,0,1),"")</f>
        <v/>
      </c>
      <c r="G573" s="25" t="str" cm="1">
        <f t="array" ref="G573">IFERROR(_xlfn.XLOOKUP(Table57[[#This Row],[Code]],Table1[[#All],[Code]],Table1[[#All],[Time]],,0,-1),"")</f>
        <v/>
      </c>
      <c r="H573" s="23" t="str">
        <f>IFERROR(IF(Table57[[#This Row],[Out]]&gt;=Table57[[#This Row],[In]],Table57[[#This Row],[Out]]-Table57[[#This Row],[In]],(0.5+Table57[[#This Row],[Out]])-Table57[[#This Row],[In]]),"")</f>
        <v/>
      </c>
      <c r="I573" s="31" t="str">
        <f>IFERROR(IF(Table57[[#This Row],[In]]&gt;$C$2,Table57[[#This Row],[In]]-$C$2,""),"")</f>
        <v/>
      </c>
      <c r="J573" s="31" t="str">
        <f>IF(Table57[[#This Row],[Work_Hours]]=0,"",(IF(Table57[[#This Row],[Out]]&lt;$C$3,$C$3-Table57[[#This Row],[Out]],"")))</f>
        <v/>
      </c>
      <c r="K573" s="32" t="str">
        <f>IFERROR(Table57[[#This Row],[In]]+$C$1,"")</f>
        <v/>
      </c>
      <c r="L573" s="29"/>
      <c r="M573" s="31" t="str">
        <f>IF($C$2&gt;Table57[[#This Row],[In]],$C$2-Table57[[#This Row],[In]],"")</f>
        <v/>
      </c>
      <c r="N573" s="29" t="str">
        <f>IFERROR(IF(Table57[[#This Row],[Out]]&gt;$C$3,(Table57[[#This Row],[Out]])-($C$3),""),"")</f>
        <v/>
      </c>
    </row>
    <row r="574" spans="1:14" hidden="1" x14ac:dyDescent="0.25">
      <c r="A574" s="23" t="str">
        <f>Table57[[#This Row],[No.]]&amp;Table57[[#This Row],[Date]]</f>
        <v>00</v>
      </c>
      <c r="B574" s="22">
        <f>'Unique Dates'!A571</f>
        <v>0</v>
      </c>
      <c r="C574" s="22" t="e" cm="1">
        <f t="array" ref="C574">_xlfn.XLOOKUP(Table57[[#This Row],[No.]],Table2[[#All],[CODE]],Table2[[#All],[NAME]],,0,1)</f>
        <v>#N/A</v>
      </c>
      <c r="D574" s="6">
        <f>'Unique Dates'!B571</f>
        <v>0</v>
      </c>
      <c r="E574" t="str">
        <f>TEXT(Table57[[#This Row],[Date]],"dddd")</f>
        <v>Saturday</v>
      </c>
      <c r="F574" s="25" t="str" cm="1">
        <f t="array" ref="F574">IFERROR(_xlfn.XLOOKUP(Table57[[#This Row],[Code]],Table1[[#All],[Code]],Table1[[#All],[Time]],,0,1),"")</f>
        <v/>
      </c>
      <c r="G574" s="25" t="str" cm="1">
        <f t="array" ref="G574">IFERROR(_xlfn.XLOOKUP(Table57[[#This Row],[Code]],Table1[[#All],[Code]],Table1[[#All],[Time]],,0,-1),"")</f>
        <v/>
      </c>
      <c r="H574" s="23" t="str">
        <f>IFERROR(IF(Table57[[#This Row],[Out]]&gt;=Table57[[#This Row],[In]],Table57[[#This Row],[Out]]-Table57[[#This Row],[In]],(0.5+Table57[[#This Row],[Out]])-Table57[[#This Row],[In]]),"")</f>
        <v/>
      </c>
      <c r="I574" s="31" t="str">
        <f>IFERROR(IF(Table57[[#This Row],[In]]&gt;$C$2,Table57[[#This Row],[In]]-$C$2,""),"")</f>
        <v/>
      </c>
      <c r="J574" s="31" t="str">
        <f>IF(Table57[[#This Row],[Work_Hours]]=0,"",(IF(Table57[[#This Row],[Out]]&lt;$C$3,$C$3-Table57[[#This Row],[Out]],"")))</f>
        <v/>
      </c>
      <c r="K574" s="32" t="str">
        <f>IFERROR(Table57[[#This Row],[In]]+$C$1,"")</f>
        <v/>
      </c>
      <c r="L574" s="29"/>
      <c r="M574" s="31" t="str">
        <f>IF($C$2&gt;Table57[[#This Row],[In]],$C$2-Table57[[#This Row],[In]],"")</f>
        <v/>
      </c>
      <c r="N574" s="29" t="str">
        <f>IFERROR(IF(Table57[[#This Row],[Out]]&gt;$C$3,(Table57[[#This Row],[Out]])-($C$3),""),"")</f>
        <v/>
      </c>
    </row>
    <row r="575" spans="1:14" hidden="1" x14ac:dyDescent="0.25">
      <c r="A575" s="23" t="str">
        <f>Table57[[#This Row],[No.]]&amp;Table57[[#This Row],[Date]]</f>
        <v>00</v>
      </c>
      <c r="B575" s="22">
        <f>'Unique Dates'!A572</f>
        <v>0</v>
      </c>
      <c r="C575" s="22" t="e" cm="1">
        <f t="array" ref="C575">_xlfn.XLOOKUP(Table57[[#This Row],[No.]],Table2[[#All],[CODE]],Table2[[#All],[NAME]],,0,1)</f>
        <v>#N/A</v>
      </c>
      <c r="D575" s="6">
        <f>'Unique Dates'!B572</f>
        <v>0</v>
      </c>
      <c r="E575" t="str">
        <f>TEXT(Table57[[#This Row],[Date]],"dddd")</f>
        <v>Saturday</v>
      </c>
      <c r="F575" s="25" t="str" cm="1">
        <f t="array" ref="F575">IFERROR(_xlfn.XLOOKUP(Table57[[#This Row],[Code]],Table1[[#All],[Code]],Table1[[#All],[Time]],,0,1),"")</f>
        <v/>
      </c>
      <c r="G575" s="25" t="str" cm="1">
        <f t="array" ref="G575">IFERROR(_xlfn.XLOOKUP(Table57[[#This Row],[Code]],Table1[[#All],[Code]],Table1[[#All],[Time]],,0,-1),"")</f>
        <v/>
      </c>
      <c r="H575" s="23" t="str">
        <f>IFERROR(IF(Table57[[#This Row],[Out]]&gt;=Table57[[#This Row],[In]],Table57[[#This Row],[Out]]-Table57[[#This Row],[In]],(0.5+Table57[[#This Row],[Out]])-Table57[[#This Row],[In]]),"")</f>
        <v/>
      </c>
      <c r="I575" s="31" t="str">
        <f>IFERROR(IF(Table57[[#This Row],[In]]&gt;$C$2,Table57[[#This Row],[In]]-$C$2,""),"")</f>
        <v/>
      </c>
      <c r="J575" s="31" t="str">
        <f>IF(Table57[[#This Row],[Work_Hours]]=0,"",(IF(Table57[[#This Row],[Out]]&lt;$C$3,$C$3-Table57[[#This Row],[Out]],"")))</f>
        <v/>
      </c>
      <c r="K575" s="32" t="str">
        <f>IFERROR(Table57[[#This Row],[In]]+$C$1,"")</f>
        <v/>
      </c>
      <c r="L575" s="29"/>
      <c r="M575" s="31" t="str">
        <f>IF($C$2&gt;Table57[[#This Row],[In]],$C$2-Table57[[#This Row],[In]],"")</f>
        <v/>
      </c>
      <c r="N575" s="29" t="str">
        <f>IFERROR(IF(Table57[[#This Row],[Out]]&gt;$C$3,(Table57[[#This Row],[Out]])-($C$3),""),"")</f>
        <v/>
      </c>
    </row>
    <row r="576" spans="1:14" hidden="1" x14ac:dyDescent="0.25">
      <c r="A576" s="23" t="str">
        <f>Table57[[#This Row],[No.]]&amp;Table57[[#This Row],[Date]]</f>
        <v>00</v>
      </c>
      <c r="B576" s="22">
        <f>'Unique Dates'!A573</f>
        <v>0</v>
      </c>
      <c r="C576" s="22" t="e" cm="1">
        <f t="array" ref="C576">_xlfn.XLOOKUP(Table57[[#This Row],[No.]],Table2[[#All],[CODE]],Table2[[#All],[NAME]],,0,1)</f>
        <v>#N/A</v>
      </c>
      <c r="D576" s="6">
        <f>'Unique Dates'!B573</f>
        <v>0</v>
      </c>
      <c r="E576" t="str">
        <f>TEXT(Table57[[#This Row],[Date]],"dddd")</f>
        <v>Saturday</v>
      </c>
      <c r="F576" s="25" t="str" cm="1">
        <f t="array" ref="F576">IFERROR(_xlfn.XLOOKUP(Table57[[#This Row],[Code]],Table1[[#All],[Code]],Table1[[#All],[Time]],,0,1),"")</f>
        <v/>
      </c>
      <c r="G576" s="25" t="str" cm="1">
        <f t="array" ref="G576">IFERROR(_xlfn.XLOOKUP(Table57[[#This Row],[Code]],Table1[[#All],[Code]],Table1[[#All],[Time]],,0,-1),"")</f>
        <v/>
      </c>
      <c r="H576" s="23" t="str">
        <f>IFERROR(IF(Table57[[#This Row],[Out]]&gt;=Table57[[#This Row],[In]],Table57[[#This Row],[Out]]-Table57[[#This Row],[In]],(0.5+Table57[[#This Row],[Out]])-Table57[[#This Row],[In]]),"")</f>
        <v/>
      </c>
      <c r="I576" s="31" t="str">
        <f>IFERROR(IF(Table57[[#This Row],[In]]&gt;$C$2,Table57[[#This Row],[In]]-$C$2,""),"")</f>
        <v/>
      </c>
      <c r="J576" s="31" t="str">
        <f>IF(Table57[[#This Row],[Work_Hours]]=0,"",(IF(Table57[[#This Row],[Out]]&lt;$C$3,$C$3-Table57[[#This Row],[Out]],"")))</f>
        <v/>
      </c>
      <c r="K576" s="32" t="str">
        <f>IFERROR(Table57[[#This Row],[In]]+$C$1,"")</f>
        <v/>
      </c>
      <c r="L576" s="29"/>
      <c r="M576" s="31" t="str">
        <f>IF($C$2&gt;Table57[[#This Row],[In]],$C$2-Table57[[#This Row],[In]],"")</f>
        <v/>
      </c>
      <c r="N576" s="29" t="str">
        <f>IFERROR(IF(Table57[[#This Row],[Out]]&gt;$C$3,(Table57[[#This Row],[Out]])-($C$3),""),"")</f>
        <v/>
      </c>
    </row>
    <row r="577" spans="1:14" hidden="1" x14ac:dyDescent="0.25">
      <c r="A577" s="23" t="str">
        <f>Table57[[#This Row],[No.]]&amp;Table57[[#This Row],[Date]]</f>
        <v>00</v>
      </c>
      <c r="B577" s="22">
        <f>'Unique Dates'!A574</f>
        <v>0</v>
      </c>
      <c r="C577" s="22" t="e" cm="1">
        <f t="array" ref="C577">_xlfn.XLOOKUP(Table57[[#This Row],[No.]],Table2[[#All],[CODE]],Table2[[#All],[NAME]],,0,1)</f>
        <v>#N/A</v>
      </c>
      <c r="D577" s="6">
        <f>'Unique Dates'!B574</f>
        <v>0</v>
      </c>
      <c r="E577" t="str">
        <f>TEXT(Table57[[#This Row],[Date]],"dddd")</f>
        <v>Saturday</v>
      </c>
      <c r="F577" s="25" t="str" cm="1">
        <f t="array" ref="F577">IFERROR(_xlfn.XLOOKUP(Table57[[#This Row],[Code]],Table1[[#All],[Code]],Table1[[#All],[Time]],,0,1),"")</f>
        <v/>
      </c>
      <c r="G577" s="25" t="str" cm="1">
        <f t="array" ref="G577">IFERROR(_xlfn.XLOOKUP(Table57[[#This Row],[Code]],Table1[[#All],[Code]],Table1[[#All],[Time]],,0,-1),"")</f>
        <v/>
      </c>
      <c r="H577" s="23" t="str">
        <f>IFERROR(IF(Table57[[#This Row],[Out]]&gt;=Table57[[#This Row],[In]],Table57[[#This Row],[Out]]-Table57[[#This Row],[In]],(0.5+Table57[[#This Row],[Out]])-Table57[[#This Row],[In]]),"")</f>
        <v/>
      </c>
      <c r="I577" s="31" t="str">
        <f>IFERROR(IF(Table57[[#This Row],[In]]&gt;$C$2,Table57[[#This Row],[In]]-$C$2,""),"")</f>
        <v/>
      </c>
      <c r="J577" s="31" t="str">
        <f>IF(Table57[[#This Row],[Work_Hours]]=0,"",(IF(Table57[[#This Row],[Out]]&lt;$C$3,$C$3-Table57[[#This Row],[Out]],"")))</f>
        <v/>
      </c>
      <c r="K577" s="32" t="str">
        <f>IFERROR(Table57[[#This Row],[In]]+$C$1,"")</f>
        <v/>
      </c>
      <c r="L577" s="29"/>
      <c r="M577" s="31" t="str">
        <f>IF($C$2&gt;Table57[[#This Row],[In]],$C$2-Table57[[#This Row],[In]],"")</f>
        <v/>
      </c>
      <c r="N577" s="29" t="str">
        <f>IFERROR(IF(Table57[[#This Row],[Out]]&gt;$C$3,(Table57[[#This Row],[Out]])-($C$3),""),"")</f>
        <v/>
      </c>
    </row>
    <row r="578" spans="1:14" hidden="1" x14ac:dyDescent="0.25">
      <c r="A578" s="23" t="str">
        <f>Table57[[#This Row],[No.]]&amp;Table57[[#This Row],[Date]]</f>
        <v>00</v>
      </c>
      <c r="B578" s="22">
        <f>'Unique Dates'!A575</f>
        <v>0</v>
      </c>
      <c r="C578" s="22" t="e" cm="1">
        <f t="array" ref="C578">_xlfn.XLOOKUP(Table57[[#This Row],[No.]],Table2[[#All],[CODE]],Table2[[#All],[NAME]],,0,1)</f>
        <v>#N/A</v>
      </c>
      <c r="D578" s="6">
        <f>'Unique Dates'!B575</f>
        <v>0</v>
      </c>
      <c r="E578" t="str">
        <f>TEXT(Table57[[#This Row],[Date]],"dddd")</f>
        <v>Saturday</v>
      </c>
      <c r="F578" s="25" t="str" cm="1">
        <f t="array" ref="F578">IFERROR(_xlfn.XLOOKUP(Table57[[#This Row],[Code]],Table1[[#All],[Code]],Table1[[#All],[Time]],,0,1),"")</f>
        <v/>
      </c>
      <c r="G578" s="25" t="str" cm="1">
        <f t="array" ref="G578">IFERROR(_xlfn.XLOOKUP(Table57[[#This Row],[Code]],Table1[[#All],[Code]],Table1[[#All],[Time]],,0,-1),"")</f>
        <v/>
      </c>
      <c r="H578" s="23" t="str">
        <f>IFERROR(IF(Table57[[#This Row],[Out]]&gt;=Table57[[#This Row],[In]],Table57[[#This Row],[Out]]-Table57[[#This Row],[In]],(0.5+Table57[[#This Row],[Out]])-Table57[[#This Row],[In]]),"")</f>
        <v/>
      </c>
      <c r="I578" s="31" t="str">
        <f>IFERROR(IF(Table57[[#This Row],[In]]&gt;$C$2,Table57[[#This Row],[In]]-$C$2,""),"")</f>
        <v/>
      </c>
      <c r="J578" s="31" t="str">
        <f>IF(Table57[[#This Row],[Work_Hours]]=0,"",(IF(Table57[[#This Row],[Out]]&lt;$C$3,$C$3-Table57[[#This Row],[Out]],"")))</f>
        <v/>
      </c>
      <c r="K578" s="32" t="str">
        <f>IFERROR(Table57[[#This Row],[In]]+$C$1,"")</f>
        <v/>
      </c>
      <c r="L578" s="29"/>
      <c r="M578" s="31" t="str">
        <f>IF($C$2&gt;Table57[[#This Row],[In]],$C$2-Table57[[#This Row],[In]],"")</f>
        <v/>
      </c>
      <c r="N578" s="29" t="str">
        <f>IFERROR(IF(Table57[[#This Row],[Out]]&gt;$C$3,(Table57[[#This Row],[Out]])-($C$3),""),"")</f>
        <v/>
      </c>
    </row>
    <row r="579" spans="1:14" hidden="1" x14ac:dyDescent="0.25">
      <c r="A579" s="23" t="str">
        <f>Table57[[#This Row],[No.]]&amp;Table57[[#This Row],[Date]]</f>
        <v>00</v>
      </c>
      <c r="B579" s="22">
        <f>'Unique Dates'!A576</f>
        <v>0</v>
      </c>
      <c r="C579" s="22" t="e" cm="1">
        <f t="array" ref="C579">_xlfn.XLOOKUP(Table57[[#This Row],[No.]],Table2[[#All],[CODE]],Table2[[#All],[NAME]],,0,1)</f>
        <v>#N/A</v>
      </c>
      <c r="D579" s="6">
        <f>'Unique Dates'!B576</f>
        <v>0</v>
      </c>
      <c r="E579" t="str">
        <f>TEXT(Table57[[#This Row],[Date]],"dddd")</f>
        <v>Saturday</v>
      </c>
      <c r="F579" s="25" t="str" cm="1">
        <f t="array" ref="F579">IFERROR(_xlfn.XLOOKUP(Table57[[#This Row],[Code]],Table1[[#All],[Code]],Table1[[#All],[Time]],,0,1),"")</f>
        <v/>
      </c>
      <c r="G579" s="25" t="str" cm="1">
        <f t="array" ref="G579">IFERROR(_xlfn.XLOOKUP(Table57[[#This Row],[Code]],Table1[[#All],[Code]],Table1[[#All],[Time]],,0,-1),"")</f>
        <v/>
      </c>
      <c r="H579" s="23" t="str">
        <f>IFERROR(IF(Table57[[#This Row],[Out]]&gt;=Table57[[#This Row],[In]],Table57[[#This Row],[Out]]-Table57[[#This Row],[In]],(0.5+Table57[[#This Row],[Out]])-Table57[[#This Row],[In]]),"")</f>
        <v/>
      </c>
      <c r="I579" s="31" t="str">
        <f>IFERROR(IF(Table57[[#This Row],[In]]&gt;$C$2,Table57[[#This Row],[In]]-$C$2,""),"")</f>
        <v/>
      </c>
      <c r="J579" s="31" t="str">
        <f>IF(Table57[[#This Row],[Work_Hours]]=0,"",(IF(Table57[[#This Row],[Out]]&lt;$C$3,$C$3-Table57[[#This Row],[Out]],"")))</f>
        <v/>
      </c>
      <c r="K579" s="32" t="str">
        <f>IFERROR(Table57[[#This Row],[In]]+$C$1,"")</f>
        <v/>
      </c>
      <c r="L579" s="29"/>
      <c r="M579" s="31" t="str">
        <f>IF($C$2&gt;Table57[[#This Row],[In]],$C$2-Table57[[#This Row],[In]],"")</f>
        <v/>
      </c>
      <c r="N579" s="29" t="str">
        <f>IFERROR(IF(Table57[[#This Row],[Out]]&gt;$C$3,(Table57[[#This Row],[Out]])-($C$3),""),"")</f>
        <v/>
      </c>
    </row>
    <row r="580" spans="1:14" hidden="1" x14ac:dyDescent="0.25">
      <c r="A580" s="23" t="str">
        <f>Table57[[#This Row],[No.]]&amp;Table57[[#This Row],[Date]]</f>
        <v>00</v>
      </c>
      <c r="B580" s="22">
        <f>'Unique Dates'!A577</f>
        <v>0</v>
      </c>
      <c r="C580" s="22" t="e" cm="1">
        <f t="array" ref="C580">_xlfn.XLOOKUP(Table57[[#This Row],[No.]],Table2[[#All],[CODE]],Table2[[#All],[NAME]],,0,1)</f>
        <v>#N/A</v>
      </c>
      <c r="D580" s="6">
        <f>'Unique Dates'!B577</f>
        <v>0</v>
      </c>
      <c r="E580" t="str">
        <f>TEXT(Table57[[#This Row],[Date]],"dddd")</f>
        <v>Saturday</v>
      </c>
      <c r="F580" s="25" t="str" cm="1">
        <f t="array" ref="F580">IFERROR(_xlfn.XLOOKUP(Table57[[#This Row],[Code]],Table1[[#All],[Code]],Table1[[#All],[Time]],,0,1),"")</f>
        <v/>
      </c>
      <c r="G580" s="25" t="str" cm="1">
        <f t="array" ref="G580">IFERROR(_xlfn.XLOOKUP(Table57[[#This Row],[Code]],Table1[[#All],[Code]],Table1[[#All],[Time]],,0,-1),"")</f>
        <v/>
      </c>
      <c r="H580" s="23" t="str">
        <f>IFERROR(IF(Table57[[#This Row],[Out]]&gt;=Table57[[#This Row],[In]],Table57[[#This Row],[Out]]-Table57[[#This Row],[In]],(0.5+Table57[[#This Row],[Out]])-Table57[[#This Row],[In]]),"")</f>
        <v/>
      </c>
      <c r="I580" s="31" t="str">
        <f>IFERROR(IF(Table57[[#This Row],[In]]&gt;$C$2,Table57[[#This Row],[In]]-$C$2,""),"")</f>
        <v/>
      </c>
      <c r="J580" s="31" t="str">
        <f>IF(Table57[[#This Row],[Work_Hours]]=0,"",(IF(Table57[[#This Row],[Out]]&lt;$C$3,$C$3-Table57[[#This Row],[Out]],"")))</f>
        <v/>
      </c>
      <c r="K580" s="32" t="str">
        <f>IFERROR(Table57[[#This Row],[In]]+$C$1,"")</f>
        <v/>
      </c>
      <c r="L580" s="29"/>
      <c r="M580" s="31" t="str">
        <f>IF($C$2&gt;Table57[[#This Row],[In]],$C$2-Table57[[#This Row],[In]],"")</f>
        <v/>
      </c>
      <c r="N580" s="29" t="str">
        <f>IFERROR(IF(Table57[[#This Row],[Out]]&gt;$C$3,(Table57[[#This Row],[Out]])-($C$3),""),"")</f>
        <v/>
      </c>
    </row>
    <row r="581" spans="1:14" hidden="1" x14ac:dyDescent="0.25">
      <c r="A581" s="23" t="str">
        <f>Table57[[#This Row],[No.]]&amp;Table57[[#This Row],[Date]]</f>
        <v>00</v>
      </c>
      <c r="B581" s="22">
        <f>'Unique Dates'!A578</f>
        <v>0</v>
      </c>
      <c r="C581" s="22" t="e" cm="1">
        <f t="array" ref="C581">_xlfn.XLOOKUP(Table57[[#This Row],[No.]],Table2[[#All],[CODE]],Table2[[#All],[NAME]],,0,1)</f>
        <v>#N/A</v>
      </c>
      <c r="D581" s="6">
        <f>'Unique Dates'!B578</f>
        <v>0</v>
      </c>
      <c r="E581" t="str">
        <f>TEXT(Table57[[#This Row],[Date]],"dddd")</f>
        <v>Saturday</v>
      </c>
      <c r="F581" s="25" t="str" cm="1">
        <f t="array" ref="F581">IFERROR(_xlfn.XLOOKUP(Table57[[#This Row],[Code]],Table1[[#All],[Code]],Table1[[#All],[Time]],,0,1),"")</f>
        <v/>
      </c>
      <c r="G581" s="25" t="str" cm="1">
        <f t="array" ref="G581">IFERROR(_xlfn.XLOOKUP(Table57[[#This Row],[Code]],Table1[[#All],[Code]],Table1[[#All],[Time]],,0,-1),"")</f>
        <v/>
      </c>
      <c r="H581" s="23" t="str">
        <f>IFERROR(IF(Table57[[#This Row],[Out]]&gt;=Table57[[#This Row],[In]],Table57[[#This Row],[Out]]-Table57[[#This Row],[In]],(0.5+Table57[[#This Row],[Out]])-Table57[[#This Row],[In]]),"")</f>
        <v/>
      </c>
      <c r="I581" s="31" t="str">
        <f>IFERROR(IF(Table57[[#This Row],[In]]&gt;$C$2,Table57[[#This Row],[In]]-$C$2,""),"")</f>
        <v/>
      </c>
      <c r="J581" s="31" t="str">
        <f>IF(Table57[[#This Row],[Work_Hours]]=0,"",(IF(Table57[[#This Row],[Out]]&lt;$C$3,$C$3-Table57[[#This Row],[Out]],"")))</f>
        <v/>
      </c>
      <c r="K581" s="32" t="str">
        <f>IFERROR(Table57[[#This Row],[In]]+$C$1,"")</f>
        <v/>
      </c>
      <c r="L581" s="29"/>
      <c r="M581" s="31" t="str">
        <f>IF($C$2&gt;Table57[[#This Row],[In]],$C$2-Table57[[#This Row],[In]],"")</f>
        <v/>
      </c>
      <c r="N581" s="29" t="str">
        <f>IFERROR(IF(Table57[[#This Row],[Out]]&gt;$C$3,(Table57[[#This Row],[Out]])-($C$3),""),"")</f>
        <v/>
      </c>
    </row>
    <row r="582" spans="1:14" hidden="1" x14ac:dyDescent="0.25">
      <c r="A582" s="23" t="str">
        <f>Table57[[#This Row],[No.]]&amp;Table57[[#This Row],[Date]]</f>
        <v>00</v>
      </c>
      <c r="B582" s="22">
        <f>'Unique Dates'!A579</f>
        <v>0</v>
      </c>
      <c r="C582" s="22" t="e" cm="1">
        <f t="array" ref="C582">_xlfn.XLOOKUP(Table57[[#This Row],[No.]],Table2[[#All],[CODE]],Table2[[#All],[NAME]],,0,1)</f>
        <v>#N/A</v>
      </c>
      <c r="D582" s="6">
        <f>'Unique Dates'!B579</f>
        <v>0</v>
      </c>
      <c r="E582" t="str">
        <f>TEXT(Table57[[#This Row],[Date]],"dddd")</f>
        <v>Saturday</v>
      </c>
      <c r="F582" s="25" t="str" cm="1">
        <f t="array" ref="F582">IFERROR(_xlfn.XLOOKUP(Table57[[#This Row],[Code]],Table1[[#All],[Code]],Table1[[#All],[Time]],,0,1),"")</f>
        <v/>
      </c>
      <c r="G582" s="25" t="str" cm="1">
        <f t="array" ref="G582">IFERROR(_xlfn.XLOOKUP(Table57[[#This Row],[Code]],Table1[[#All],[Code]],Table1[[#All],[Time]],,0,-1),"")</f>
        <v/>
      </c>
      <c r="H582" s="23" t="str">
        <f>IFERROR(IF(Table57[[#This Row],[Out]]&gt;=Table57[[#This Row],[In]],Table57[[#This Row],[Out]]-Table57[[#This Row],[In]],(0.5+Table57[[#This Row],[Out]])-Table57[[#This Row],[In]]),"")</f>
        <v/>
      </c>
      <c r="I582" s="31" t="str">
        <f>IFERROR(IF(Table57[[#This Row],[In]]&gt;$C$2,Table57[[#This Row],[In]]-$C$2,""),"")</f>
        <v/>
      </c>
      <c r="J582" s="31" t="str">
        <f>IF(Table57[[#This Row],[Work_Hours]]=0,"",(IF(Table57[[#This Row],[Out]]&lt;$C$3,$C$3-Table57[[#This Row],[Out]],"")))</f>
        <v/>
      </c>
      <c r="K582" s="32" t="str">
        <f>IFERROR(Table57[[#This Row],[In]]+$C$1,"")</f>
        <v/>
      </c>
      <c r="L582" s="29"/>
      <c r="M582" s="31" t="str">
        <f>IF($C$2&gt;Table57[[#This Row],[In]],$C$2-Table57[[#This Row],[In]],"")</f>
        <v/>
      </c>
      <c r="N582" s="29" t="str">
        <f>IFERROR(IF(Table57[[#This Row],[Out]]&gt;$C$3,(Table57[[#This Row],[Out]])-($C$3),""),"")</f>
        <v/>
      </c>
    </row>
    <row r="583" spans="1:14" hidden="1" x14ac:dyDescent="0.25">
      <c r="A583" s="23" t="str">
        <f>Table57[[#This Row],[No.]]&amp;Table57[[#This Row],[Date]]</f>
        <v>00</v>
      </c>
      <c r="B583" s="22">
        <f>'Unique Dates'!A580</f>
        <v>0</v>
      </c>
      <c r="C583" s="22" t="e" cm="1">
        <f t="array" ref="C583">_xlfn.XLOOKUP(Table57[[#This Row],[No.]],Table2[[#All],[CODE]],Table2[[#All],[NAME]],,0,1)</f>
        <v>#N/A</v>
      </c>
      <c r="D583" s="6">
        <f>'Unique Dates'!B580</f>
        <v>0</v>
      </c>
      <c r="E583" t="str">
        <f>TEXT(Table57[[#This Row],[Date]],"dddd")</f>
        <v>Saturday</v>
      </c>
      <c r="F583" s="25" t="str" cm="1">
        <f t="array" ref="F583">IFERROR(_xlfn.XLOOKUP(Table57[[#This Row],[Code]],Table1[[#All],[Code]],Table1[[#All],[Time]],,0,1),"")</f>
        <v/>
      </c>
      <c r="G583" s="25" t="str" cm="1">
        <f t="array" ref="G583">IFERROR(_xlfn.XLOOKUP(Table57[[#This Row],[Code]],Table1[[#All],[Code]],Table1[[#All],[Time]],,0,-1),"")</f>
        <v/>
      </c>
      <c r="H583" s="23" t="str">
        <f>IFERROR(IF(Table57[[#This Row],[Out]]&gt;=Table57[[#This Row],[In]],Table57[[#This Row],[Out]]-Table57[[#This Row],[In]],(0.5+Table57[[#This Row],[Out]])-Table57[[#This Row],[In]]),"")</f>
        <v/>
      </c>
      <c r="I583" s="31" t="str">
        <f>IFERROR(IF(Table57[[#This Row],[In]]&gt;$C$2,Table57[[#This Row],[In]]-$C$2,""),"")</f>
        <v/>
      </c>
      <c r="J583" s="31" t="str">
        <f>IF(Table57[[#This Row],[Work_Hours]]=0,"",(IF(Table57[[#This Row],[Out]]&lt;$C$3,$C$3-Table57[[#This Row],[Out]],"")))</f>
        <v/>
      </c>
      <c r="K583" s="32" t="str">
        <f>IFERROR(Table57[[#This Row],[In]]+$C$1,"")</f>
        <v/>
      </c>
      <c r="L583" s="29"/>
      <c r="M583" s="31" t="str">
        <f>IF($C$2&gt;Table57[[#This Row],[In]],$C$2-Table57[[#This Row],[In]],"")</f>
        <v/>
      </c>
      <c r="N583" s="29" t="str">
        <f>IFERROR(IF(Table57[[#This Row],[Out]]&gt;$C$3,(Table57[[#This Row],[Out]])-($C$3),""),"")</f>
        <v/>
      </c>
    </row>
    <row r="584" spans="1:14" hidden="1" x14ac:dyDescent="0.25">
      <c r="A584" s="23" t="str">
        <f>Table57[[#This Row],[No.]]&amp;Table57[[#This Row],[Date]]</f>
        <v>00</v>
      </c>
      <c r="B584" s="22">
        <f>'Unique Dates'!A581</f>
        <v>0</v>
      </c>
      <c r="C584" s="22" t="e" cm="1">
        <f t="array" ref="C584">_xlfn.XLOOKUP(Table57[[#This Row],[No.]],Table2[[#All],[CODE]],Table2[[#All],[NAME]],,0,1)</f>
        <v>#N/A</v>
      </c>
      <c r="D584" s="6">
        <f>'Unique Dates'!B581</f>
        <v>0</v>
      </c>
      <c r="E584" t="str">
        <f>TEXT(Table57[[#This Row],[Date]],"dddd")</f>
        <v>Saturday</v>
      </c>
      <c r="F584" s="25" t="str" cm="1">
        <f t="array" ref="F584">IFERROR(_xlfn.XLOOKUP(Table57[[#This Row],[Code]],Table1[[#All],[Code]],Table1[[#All],[Time]],,0,1),"")</f>
        <v/>
      </c>
      <c r="G584" s="25" t="str" cm="1">
        <f t="array" ref="G584">IFERROR(_xlfn.XLOOKUP(Table57[[#This Row],[Code]],Table1[[#All],[Code]],Table1[[#All],[Time]],,0,-1),"")</f>
        <v/>
      </c>
      <c r="H584" s="23" t="str">
        <f>IFERROR(IF(Table57[[#This Row],[Out]]&gt;=Table57[[#This Row],[In]],Table57[[#This Row],[Out]]-Table57[[#This Row],[In]],(0.5+Table57[[#This Row],[Out]])-Table57[[#This Row],[In]]),"")</f>
        <v/>
      </c>
      <c r="I584" s="31" t="str">
        <f>IFERROR(IF(Table57[[#This Row],[In]]&gt;$C$2,Table57[[#This Row],[In]]-$C$2,""),"")</f>
        <v/>
      </c>
      <c r="J584" s="31" t="str">
        <f>IF(Table57[[#This Row],[Work_Hours]]=0,"",(IF(Table57[[#This Row],[Out]]&lt;$C$3,$C$3-Table57[[#This Row],[Out]],"")))</f>
        <v/>
      </c>
      <c r="K584" s="32" t="str">
        <f>IFERROR(Table57[[#This Row],[In]]+$C$1,"")</f>
        <v/>
      </c>
      <c r="L584" s="29"/>
      <c r="M584" s="31" t="str">
        <f>IF($C$2&gt;Table57[[#This Row],[In]],$C$2-Table57[[#This Row],[In]],"")</f>
        <v/>
      </c>
      <c r="N584" s="29" t="str">
        <f>IFERROR(IF(Table57[[#This Row],[Out]]&gt;$C$3,(Table57[[#This Row],[Out]])-($C$3),""),"")</f>
        <v/>
      </c>
    </row>
    <row r="585" spans="1:14" hidden="1" x14ac:dyDescent="0.25">
      <c r="A585" s="23" t="str">
        <f>Table57[[#This Row],[No.]]&amp;Table57[[#This Row],[Date]]</f>
        <v>00</v>
      </c>
      <c r="B585" s="22">
        <f>'Unique Dates'!A582</f>
        <v>0</v>
      </c>
      <c r="C585" s="22" t="e" cm="1">
        <f t="array" ref="C585">_xlfn.XLOOKUP(Table57[[#This Row],[No.]],Table2[[#All],[CODE]],Table2[[#All],[NAME]],,0,1)</f>
        <v>#N/A</v>
      </c>
      <c r="D585" s="6">
        <f>'Unique Dates'!B582</f>
        <v>0</v>
      </c>
      <c r="E585" t="str">
        <f>TEXT(Table57[[#This Row],[Date]],"dddd")</f>
        <v>Saturday</v>
      </c>
      <c r="F585" s="25" t="str" cm="1">
        <f t="array" ref="F585">IFERROR(_xlfn.XLOOKUP(Table57[[#This Row],[Code]],Table1[[#All],[Code]],Table1[[#All],[Time]],,0,1),"")</f>
        <v/>
      </c>
      <c r="G585" s="25" t="str" cm="1">
        <f t="array" ref="G585">IFERROR(_xlfn.XLOOKUP(Table57[[#This Row],[Code]],Table1[[#All],[Code]],Table1[[#All],[Time]],,0,-1),"")</f>
        <v/>
      </c>
      <c r="H585" s="23" t="str">
        <f>IFERROR(IF(Table57[[#This Row],[Out]]&gt;=Table57[[#This Row],[In]],Table57[[#This Row],[Out]]-Table57[[#This Row],[In]],(0.5+Table57[[#This Row],[Out]])-Table57[[#This Row],[In]]),"")</f>
        <v/>
      </c>
      <c r="I585" s="31" t="str">
        <f>IFERROR(IF(Table57[[#This Row],[In]]&gt;$C$2,Table57[[#This Row],[In]]-$C$2,""),"")</f>
        <v/>
      </c>
      <c r="J585" s="31" t="str">
        <f>IF(Table57[[#This Row],[Work_Hours]]=0,"",(IF(Table57[[#This Row],[Out]]&lt;$C$3,$C$3-Table57[[#This Row],[Out]],"")))</f>
        <v/>
      </c>
      <c r="K585" s="32" t="str">
        <f>IFERROR(Table57[[#This Row],[In]]+$C$1,"")</f>
        <v/>
      </c>
      <c r="L585" s="29"/>
      <c r="M585" s="31" t="str">
        <f>IF($C$2&gt;Table57[[#This Row],[In]],$C$2-Table57[[#This Row],[In]],"")</f>
        <v/>
      </c>
      <c r="N585" s="29" t="str">
        <f>IFERROR(IF(Table57[[#This Row],[Out]]&gt;$C$3,(Table57[[#This Row],[Out]])-($C$3),""),"")</f>
        <v/>
      </c>
    </row>
    <row r="586" spans="1:14" hidden="1" x14ac:dyDescent="0.25">
      <c r="A586" s="23" t="str">
        <f>Table57[[#This Row],[No.]]&amp;Table57[[#This Row],[Date]]</f>
        <v>00</v>
      </c>
      <c r="B586" s="22">
        <f>'Unique Dates'!A583</f>
        <v>0</v>
      </c>
      <c r="C586" s="22" t="e" cm="1">
        <f t="array" ref="C586">_xlfn.XLOOKUP(Table57[[#This Row],[No.]],Table2[[#All],[CODE]],Table2[[#All],[NAME]],,0,1)</f>
        <v>#N/A</v>
      </c>
      <c r="D586" s="6">
        <f>'Unique Dates'!B583</f>
        <v>0</v>
      </c>
      <c r="E586" t="str">
        <f>TEXT(Table57[[#This Row],[Date]],"dddd")</f>
        <v>Saturday</v>
      </c>
      <c r="F586" s="25" t="str" cm="1">
        <f t="array" ref="F586">IFERROR(_xlfn.XLOOKUP(Table57[[#This Row],[Code]],Table1[[#All],[Code]],Table1[[#All],[Time]],,0,1),"")</f>
        <v/>
      </c>
      <c r="G586" s="25" t="str" cm="1">
        <f t="array" ref="G586">IFERROR(_xlfn.XLOOKUP(Table57[[#This Row],[Code]],Table1[[#All],[Code]],Table1[[#All],[Time]],,0,-1),"")</f>
        <v/>
      </c>
      <c r="H586" s="23" t="str">
        <f>IFERROR(IF(Table57[[#This Row],[Out]]&gt;=Table57[[#This Row],[In]],Table57[[#This Row],[Out]]-Table57[[#This Row],[In]],(0.5+Table57[[#This Row],[Out]])-Table57[[#This Row],[In]]),"")</f>
        <v/>
      </c>
      <c r="I586" s="31" t="str">
        <f>IFERROR(IF(Table57[[#This Row],[In]]&gt;$C$2,Table57[[#This Row],[In]]-$C$2,""),"")</f>
        <v/>
      </c>
      <c r="J586" s="31" t="str">
        <f>IF(Table57[[#This Row],[Work_Hours]]=0,"",(IF(Table57[[#This Row],[Out]]&lt;$C$3,$C$3-Table57[[#This Row],[Out]],"")))</f>
        <v/>
      </c>
      <c r="K586" s="32" t="str">
        <f>IFERROR(Table57[[#This Row],[In]]+$C$1,"")</f>
        <v/>
      </c>
      <c r="L586" s="29"/>
      <c r="M586" s="31" t="str">
        <f>IF($C$2&gt;Table57[[#This Row],[In]],$C$2-Table57[[#This Row],[In]],"")</f>
        <v/>
      </c>
      <c r="N586" s="29" t="str">
        <f>IFERROR(IF(Table57[[#This Row],[Out]]&gt;$C$3,(Table57[[#This Row],[Out]])-($C$3),""),"")</f>
        <v/>
      </c>
    </row>
    <row r="587" spans="1:14" hidden="1" x14ac:dyDescent="0.25">
      <c r="A587" s="23" t="str">
        <f>Table57[[#This Row],[No.]]&amp;Table57[[#This Row],[Date]]</f>
        <v>00</v>
      </c>
      <c r="B587" s="22">
        <f>'Unique Dates'!A584</f>
        <v>0</v>
      </c>
      <c r="C587" s="22" t="e" cm="1">
        <f t="array" ref="C587">_xlfn.XLOOKUP(Table57[[#This Row],[No.]],Table2[[#All],[CODE]],Table2[[#All],[NAME]],,0,1)</f>
        <v>#N/A</v>
      </c>
      <c r="D587" s="6">
        <f>'Unique Dates'!B584</f>
        <v>0</v>
      </c>
      <c r="E587" t="str">
        <f>TEXT(Table57[[#This Row],[Date]],"dddd")</f>
        <v>Saturday</v>
      </c>
      <c r="F587" s="25" t="str" cm="1">
        <f t="array" ref="F587">IFERROR(_xlfn.XLOOKUP(Table57[[#This Row],[Code]],Table1[[#All],[Code]],Table1[[#All],[Time]],,0,1),"")</f>
        <v/>
      </c>
      <c r="G587" s="25" t="str" cm="1">
        <f t="array" ref="G587">IFERROR(_xlfn.XLOOKUP(Table57[[#This Row],[Code]],Table1[[#All],[Code]],Table1[[#All],[Time]],,0,-1),"")</f>
        <v/>
      </c>
      <c r="H587" s="23" t="str">
        <f>IFERROR(IF(Table57[[#This Row],[Out]]&gt;=Table57[[#This Row],[In]],Table57[[#This Row],[Out]]-Table57[[#This Row],[In]],(0.5+Table57[[#This Row],[Out]])-Table57[[#This Row],[In]]),"")</f>
        <v/>
      </c>
      <c r="I587" s="31" t="str">
        <f>IFERROR(IF(Table57[[#This Row],[In]]&gt;$C$2,Table57[[#This Row],[In]]-$C$2,""),"")</f>
        <v/>
      </c>
      <c r="J587" s="31" t="str">
        <f>IF(Table57[[#This Row],[Work_Hours]]=0,"",(IF(Table57[[#This Row],[Out]]&lt;$C$3,$C$3-Table57[[#This Row],[Out]],"")))</f>
        <v/>
      </c>
      <c r="K587" s="32" t="str">
        <f>IFERROR(Table57[[#This Row],[In]]+$C$1,"")</f>
        <v/>
      </c>
      <c r="L587" s="29"/>
      <c r="M587" s="31" t="str">
        <f>IF($C$2&gt;Table57[[#This Row],[In]],$C$2-Table57[[#This Row],[In]],"")</f>
        <v/>
      </c>
      <c r="N587" s="29" t="str">
        <f>IFERROR(IF(Table57[[#This Row],[Out]]&gt;$C$3,(Table57[[#This Row],[Out]])-($C$3),""),"")</f>
        <v/>
      </c>
    </row>
    <row r="588" spans="1:14" hidden="1" x14ac:dyDescent="0.25">
      <c r="A588" s="23" t="str">
        <f>Table57[[#This Row],[No.]]&amp;Table57[[#This Row],[Date]]</f>
        <v>00</v>
      </c>
      <c r="B588" s="22">
        <f>'Unique Dates'!A585</f>
        <v>0</v>
      </c>
      <c r="C588" s="22" t="e" cm="1">
        <f t="array" ref="C588">_xlfn.XLOOKUP(Table57[[#This Row],[No.]],Table2[[#All],[CODE]],Table2[[#All],[NAME]],,0,1)</f>
        <v>#N/A</v>
      </c>
      <c r="D588" s="6">
        <f>'Unique Dates'!B585</f>
        <v>0</v>
      </c>
      <c r="E588" t="str">
        <f>TEXT(Table57[[#This Row],[Date]],"dddd")</f>
        <v>Saturday</v>
      </c>
      <c r="F588" s="25" t="str" cm="1">
        <f t="array" ref="F588">IFERROR(_xlfn.XLOOKUP(Table57[[#This Row],[Code]],Table1[[#All],[Code]],Table1[[#All],[Time]],,0,1),"")</f>
        <v/>
      </c>
      <c r="G588" s="25" t="str" cm="1">
        <f t="array" ref="G588">IFERROR(_xlfn.XLOOKUP(Table57[[#This Row],[Code]],Table1[[#All],[Code]],Table1[[#All],[Time]],,0,-1),"")</f>
        <v/>
      </c>
      <c r="H588" s="23" t="str">
        <f>IFERROR(IF(Table57[[#This Row],[Out]]&gt;=Table57[[#This Row],[In]],Table57[[#This Row],[Out]]-Table57[[#This Row],[In]],(0.5+Table57[[#This Row],[Out]])-Table57[[#This Row],[In]]),"")</f>
        <v/>
      </c>
      <c r="I588" s="31" t="str">
        <f>IFERROR(IF(Table57[[#This Row],[In]]&gt;$C$2,Table57[[#This Row],[In]]-$C$2,""),"")</f>
        <v/>
      </c>
      <c r="J588" s="31" t="str">
        <f>IF(Table57[[#This Row],[Work_Hours]]=0,"",(IF(Table57[[#This Row],[Out]]&lt;$C$3,$C$3-Table57[[#This Row],[Out]],"")))</f>
        <v/>
      </c>
      <c r="K588" s="32" t="str">
        <f>IFERROR(Table57[[#This Row],[In]]+$C$1,"")</f>
        <v/>
      </c>
      <c r="L588" s="29"/>
      <c r="M588" s="31" t="str">
        <f>IF($C$2&gt;Table57[[#This Row],[In]],$C$2-Table57[[#This Row],[In]],"")</f>
        <v/>
      </c>
      <c r="N588" s="29" t="str">
        <f>IFERROR(IF(Table57[[#This Row],[Out]]&gt;$C$3,(Table57[[#This Row],[Out]])-($C$3),""),"")</f>
        <v/>
      </c>
    </row>
    <row r="589" spans="1:14" hidden="1" x14ac:dyDescent="0.25">
      <c r="A589" s="23" t="str">
        <f>Table57[[#This Row],[No.]]&amp;Table57[[#This Row],[Date]]</f>
        <v>00</v>
      </c>
      <c r="B589" s="22">
        <f>'Unique Dates'!A586</f>
        <v>0</v>
      </c>
      <c r="C589" s="22" t="e" cm="1">
        <f t="array" ref="C589">_xlfn.XLOOKUP(Table57[[#This Row],[No.]],Table2[[#All],[CODE]],Table2[[#All],[NAME]],,0,1)</f>
        <v>#N/A</v>
      </c>
      <c r="D589" s="6">
        <f>'Unique Dates'!B586</f>
        <v>0</v>
      </c>
      <c r="E589" t="str">
        <f>TEXT(Table57[[#This Row],[Date]],"dddd")</f>
        <v>Saturday</v>
      </c>
      <c r="F589" s="25" t="str" cm="1">
        <f t="array" ref="F589">IFERROR(_xlfn.XLOOKUP(Table57[[#This Row],[Code]],Table1[[#All],[Code]],Table1[[#All],[Time]],,0,1),"")</f>
        <v/>
      </c>
      <c r="G589" s="25" t="str" cm="1">
        <f t="array" ref="G589">IFERROR(_xlfn.XLOOKUP(Table57[[#This Row],[Code]],Table1[[#All],[Code]],Table1[[#All],[Time]],,0,-1),"")</f>
        <v/>
      </c>
      <c r="H589" s="23" t="str">
        <f>IFERROR(IF(Table57[[#This Row],[Out]]&gt;=Table57[[#This Row],[In]],Table57[[#This Row],[Out]]-Table57[[#This Row],[In]],(0.5+Table57[[#This Row],[Out]])-Table57[[#This Row],[In]]),"")</f>
        <v/>
      </c>
      <c r="I589" s="31" t="str">
        <f>IFERROR(IF(Table57[[#This Row],[In]]&gt;$C$2,Table57[[#This Row],[In]]-$C$2,""),"")</f>
        <v/>
      </c>
      <c r="J589" s="31" t="str">
        <f>IF(Table57[[#This Row],[Work_Hours]]=0,"",(IF(Table57[[#This Row],[Out]]&lt;$C$3,$C$3-Table57[[#This Row],[Out]],"")))</f>
        <v/>
      </c>
      <c r="K589" s="32" t="str">
        <f>IFERROR(Table57[[#This Row],[In]]+$C$1,"")</f>
        <v/>
      </c>
      <c r="L589" s="29"/>
      <c r="M589" s="31" t="str">
        <f>IF($C$2&gt;Table57[[#This Row],[In]],$C$2-Table57[[#This Row],[In]],"")</f>
        <v/>
      </c>
      <c r="N589" s="29" t="str">
        <f>IFERROR(IF(Table57[[#This Row],[Out]]&gt;$C$3,(Table57[[#This Row],[Out]])-($C$3),""),"")</f>
        <v/>
      </c>
    </row>
    <row r="590" spans="1:14" hidden="1" x14ac:dyDescent="0.25">
      <c r="A590" s="23" t="str">
        <f>Table57[[#This Row],[No.]]&amp;Table57[[#This Row],[Date]]</f>
        <v>00</v>
      </c>
      <c r="B590" s="22">
        <f>'Unique Dates'!A587</f>
        <v>0</v>
      </c>
      <c r="C590" s="22" t="e" cm="1">
        <f t="array" ref="C590">_xlfn.XLOOKUP(Table57[[#This Row],[No.]],Table2[[#All],[CODE]],Table2[[#All],[NAME]],,0,1)</f>
        <v>#N/A</v>
      </c>
      <c r="D590" s="6">
        <f>'Unique Dates'!B587</f>
        <v>0</v>
      </c>
      <c r="E590" t="str">
        <f>TEXT(Table57[[#This Row],[Date]],"dddd")</f>
        <v>Saturday</v>
      </c>
      <c r="F590" s="25" t="str" cm="1">
        <f t="array" ref="F590">IFERROR(_xlfn.XLOOKUP(Table57[[#This Row],[Code]],Table1[[#All],[Code]],Table1[[#All],[Time]],,0,1),"")</f>
        <v/>
      </c>
      <c r="G590" s="25" t="str" cm="1">
        <f t="array" ref="G590">IFERROR(_xlfn.XLOOKUP(Table57[[#This Row],[Code]],Table1[[#All],[Code]],Table1[[#All],[Time]],,0,-1),"")</f>
        <v/>
      </c>
      <c r="H590" s="23" t="str">
        <f>IFERROR(IF(Table57[[#This Row],[Out]]&gt;=Table57[[#This Row],[In]],Table57[[#This Row],[Out]]-Table57[[#This Row],[In]],(0.5+Table57[[#This Row],[Out]])-Table57[[#This Row],[In]]),"")</f>
        <v/>
      </c>
      <c r="I590" s="31" t="str">
        <f>IFERROR(IF(Table57[[#This Row],[In]]&gt;$C$2,Table57[[#This Row],[In]]-$C$2,""),"")</f>
        <v/>
      </c>
      <c r="J590" s="31" t="str">
        <f>IF(Table57[[#This Row],[Work_Hours]]=0,"",(IF(Table57[[#This Row],[Out]]&lt;$C$3,$C$3-Table57[[#This Row],[Out]],"")))</f>
        <v/>
      </c>
      <c r="K590" s="32" t="str">
        <f>IFERROR(Table57[[#This Row],[In]]+$C$1,"")</f>
        <v/>
      </c>
      <c r="L590" s="29"/>
      <c r="M590" s="31" t="str">
        <f>IF($C$2&gt;Table57[[#This Row],[In]],$C$2-Table57[[#This Row],[In]],"")</f>
        <v/>
      </c>
      <c r="N590" s="29" t="str">
        <f>IFERROR(IF(Table57[[#This Row],[Out]]&gt;$C$3,(Table57[[#This Row],[Out]])-($C$3),""),"")</f>
        <v/>
      </c>
    </row>
    <row r="591" spans="1:14" hidden="1" x14ac:dyDescent="0.25">
      <c r="A591" s="23" t="str">
        <f>Table57[[#This Row],[No.]]&amp;Table57[[#This Row],[Date]]</f>
        <v>00</v>
      </c>
      <c r="B591" s="22">
        <f>'Unique Dates'!A588</f>
        <v>0</v>
      </c>
      <c r="C591" s="22" t="e" cm="1">
        <f t="array" ref="C591">_xlfn.XLOOKUP(Table57[[#This Row],[No.]],Table2[[#All],[CODE]],Table2[[#All],[NAME]],,0,1)</f>
        <v>#N/A</v>
      </c>
      <c r="D591" s="6">
        <f>'Unique Dates'!B588</f>
        <v>0</v>
      </c>
      <c r="E591" t="str">
        <f>TEXT(Table57[[#This Row],[Date]],"dddd")</f>
        <v>Saturday</v>
      </c>
      <c r="F591" s="25" t="str" cm="1">
        <f t="array" ref="F591">IFERROR(_xlfn.XLOOKUP(Table57[[#This Row],[Code]],Table1[[#All],[Code]],Table1[[#All],[Time]],,0,1),"")</f>
        <v/>
      </c>
      <c r="G591" s="25" t="str" cm="1">
        <f t="array" ref="G591">IFERROR(_xlfn.XLOOKUP(Table57[[#This Row],[Code]],Table1[[#All],[Code]],Table1[[#All],[Time]],,0,-1),"")</f>
        <v/>
      </c>
      <c r="H591" s="23" t="str">
        <f>IFERROR(IF(Table57[[#This Row],[Out]]&gt;=Table57[[#This Row],[In]],Table57[[#This Row],[Out]]-Table57[[#This Row],[In]],(0.5+Table57[[#This Row],[Out]])-Table57[[#This Row],[In]]),"")</f>
        <v/>
      </c>
      <c r="I591" s="31" t="str">
        <f>IFERROR(IF(Table57[[#This Row],[In]]&gt;$C$2,Table57[[#This Row],[In]]-$C$2,""),"")</f>
        <v/>
      </c>
      <c r="J591" s="31" t="str">
        <f>IF(Table57[[#This Row],[Work_Hours]]=0,"",(IF(Table57[[#This Row],[Out]]&lt;$C$3,$C$3-Table57[[#This Row],[Out]],"")))</f>
        <v/>
      </c>
      <c r="K591" s="32" t="str">
        <f>IFERROR(Table57[[#This Row],[In]]+$C$1,"")</f>
        <v/>
      </c>
      <c r="L591" s="29"/>
      <c r="M591" s="31" t="str">
        <f>IF($C$2&gt;Table57[[#This Row],[In]],$C$2-Table57[[#This Row],[In]],"")</f>
        <v/>
      </c>
      <c r="N591" s="29" t="str">
        <f>IFERROR(IF(Table57[[#This Row],[Out]]&gt;$C$3,(Table57[[#This Row],[Out]])-($C$3),""),"")</f>
        <v/>
      </c>
    </row>
    <row r="592" spans="1:14" hidden="1" x14ac:dyDescent="0.25">
      <c r="A592" s="23" t="str">
        <f>Table57[[#This Row],[No.]]&amp;Table57[[#This Row],[Date]]</f>
        <v>00</v>
      </c>
      <c r="B592" s="22">
        <f>'Unique Dates'!A589</f>
        <v>0</v>
      </c>
      <c r="C592" s="22" t="e" cm="1">
        <f t="array" ref="C592">_xlfn.XLOOKUP(Table57[[#This Row],[No.]],Table2[[#All],[CODE]],Table2[[#All],[NAME]],,0,1)</f>
        <v>#N/A</v>
      </c>
      <c r="D592" s="6">
        <f>'Unique Dates'!B589</f>
        <v>0</v>
      </c>
      <c r="E592" t="str">
        <f>TEXT(Table57[[#This Row],[Date]],"dddd")</f>
        <v>Saturday</v>
      </c>
      <c r="F592" s="25" t="str" cm="1">
        <f t="array" ref="F592">IFERROR(_xlfn.XLOOKUP(Table57[[#This Row],[Code]],Table1[[#All],[Code]],Table1[[#All],[Time]],,0,1),"")</f>
        <v/>
      </c>
      <c r="G592" s="25" t="str" cm="1">
        <f t="array" ref="G592">IFERROR(_xlfn.XLOOKUP(Table57[[#This Row],[Code]],Table1[[#All],[Code]],Table1[[#All],[Time]],,0,-1),"")</f>
        <v/>
      </c>
      <c r="H592" s="23" t="str">
        <f>IFERROR(IF(Table57[[#This Row],[Out]]&gt;=Table57[[#This Row],[In]],Table57[[#This Row],[Out]]-Table57[[#This Row],[In]],(0.5+Table57[[#This Row],[Out]])-Table57[[#This Row],[In]]),"")</f>
        <v/>
      </c>
      <c r="I592" s="31" t="str">
        <f>IFERROR(IF(Table57[[#This Row],[In]]&gt;$C$2,Table57[[#This Row],[In]]-$C$2,""),"")</f>
        <v/>
      </c>
      <c r="J592" s="31" t="str">
        <f>IF(Table57[[#This Row],[Work_Hours]]=0,"",(IF(Table57[[#This Row],[Out]]&lt;$C$3,$C$3-Table57[[#This Row],[Out]],"")))</f>
        <v/>
      </c>
      <c r="K592" s="32" t="str">
        <f>IFERROR(Table57[[#This Row],[In]]+$C$1,"")</f>
        <v/>
      </c>
      <c r="L592" s="29"/>
      <c r="M592" s="31" t="str">
        <f>IF($C$2&gt;Table57[[#This Row],[In]],$C$2-Table57[[#This Row],[In]],"")</f>
        <v/>
      </c>
      <c r="N592" s="29" t="str">
        <f>IFERROR(IF(Table57[[#This Row],[Out]]&gt;$C$3,(Table57[[#This Row],[Out]])-($C$3),""),"")</f>
        <v/>
      </c>
    </row>
    <row r="593" spans="1:14" hidden="1" x14ac:dyDescent="0.25">
      <c r="A593" s="23" t="str">
        <f>Table57[[#This Row],[No.]]&amp;Table57[[#This Row],[Date]]</f>
        <v>00</v>
      </c>
      <c r="B593" s="22">
        <f>'Unique Dates'!A590</f>
        <v>0</v>
      </c>
      <c r="C593" s="22" t="e" cm="1">
        <f t="array" ref="C593">_xlfn.XLOOKUP(Table57[[#This Row],[No.]],Table2[[#All],[CODE]],Table2[[#All],[NAME]],,0,1)</f>
        <v>#N/A</v>
      </c>
      <c r="D593" s="6">
        <f>'Unique Dates'!B590</f>
        <v>0</v>
      </c>
      <c r="E593" t="str">
        <f>TEXT(Table57[[#This Row],[Date]],"dddd")</f>
        <v>Saturday</v>
      </c>
      <c r="F593" s="25" t="str" cm="1">
        <f t="array" ref="F593">IFERROR(_xlfn.XLOOKUP(Table57[[#This Row],[Code]],Table1[[#All],[Code]],Table1[[#All],[Time]],,0,1),"")</f>
        <v/>
      </c>
      <c r="G593" s="25" t="str" cm="1">
        <f t="array" ref="G593">IFERROR(_xlfn.XLOOKUP(Table57[[#This Row],[Code]],Table1[[#All],[Code]],Table1[[#All],[Time]],,0,-1),"")</f>
        <v/>
      </c>
      <c r="H593" s="23" t="str">
        <f>IFERROR(IF(Table57[[#This Row],[Out]]&gt;=Table57[[#This Row],[In]],Table57[[#This Row],[Out]]-Table57[[#This Row],[In]],(0.5+Table57[[#This Row],[Out]])-Table57[[#This Row],[In]]),"")</f>
        <v/>
      </c>
      <c r="I593" s="31" t="str">
        <f>IFERROR(IF(Table57[[#This Row],[In]]&gt;$C$2,Table57[[#This Row],[In]]-$C$2,""),"")</f>
        <v/>
      </c>
      <c r="J593" s="31" t="str">
        <f>IF(Table57[[#This Row],[Work_Hours]]=0,"",(IF(Table57[[#This Row],[Out]]&lt;$C$3,$C$3-Table57[[#This Row],[Out]],"")))</f>
        <v/>
      </c>
      <c r="K593" s="32" t="str">
        <f>IFERROR(Table57[[#This Row],[In]]+$C$1,"")</f>
        <v/>
      </c>
      <c r="L593" s="29"/>
      <c r="M593" s="31" t="str">
        <f>IF($C$2&gt;Table57[[#This Row],[In]],$C$2-Table57[[#This Row],[In]],"")</f>
        <v/>
      </c>
      <c r="N593" s="29" t="str">
        <f>IFERROR(IF(Table57[[#This Row],[Out]]&gt;$C$3,(Table57[[#This Row],[Out]])-($C$3),""),"")</f>
        <v/>
      </c>
    </row>
    <row r="594" spans="1:14" hidden="1" x14ac:dyDescent="0.25">
      <c r="A594" s="23" t="str">
        <f>Table57[[#This Row],[No.]]&amp;Table57[[#This Row],[Date]]</f>
        <v>00</v>
      </c>
      <c r="B594" s="22">
        <f>'Unique Dates'!A591</f>
        <v>0</v>
      </c>
      <c r="C594" s="22" t="e" cm="1">
        <f t="array" ref="C594">_xlfn.XLOOKUP(Table57[[#This Row],[No.]],Table2[[#All],[CODE]],Table2[[#All],[NAME]],,0,1)</f>
        <v>#N/A</v>
      </c>
      <c r="D594" s="6">
        <f>'Unique Dates'!B591</f>
        <v>0</v>
      </c>
      <c r="E594" t="str">
        <f>TEXT(Table57[[#This Row],[Date]],"dddd")</f>
        <v>Saturday</v>
      </c>
      <c r="F594" s="25" t="str" cm="1">
        <f t="array" ref="F594">IFERROR(_xlfn.XLOOKUP(Table57[[#This Row],[Code]],Table1[[#All],[Code]],Table1[[#All],[Time]],,0,1),"")</f>
        <v/>
      </c>
      <c r="G594" s="25" t="str" cm="1">
        <f t="array" ref="G594">IFERROR(_xlfn.XLOOKUP(Table57[[#This Row],[Code]],Table1[[#All],[Code]],Table1[[#All],[Time]],,0,-1),"")</f>
        <v/>
      </c>
      <c r="H594" s="23" t="str">
        <f>IFERROR(IF(Table57[[#This Row],[Out]]&gt;=Table57[[#This Row],[In]],Table57[[#This Row],[Out]]-Table57[[#This Row],[In]],(0.5+Table57[[#This Row],[Out]])-Table57[[#This Row],[In]]),"")</f>
        <v/>
      </c>
      <c r="I594" s="31" t="str">
        <f>IFERROR(IF(Table57[[#This Row],[In]]&gt;$C$2,Table57[[#This Row],[In]]-$C$2,""),"")</f>
        <v/>
      </c>
      <c r="J594" s="31" t="str">
        <f>IF(Table57[[#This Row],[Work_Hours]]=0,"",(IF(Table57[[#This Row],[Out]]&lt;$C$3,$C$3-Table57[[#This Row],[Out]],"")))</f>
        <v/>
      </c>
      <c r="K594" s="32" t="str">
        <f>IFERROR(Table57[[#This Row],[In]]+$C$1,"")</f>
        <v/>
      </c>
      <c r="L594" s="29"/>
      <c r="M594" s="31" t="str">
        <f>IF($C$2&gt;Table57[[#This Row],[In]],$C$2-Table57[[#This Row],[In]],"")</f>
        <v/>
      </c>
      <c r="N594" s="29" t="str">
        <f>IFERROR(IF(Table57[[#This Row],[Out]]&gt;$C$3,(Table57[[#This Row],[Out]])-($C$3),""),"")</f>
        <v/>
      </c>
    </row>
    <row r="595" spans="1:14" hidden="1" x14ac:dyDescent="0.25">
      <c r="A595" s="23" t="str">
        <f>Table57[[#This Row],[No.]]&amp;Table57[[#This Row],[Date]]</f>
        <v>00</v>
      </c>
      <c r="B595" s="22">
        <f>'Unique Dates'!A592</f>
        <v>0</v>
      </c>
      <c r="C595" s="22" t="e" cm="1">
        <f t="array" ref="C595">_xlfn.XLOOKUP(Table57[[#This Row],[No.]],Table2[[#All],[CODE]],Table2[[#All],[NAME]],,0,1)</f>
        <v>#N/A</v>
      </c>
      <c r="D595" s="6">
        <f>'Unique Dates'!B592</f>
        <v>0</v>
      </c>
      <c r="E595" t="str">
        <f>TEXT(Table57[[#This Row],[Date]],"dddd")</f>
        <v>Saturday</v>
      </c>
      <c r="F595" s="25" t="str" cm="1">
        <f t="array" ref="F595">IFERROR(_xlfn.XLOOKUP(Table57[[#This Row],[Code]],Table1[[#All],[Code]],Table1[[#All],[Time]],,0,1),"")</f>
        <v/>
      </c>
      <c r="G595" s="25" t="str" cm="1">
        <f t="array" ref="G595">IFERROR(_xlfn.XLOOKUP(Table57[[#This Row],[Code]],Table1[[#All],[Code]],Table1[[#All],[Time]],,0,-1),"")</f>
        <v/>
      </c>
      <c r="H595" s="23" t="str">
        <f>IFERROR(IF(Table57[[#This Row],[Out]]&gt;=Table57[[#This Row],[In]],Table57[[#This Row],[Out]]-Table57[[#This Row],[In]],(0.5+Table57[[#This Row],[Out]])-Table57[[#This Row],[In]]),"")</f>
        <v/>
      </c>
      <c r="I595" s="31" t="str">
        <f>IFERROR(IF(Table57[[#This Row],[In]]&gt;$C$2,Table57[[#This Row],[In]]-$C$2,""),"")</f>
        <v/>
      </c>
      <c r="J595" s="31" t="str">
        <f>IF(Table57[[#This Row],[Work_Hours]]=0,"",(IF(Table57[[#This Row],[Out]]&lt;$C$3,$C$3-Table57[[#This Row],[Out]],"")))</f>
        <v/>
      </c>
      <c r="K595" s="32" t="str">
        <f>IFERROR(Table57[[#This Row],[In]]+$C$1,"")</f>
        <v/>
      </c>
      <c r="L595" s="29"/>
      <c r="M595" s="31" t="str">
        <f>IF($C$2&gt;Table57[[#This Row],[In]],$C$2-Table57[[#This Row],[In]],"")</f>
        <v/>
      </c>
      <c r="N595" s="29" t="str">
        <f>IFERROR(IF(Table57[[#This Row],[Out]]&gt;$C$3,(Table57[[#This Row],[Out]])-($C$3),""),"")</f>
        <v/>
      </c>
    </row>
    <row r="596" spans="1:14" hidden="1" x14ac:dyDescent="0.25">
      <c r="A596" s="23" t="str">
        <f>Table57[[#This Row],[No.]]&amp;Table57[[#This Row],[Date]]</f>
        <v>00</v>
      </c>
      <c r="B596" s="22">
        <f>'Unique Dates'!A593</f>
        <v>0</v>
      </c>
      <c r="C596" s="22" t="e" cm="1">
        <f t="array" ref="C596">_xlfn.XLOOKUP(Table57[[#This Row],[No.]],Table2[[#All],[CODE]],Table2[[#All],[NAME]],,0,1)</f>
        <v>#N/A</v>
      </c>
      <c r="D596" s="6">
        <f>'Unique Dates'!B593</f>
        <v>0</v>
      </c>
      <c r="E596" t="str">
        <f>TEXT(Table57[[#This Row],[Date]],"dddd")</f>
        <v>Saturday</v>
      </c>
      <c r="F596" s="25" t="str" cm="1">
        <f t="array" ref="F596">IFERROR(_xlfn.XLOOKUP(Table57[[#This Row],[Code]],Table1[[#All],[Code]],Table1[[#All],[Time]],,0,1),"")</f>
        <v/>
      </c>
      <c r="G596" s="25" t="str" cm="1">
        <f t="array" ref="G596">IFERROR(_xlfn.XLOOKUP(Table57[[#This Row],[Code]],Table1[[#All],[Code]],Table1[[#All],[Time]],,0,-1),"")</f>
        <v/>
      </c>
      <c r="H596" s="23" t="str">
        <f>IFERROR(IF(Table57[[#This Row],[Out]]&gt;=Table57[[#This Row],[In]],Table57[[#This Row],[Out]]-Table57[[#This Row],[In]],(0.5+Table57[[#This Row],[Out]])-Table57[[#This Row],[In]]),"")</f>
        <v/>
      </c>
      <c r="I596" s="31" t="str">
        <f>IFERROR(IF(Table57[[#This Row],[In]]&gt;$C$2,Table57[[#This Row],[In]]-$C$2,""),"")</f>
        <v/>
      </c>
      <c r="J596" s="31" t="str">
        <f>IF(Table57[[#This Row],[Work_Hours]]=0,"",(IF(Table57[[#This Row],[Out]]&lt;$C$3,$C$3-Table57[[#This Row],[Out]],"")))</f>
        <v/>
      </c>
      <c r="K596" s="32" t="str">
        <f>IFERROR(Table57[[#This Row],[In]]+$C$1,"")</f>
        <v/>
      </c>
      <c r="L596" s="29"/>
      <c r="M596" s="31" t="str">
        <f>IF($C$2&gt;Table57[[#This Row],[In]],$C$2-Table57[[#This Row],[In]],"")</f>
        <v/>
      </c>
      <c r="N596" s="29" t="str">
        <f>IFERROR(IF(Table57[[#This Row],[Out]]&gt;$C$3,(Table57[[#This Row],[Out]])-($C$3),""),"")</f>
        <v/>
      </c>
    </row>
    <row r="597" spans="1:14" hidden="1" x14ac:dyDescent="0.25">
      <c r="A597" s="23" t="str">
        <f>Table57[[#This Row],[No.]]&amp;Table57[[#This Row],[Date]]</f>
        <v>00</v>
      </c>
      <c r="B597" s="22">
        <f>'Unique Dates'!A594</f>
        <v>0</v>
      </c>
      <c r="C597" s="22" t="e" cm="1">
        <f t="array" ref="C597">_xlfn.XLOOKUP(Table57[[#This Row],[No.]],Table2[[#All],[CODE]],Table2[[#All],[NAME]],,0,1)</f>
        <v>#N/A</v>
      </c>
      <c r="D597" s="6">
        <f>'Unique Dates'!B594</f>
        <v>0</v>
      </c>
      <c r="E597" t="str">
        <f>TEXT(Table57[[#This Row],[Date]],"dddd")</f>
        <v>Saturday</v>
      </c>
      <c r="F597" s="25" t="str" cm="1">
        <f t="array" ref="F597">IFERROR(_xlfn.XLOOKUP(Table57[[#This Row],[Code]],Table1[[#All],[Code]],Table1[[#All],[Time]],,0,1),"")</f>
        <v/>
      </c>
      <c r="G597" s="25" t="str" cm="1">
        <f t="array" ref="G597">IFERROR(_xlfn.XLOOKUP(Table57[[#This Row],[Code]],Table1[[#All],[Code]],Table1[[#All],[Time]],,0,-1),"")</f>
        <v/>
      </c>
      <c r="H597" s="23" t="str">
        <f>IFERROR(IF(Table57[[#This Row],[Out]]&gt;=Table57[[#This Row],[In]],Table57[[#This Row],[Out]]-Table57[[#This Row],[In]],(0.5+Table57[[#This Row],[Out]])-Table57[[#This Row],[In]]),"")</f>
        <v/>
      </c>
      <c r="I597" s="31" t="str">
        <f>IFERROR(IF(Table57[[#This Row],[In]]&gt;$C$2,Table57[[#This Row],[In]]-$C$2,""),"")</f>
        <v/>
      </c>
      <c r="J597" s="31" t="str">
        <f>IF(Table57[[#This Row],[Work_Hours]]=0,"",(IF(Table57[[#This Row],[Out]]&lt;$C$3,$C$3-Table57[[#This Row],[Out]],"")))</f>
        <v/>
      </c>
      <c r="K597" s="32" t="str">
        <f>IFERROR(Table57[[#This Row],[In]]+$C$1,"")</f>
        <v/>
      </c>
      <c r="L597" s="29"/>
      <c r="M597" s="31" t="str">
        <f>IF($C$2&gt;Table57[[#This Row],[In]],$C$2-Table57[[#This Row],[In]],"")</f>
        <v/>
      </c>
      <c r="N597" s="29" t="str">
        <f>IFERROR(IF(Table57[[#This Row],[Out]]&gt;$C$3,(Table57[[#This Row],[Out]])-($C$3),""),"")</f>
        <v/>
      </c>
    </row>
    <row r="598" spans="1:14" hidden="1" x14ac:dyDescent="0.25">
      <c r="A598" s="23" t="str">
        <f>Table57[[#This Row],[No.]]&amp;Table57[[#This Row],[Date]]</f>
        <v>00</v>
      </c>
      <c r="B598" s="22">
        <f>'Unique Dates'!A595</f>
        <v>0</v>
      </c>
      <c r="C598" s="22" t="e" cm="1">
        <f t="array" ref="C598">_xlfn.XLOOKUP(Table57[[#This Row],[No.]],Table2[[#All],[CODE]],Table2[[#All],[NAME]],,0,1)</f>
        <v>#N/A</v>
      </c>
      <c r="D598" s="6">
        <f>'Unique Dates'!B595</f>
        <v>0</v>
      </c>
      <c r="E598" t="str">
        <f>TEXT(Table57[[#This Row],[Date]],"dddd")</f>
        <v>Saturday</v>
      </c>
      <c r="F598" s="25" t="str" cm="1">
        <f t="array" ref="F598">IFERROR(_xlfn.XLOOKUP(Table57[[#This Row],[Code]],Table1[[#All],[Code]],Table1[[#All],[Time]],,0,1),"")</f>
        <v/>
      </c>
      <c r="G598" s="25" t="str" cm="1">
        <f t="array" ref="G598">IFERROR(_xlfn.XLOOKUP(Table57[[#This Row],[Code]],Table1[[#All],[Code]],Table1[[#All],[Time]],,0,-1),"")</f>
        <v/>
      </c>
      <c r="H598" s="23" t="str">
        <f>IFERROR(IF(Table57[[#This Row],[Out]]&gt;=Table57[[#This Row],[In]],Table57[[#This Row],[Out]]-Table57[[#This Row],[In]],(0.5+Table57[[#This Row],[Out]])-Table57[[#This Row],[In]]),"")</f>
        <v/>
      </c>
      <c r="I598" s="31" t="str">
        <f>IFERROR(IF(Table57[[#This Row],[In]]&gt;$C$2,Table57[[#This Row],[In]]-$C$2,""),"")</f>
        <v/>
      </c>
      <c r="J598" s="31" t="str">
        <f>IF(Table57[[#This Row],[Work_Hours]]=0,"",(IF(Table57[[#This Row],[Out]]&lt;$C$3,$C$3-Table57[[#This Row],[Out]],"")))</f>
        <v/>
      </c>
      <c r="K598" s="32" t="str">
        <f>IFERROR(Table57[[#This Row],[In]]+$C$1,"")</f>
        <v/>
      </c>
      <c r="L598" s="29"/>
      <c r="M598" s="31" t="str">
        <f>IF($C$2&gt;Table57[[#This Row],[In]],$C$2-Table57[[#This Row],[In]],"")</f>
        <v/>
      </c>
      <c r="N598" s="29" t="str">
        <f>IFERROR(IF(Table57[[#This Row],[Out]]&gt;$C$3,(Table57[[#This Row],[Out]])-($C$3),""),"")</f>
        <v/>
      </c>
    </row>
    <row r="599" spans="1:14" hidden="1" x14ac:dyDescent="0.25">
      <c r="A599" s="23" t="str">
        <f>Table57[[#This Row],[No.]]&amp;Table57[[#This Row],[Date]]</f>
        <v>00</v>
      </c>
      <c r="B599" s="22">
        <f>'Unique Dates'!A596</f>
        <v>0</v>
      </c>
      <c r="C599" s="22" t="e" cm="1">
        <f t="array" ref="C599">_xlfn.XLOOKUP(Table57[[#This Row],[No.]],Table2[[#All],[CODE]],Table2[[#All],[NAME]],,0,1)</f>
        <v>#N/A</v>
      </c>
      <c r="D599" s="6">
        <f>'Unique Dates'!B596</f>
        <v>0</v>
      </c>
      <c r="E599" t="str">
        <f>TEXT(Table57[[#This Row],[Date]],"dddd")</f>
        <v>Saturday</v>
      </c>
      <c r="F599" s="25" t="str" cm="1">
        <f t="array" ref="F599">IFERROR(_xlfn.XLOOKUP(Table57[[#This Row],[Code]],Table1[[#All],[Code]],Table1[[#All],[Time]],,0,1),"")</f>
        <v/>
      </c>
      <c r="G599" s="25" t="str" cm="1">
        <f t="array" ref="G599">IFERROR(_xlfn.XLOOKUP(Table57[[#This Row],[Code]],Table1[[#All],[Code]],Table1[[#All],[Time]],,0,-1),"")</f>
        <v/>
      </c>
      <c r="H599" s="23" t="str">
        <f>IFERROR(IF(Table57[[#This Row],[Out]]&gt;=Table57[[#This Row],[In]],Table57[[#This Row],[Out]]-Table57[[#This Row],[In]],(0.5+Table57[[#This Row],[Out]])-Table57[[#This Row],[In]]),"")</f>
        <v/>
      </c>
      <c r="I599" s="31" t="str">
        <f>IFERROR(IF(Table57[[#This Row],[In]]&gt;$C$2,Table57[[#This Row],[In]]-$C$2,""),"")</f>
        <v/>
      </c>
      <c r="J599" s="31" t="str">
        <f>IF(Table57[[#This Row],[Work_Hours]]=0,"",(IF(Table57[[#This Row],[Out]]&lt;$C$3,$C$3-Table57[[#This Row],[Out]],"")))</f>
        <v/>
      </c>
      <c r="K599" s="32" t="str">
        <f>IFERROR(Table57[[#This Row],[In]]+$C$1,"")</f>
        <v/>
      </c>
      <c r="L599" s="29"/>
      <c r="M599" s="31" t="str">
        <f>IF($C$2&gt;Table57[[#This Row],[In]],$C$2-Table57[[#This Row],[In]],"")</f>
        <v/>
      </c>
      <c r="N599" s="29" t="str">
        <f>IFERROR(IF(Table57[[#This Row],[Out]]&gt;$C$3,(Table57[[#This Row],[Out]])-($C$3),""),"")</f>
        <v/>
      </c>
    </row>
    <row r="600" spans="1:14" hidden="1" x14ac:dyDescent="0.25">
      <c r="A600" s="23" t="str">
        <f>Table57[[#This Row],[No.]]&amp;Table57[[#This Row],[Date]]</f>
        <v>00</v>
      </c>
      <c r="B600" s="22">
        <f>'Unique Dates'!A597</f>
        <v>0</v>
      </c>
      <c r="C600" s="22" t="e" cm="1">
        <f t="array" ref="C600">_xlfn.XLOOKUP(Table57[[#This Row],[No.]],Table2[[#All],[CODE]],Table2[[#All],[NAME]],,0,1)</f>
        <v>#N/A</v>
      </c>
      <c r="D600" s="6">
        <f>'Unique Dates'!B597</f>
        <v>0</v>
      </c>
      <c r="E600" t="str">
        <f>TEXT(Table57[[#This Row],[Date]],"dddd")</f>
        <v>Saturday</v>
      </c>
      <c r="F600" s="25" t="str" cm="1">
        <f t="array" ref="F600">IFERROR(_xlfn.XLOOKUP(Table57[[#This Row],[Code]],Table1[[#All],[Code]],Table1[[#All],[Time]],,0,1),"")</f>
        <v/>
      </c>
      <c r="G600" s="25" t="str" cm="1">
        <f t="array" ref="G600">IFERROR(_xlfn.XLOOKUP(Table57[[#This Row],[Code]],Table1[[#All],[Code]],Table1[[#All],[Time]],,0,-1),"")</f>
        <v/>
      </c>
      <c r="H600" s="23" t="str">
        <f>IFERROR(IF(Table57[[#This Row],[Out]]&gt;=Table57[[#This Row],[In]],Table57[[#This Row],[Out]]-Table57[[#This Row],[In]],(0.5+Table57[[#This Row],[Out]])-Table57[[#This Row],[In]]),"")</f>
        <v/>
      </c>
      <c r="I600" s="31" t="str">
        <f>IFERROR(IF(Table57[[#This Row],[In]]&gt;$C$2,Table57[[#This Row],[In]]-$C$2,""),"")</f>
        <v/>
      </c>
      <c r="J600" s="31" t="str">
        <f>IF(Table57[[#This Row],[Work_Hours]]=0,"",(IF(Table57[[#This Row],[Out]]&lt;$C$3,$C$3-Table57[[#This Row],[Out]],"")))</f>
        <v/>
      </c>
      <c r="K600" s="32" t="str">
        <f>IFERROR(Table57[[#This Row],[In]]+$C$1,"")</f>
        <v/>
      </c>
      <c r="L600" s="29"/>
      <c r="M600" s="31" t="str">
        <f>IF($C$2&gt;Table57[[#This Row],[In]],$C$2-Table57[[#This Row],[In]],"")</f>
        <v/>
      </c>
      <c r="N600" s="29" t="str">
        <f>IFERROR(IF(Table57[[#This Row],[Out]]&gt;$C$3,(Table57[[#This Row],[Out]])-($C$3),""),"")</f>
        <v/>
      </c>
    </row>
    <row r="601" spans="1:14" hidden="1" x14ac:dyDescent="0.25">
      <c r="A601" s="23" t="str">
        <f>Table57[[#This Row],[No.]]&amp;Table57[[#This Row],[Date]]</f>
        <v>00</v>
      </c>
      <c r="B601" s="22">
        <f>'Unique Dates'!A598</f>
        <v>0</v>
      </c>
      <c r="C601" s="22" t="e" cm="1">
        <f t="array" ref="C601">_xlfn.XLOOKUP(Table57[[#This Row],[No.]],Table2[[#All],[CODE]],Table2[[#All],[NAME]],,0,1)</f>
        <v>#N/A</v>
      </c>
      <c r="D601" s="6">
        <f>'Unique Dates'!B598</f>
        <v>0</v>
      </c>
      <c r="E601" t="str">
        <f>TEXT(Table57[[#This Row],[Date]],"dddd")</f>
        <v>Saturday</v>
      </c>
      <c r="F601" s="25" t="str" cm="1">
        <f t="array" ref="F601">IFERROR(_xlfn.XLOOKUP(Table57[[#This Row],[Code]],Table1[[#All],[Code]],Table1[[#All],[Time]],,0,1),"")</f>
        <v/>
      </c>
      <c r="G601" s="25" t="str" cm="1">
        <f t="array" ref="G601">IFERROR(_xlfn.XLOOKUP(Table57[[#This Row],[Code]],Table1[[#All],[Code]],Table1[[#All],[Time]],,0,-1),"")</f>
        <v/>
      </c>
      <c r="H601" s="23" t="str">
        <f>IFERROR(IF(Table57[[#This Row],[Out]]&gt;=Table57[[#This Row],[In]],Table57[[#This Row],[Out]]-Table57[[#This Row],[In]],(0.5+Table57[[#This Row],[Out]])-Table57[[#This Row],[In]]),"")</f>
        <v/>
      </c>
      <c r="I601" s="31" t="str">
        <f>IFERROR(IF(Table57[[#This Row],[In]]&gt;$C$2,Table57[[#This Row],[In]]-$C$2,""),"")</f>
        <v/>
      </c>
      <c r="J601" s="31" t="str">
        <f>IF(Table57[[#This Row],[Work_Hours]]=0,"",(IF(Table57[[#This Row],[Out]]&lt;$C$3,$C$3-Table57[[#This Row],[Out]],"")))</f>
        <v/>
      </c>
      <c r="K601" s="32" t="str">
        <f>IFERROR(Table57[[#This Row],[In]]+$C$1,"")</f>
        <v/>
      </c>
      <c r="L601" s="29"/>
      <c r="M601" s="31" t="str">
        <f>IF($C$2&gt;Table57[[#This Row],[In]],$C$2-Table57[[#This Row],[In]],"")</f>
        <v/>
      </c>
      <c r="N601" s="29" t="str">
        <f>IFERROR(IF(Table57[[#This Row],[Out]]&gt;$C$3,(Table57[[#This Row],[Out]])-($C$3),""),"")</f>
        <v/>
      </c>
    </row>
    <row r="602" spans="1:14" hidden="1" x14ac:dyDescent="0.25">
      <c r="A602" s="23" t="str">
        <f>Table57[[#This Row],[No.]]&amp;Table57[[#This Row],[Date]]</f>
        <v>00</v>
      </c>
      <c r="B602" s="22">
        <f>'Unique Dates'!A599</f>
        <v>0</v>
      </c>
      <c r="C602" s="22" t="e" cm="1">
        <f t="array" ref="C602">_xlfn.XLOOKUP(Table57[[#This Row],[No.]],Table2[[#All],[CODE]],Table2[[#All],[NAME]],,0,1)</f>
        <v>#N/A</v>
      </c>
      <c r="D602" s="6">
        <f>'Unique Dates'!B599</f>
        <v>0</v>
      </c>
      <c r="E602" t="str">
        <f>TEXT(Table57[[#This Row],[Date]],"dddd")</f>
        <v>Saturday</v>
      </c>
      <c r="F602" s="25" t="str" cm="1">
        <f t="array" ref="F602">IFERROR(_xlfn.XLOOKUP(Table57[[#This Row],[Code]],Table1[[#All],[Code]],Table1[[#All],[Time]],,0,1),"")</f>
        <v/>
      </c>
      <c r="G602" s="25" t="str" cm="1">
        <f t="array" ref="G602">IFERROR(_xlfn.XLOOKUP(Table57[[#This Row],[Code]],Table1[[#All],[Code]],Table1[[#All],[Time]],,0,-1),"")</f>
        <v/>
      </c>
      <c r="H602" s="23" t="str">
        <f>IFERROR(IF(Table57[[#This Row],[Out]]&gt;=Table57[[#This Row],[In]],Table57[[#This Row],[Out]]-Table57[[#This Row],[In]],(0.5+Table57[[#This Row],[Out]])-Table57[[#This Row],[In]]),"")</f>
        <v/>
      </c>
      <c r="I602" s="31" t="str">
        <f>IFERROR(IF(Table57[[#This Row],[In]]&gt;$C$2,Table57[[#This Row],[In]]-$C$2,""),"")</f>
        <v/>
      </c>
      <c r="J602" s="31" t="str">
        <f>IF(Table57[[#This Row],[Work_Hours]]=0,"",(IF(Table57[[#This Row],[Out]]&lt;$C$3,$C$3-Table57[[#This Row],[Out]],"")))</f>
        <v/>
      </c>
      <c r="K602" s="32" t="str">
        <f>IFERROR(Table57[[#This Row],[In]]+$C$1,"")</f>
        <v/>
      </c>
      <c r="L602" s="29"/>
      <c r="M602" s="31" t="str">
        <f>IF($C$2&gt;Table57[[#This Row],[In]],$C$2-Table57[[#This Row],[In]],"")</f>
        <v/>
      </c>
      <c r="N602" s="29" t="str">
        <f>IFERROR(IF(Table57[[#This Row],[Out]]&gt;$C$3,(Table57[[#This Row],[Out]])-($C$3),""),"")</f>
        <v/>
      </c>
    </row>
    <row r="603" spans="1:14" hidden="1" x14ac:dyDescent="0.25">
      <c r="A603" s="23" t="str">
        <f>Table57[[#This Row],[No.]]&amp;Table57[[#This Row],[Date]]</f>
        <v>00</v>
      </c>
      <c r="B603" s="22">
        <f>'Unique Dates'!A600</f>
        <v>0</v>
      </c>
      <c r="C603" s="22" t="e" cm="1">
        <f t="array" ref="C603">_xlfn.XLOOKUP(Table57[[#This Row],[No.]],Table2[[#All],[CODE]],Table2[[#All],[NAME]],,0,1)</f>
        <v>#N/A</v>
      </c>
      <c r="D603" s="6">
        <f>'Unique Dates'!B600</f>
        <v>0</v>
      </c>
      <c r="E603" t="str">
        <f>TEXT(Table57[[#This Row],[Date]],"dddd")</f>
        <v>Saturday</v>
      </c>
      <c r="F603" s="25" t="str" cm="1">
        <f t="array" ref="F603">IFERROR(_xlfn.XLOOKUP(Table57[[#This Row],[Code]],Table1[[#All],[Code]],Table1[[#All],[Time]],,0,1),"")</f>
        <v/>
      </c>
      <c r="G603" s="25" t="str" cm="1">
        <f t="array" ref="G603">IFERROR(_xlfn.XLOOKUP(Table57[[#This Row],[Code]],Table1[[#All],[Code]],Table1[[#All],[Time]],,0,-1),"")</f>
        <v/>
      </c>
      <c r="H603" s="23" t="str">
        <f>IFERROR(IF(Table57[[#This Row],[Out]]&gt;=Table57[[#This Row],[In]],Table57[[#This Row],[Out]]-Table57[[#This Row],[In]],(0.5+Table57[[#This Row],[Out]])-Table57[[#This Row],[In]]),"")</f>
        <v/>
      </c>
      <c r="I603" s="31" t="str">
        <f>IFERROR(IF(Table57[[#This Row],[In]]&gt;$C$2,Table57[[#This Row],[In]]-$C$2,""),"")</f>
        <v/>
      </c>
      <c r="J603" s="31" t="str">
        <f>IF(Table57[[#This Row],[Work_Hours]]=0,"",(IF(Table57[[#This Row],[Out]]&lt;$C$3,$C$3-Table57[[#This Row],[Out]],"")))</f>
        <v/>
      </c>
      <c r="K603" s="32" t="str">
        <f>IFERROR(Table57[[#This Row],[In]]+$C$1,"")</f>
        <v/>
      </c>
      <c r="L603" s="29"/>
      <c r="M603" s="31" t="str">
        <f>IF($C$2&gt;Table57[[#This Row],[In]],$C$2-Table57[[#This Row],[In]],"")</f>
        <v/>
      </c>
      <c r="N603" s="29" t="str">
        <f>IFERROR(IF(Table57[[#This Row],[Out]]&gt;$C$3,(Table57[[#This Row],[Out]])-($C$3),""),"")</f>
        <v/>
      </c>
    </row>
    <row r="604" spans="1:14" hidden="1" x14ac:dyDescent="0.25">
      <c r="A604" s="23" t="str">
        <f>Table57[[#This Row],[No.]]&amp;Table57[[#This Row],[Date]]</f>
        <v>00</v>
      </c>
      <c r="B604" s="22">
        <f>'Unique Dates'!A601</f>
        <v>0</v>
      </c>
      <c r="C604" s="22" t="e" cm="1">
        <f t="array" ref="C604">_xlfn.XLOOKUP(Table57[[#This Row],[No.]],Table2[[#All],[CODE]],Table2[[#All],[NAME]],,0,1)</f>
        <v>#N/A</v>
      </c>
      <c r="D604" s="6">
        <f>'Unique Dates'!B601</f>
        <v>0</v>
      </c>
      <c r="E604" t="str">
        <f>TEXT(Table57[[#This Row],[Date]],"dddd")</f>
        <v>Saturday</v>
      </c>
      <c r="F604" s="25" t="str" cm="1">
        <f t="array" ref="F604">IFERROR(_xlfn.XLOOKUP(Table57[[#This Row],[Code]],Table1[[#All],[Code]],Table1[[#All],[Time]],,0,1),"")</f>
        <v/>
      </c>
      <c r="G604" s="25" t="str" cm="1">
        <f t="array" ref="G604">IFERROR(_xlfn.XLOOKUP(Table57[[#This Row],[Code]],Table1[[#All],[Code]],Table1[[#All],[Time]],,0,-1),"")</f>
        <v/>
      </c>
      <c r="H604" s="23" t="str">
        <f>IFERROR(IF(Table57[[#This Row],[Out]]&gt;=Table57[[#This Row],[In]],Table57[[#This Row],[Out]]-Table57[[#This Row],[In]],(0.5+Table57[[#This Row],[Out]])-Table57[[#This Row],[In]]),"")</f>
        <v/>
      </c>
      <c r="I604" s="31" t="str">
        <f>IFERROR(IF(Table57[[#This Row],[In]]&gt;$C$2,Table57[[#This Row],[In]]-$C$2,""),"")</f>
        <v/>
      </c>
      <c r="J604" s="31" t="str">
        <f>IF(Table57[[#This Row],[Work_Hours]]=0,"",(IF(Table57[[#This Row],[Out]]&lt;$C$3,$C$3-Table57[[#This Row],[Out]],"")))</f>
        <v/>
      </c>
      <c r="K604" s="32" t="str">
        <f>IFERROR(Table57[[#This Row],[In]]+$C$1,"")</f>
        <v/>
      </c>
      <c r="L604" s="29"/>
      <c r="M604" s="31" t="str">
        <f>IF($C$2&gt;Table57[[#This Row],[In]],$C$2-Table57[[#This Row],[In]],"")</f>
        <v/>
      </c>
      <c r="N604" s="29" t="str">
        <f>IFERROR(IF(Table57[[#This Row],[Out]]&gt;$C$3,(Table57[[#This Row],[Out]])-($C$3),""),"")</f>
        <v/>
      </c>
    </row>
    <row r="605" spans="1:14" hidden="1" x14ac:dyDescent="0.25">
      <c r="A605" s="23" t="str">
        <f>Table57[[#This Row],[No.]]&amp;Table57[[#This Row],[Date]]</f>
        <v>00</v>
      </c>
      <c r="B605" s="22">
        <f>'Unique Dates'!A602</f>
        <v>0</v>
      </c>
      <c r="C605" s="22" t="e" cm="1">
        <f t="array" ref="C605">_xlfn.XLOOKUP(Table57[[#This Row],[No.]],Table2[[#All],[CODE]],Table2[[#All],[NAME]],,0,1)</f>
        <v>#N/A</v>
      </c>
      <c r="D605" s="6">
        <f>'Unique Dates'!B602</f>
        <v>0</v>
      </c>
      <c r="E605" t="str">
        <f>TEXT(Table57[[#This Row],[Date]],"dddd")</f>
        <v>Saturday</v>
      </c>
      <c r="F605" s="25" t="str" cm="1">
        <f t="array" ref="F605">IFERROR(_xlfn.XLOOKUP(Table57[[#This Row],[Code]],Table1[[#All],[Code]],Table1[[#All],[Time]],,0,1),"")</f>
        <v/>
      </c>
      <c r="G605" s="25" t="str" cm="1">
        <f t="array" ref="G605">IFERROR(_xlfn.XLOOKUP(Table57[[#This Row],[Code]],Table1[[#All],[Code]],Table1[[#All],[Time]],,0,-1),"")</f>
        <v/>
      </c>
      <c r="H605" s="23" t="str">
        <f>IFERROR(IF(Table57[[#This Row],[Out]]&gt;=Table57[[#This Row],[In]],Table57[[#This Row],[Out]]-Table57[[#This Row],[In]],(0.5+Table57[[#This Row],[Out]])-Table57[[#This Row],[In]]),"")</f>
        <v/>
      </c>
      <c r="I605" s="31" t="str">
        <f>IFERROR(IF(Table57[[#This Row],[In]]&gt;$C$2,Table57[[#This Row],[In]]-$C$2,""),"")</f>
        <v/>
      </c>
      <c r="J605" s="31" t="str">
        <f>IF(Table57[[#This Row],[Work_Hours]]=0,"",(IF(Table57[[#This Row],[Out]]&lt;$C$3,$C$3-Table57[[#This Row],[Out]],"")))</f>
        <v/>
      </c>
      <c r="K605" s="32" t="str">
        <f>IFERROR(Table57[[#This Row],[In]]+$C$1,"")</f>
        <v/>
      </c>
      <c r="L605" s="29"/>
      <c r="M605" s="31" t="str">
        <f>IF($C$2&gt;Table57[[#This Row],[In]],$C$2-Table57[[#This Row],[In]],"")</f>
        <v/>
      </c>
      <c r="N605" s="29" t="str">
        <f>IFERROR(IF(Table57[[#This Row],[Out]]&gt;$C$3,(Table57[[#This Row],[Out]])-($C$3),""),"")</f>
        <v/>
      </c>
    </row>
    <row r="606" spans="1:14" hidden="1" x14ac:dyDescent="0.25">
      <c r="A606" s="23" t="str">
        <f>Table57[[#This Row],[No.]]&amp;Table57[[#This Row],[Date]]</f>
        <v>00</v>
      </c>
      <c r="B606" s="22">
        <f>'Unique Dates'!A603</f>
        <v>0</v>
      </c>
      <c r="C606" s="22" t="e" cm="1">
        <f t="array" ref="C606">_xlfn.XLOOKUP(Table57[[#This Row],[No.]],Table2[[#All],[CODE]],Table2[[#All],[NAME]],,0,1)</f>
        <v>#N/A</v>
      </c>
      <c r="D606" s="6">
        <f>'Unique Dates'!B603</f>
        <v>0</v>
      </c>
      <c r="E606" t="str">
        <f>TEXT(Table57[[#This Row],[Date]],"dddd")</f>
        <v>Saturday</v>
      </c>
      <c r="F606" s="25" t="str" cm="1">
        <f t="array" ref="F606">IFERROR(_xlfn.XLOOKUP(Table57[[#This Row],[Code]],Table1[[#All],[Code]],Table1[[#All],[Time]],,0,1),"")</f>
        <v/>
      </c>
      <c r="G606" s="25" t="str" cm="1">
        <f t="array" ref="G606">IFERROR(_xlfn.XLOOKUP(Table57[[#This Row],[Code]],Table1[[#All],[Code]],Table1[[#All],[Time]],,0,-1),"")</f>
        <v/>
      </c>
      <c r="H606" s="23" t="str">
        <f>IFERROR(IF(Table57[[#This Row],[Out]]&gt;=Table57[[#This Row],[In]],Table57[[#This Row],[Out]]-Table57[[#This Row],[In]],(0.5+Table57[[#This Row],[Out]])-Table57[[#This Row],[In]]),"")</f>
        <v/>
      </c>
      <c r="I606" s="31" t="str">
        <f>IFERROR(IF(Table57[[#This Row],[In]]&gt;$C$2,Table57[[#This Row],[In]]-$C$2,""),"")</f>
        <v/>
      </c>
      <c r="J606" s="31" t="str">
        <f>IF(Table57[[#This Row],[Work_Hours]]=0,"",(IF(Table57[[#This Row],[Out]]&lt;$C$3,$C$3-Table57[[#This Row],[Out]],"")))</f>
        <v/>
      </c>
      <c r="K606" s="32" t="str">
        <f>IFERROR(Table57[[#This Row],[In]]+$C$1,"")</f>
        <v/>
      </c>
      <c r="L606" s="29"/>
      <c r="M606" s="31" t="str">
        <f>IF($C$2&gt;Table57[[#This Row],[In]],$C$2-Table57[[#This Row],[In]],"")</f>
        <v/>
      </c>
      <c r="N606" s="29" t="str">
        <f>IFERROR(IF(Table57[[#This Row],[Out]]&gt;$C$3,(Table57[[#This Row],[Out]])-($C$3),""),"")</f>
        <v/>
      </c>
    </row>
    <row r="607" spans="1:14" hidden="1" x14ac:dyDescent="0.25">
      <c r="A607" s="23" t="str">
        <f>Table57[[#This Row],[No.]]&amp;Table57[[#This Row],[Date]]</f>
        <v>00</v>
      </c>
      <c r="B607" s="22">
        <f>'Unique Dates'!A604</f>
        <v>0</v>
      </c>
      <c r="C607" s="22" t="e" cm="1">
        <f t="array" ref="C607">_xlfn.XLOOKUP(Table57[[#This Row],[No.]],Table2[[#All],[CODE]],Table2[[#All],[NAME]],,0,1)</f>
        <v>#N/A</v>
      </c>
      <c r="D607" s="6">
        <f>'Unique Dates'!B604</f>
        <v>0</v>
      </c>
      <c r="E607" t="str">
        <f>TEXT(Table57[[#This Row],[Date]],"dddd")</f>
        <v>Saturday</v>
      </c>
      <c r="F607" s="25" t="str" cm="1">
        <f t="array" ref="F607">IFERROR(_xlfn.XLOOKUP(Table57[[#This Row],[Code]],Table1[[#All],[Code]],Table1[[#All],[Time]],,0,1),"")</f>
        <v/>
      </c>
      <c r="G607" s="25" t="str" cm="1">
        <f t="array" ref="G607">IFERROR(_xlfn.XLOOKUP(Table57[[#This Row],[Code]],Table1[[#All],[Code]],Table1[[#All],[Time]],,0,-1),"")</f>
        <v/>
      </c>
      <c r="H607" s="23" t="str">
        <f>IFERROR(IF(Table57[[#This Row],[Out]]&gt;=Table57[[#This Row],[In]],Table57[[#This Row],[Out]]-Table57[[#This Row],[In]],(0.5+Table57[[#This Row],[Out]])-Table57[[#This Row],[In]]),"")</f>
        <v/>
      </c>
      <c r="I607" s="31" t="str">
        <f>IFERROR(IF(Table57[[#This Row],[In]]&gt;$C$2,Table57[[#This Row],[In]]-$C$2,""),"")</f>
        <v/>
      </c>
      <c r="J607" s="31" t="str">
        <f>IF(Table57[[#This Row],[Work_Hours]]=0,"",(IF(Table57[[#This Row],[Out]]&lt;$C$3,$C$3-Table57[[#This Row],[Out]],"")))</f>
        <v/>
      </c>
      <c r="K607" s="32" t="str">
        <f>IFERROR(Table57[[#This Row],[In]]+$C$1,"")</f>
        <v/>
      </c>
      <c r="L607" s="29"/>
      <c r="M607" s="31" t="str">
        <f>IF($C$2&gt;Table57[[#This Row],[In]],$C$2-Table57[[#This Row],[In]],"")</f>
        <v/>
      </c>
      <c r="N607" s="29" t="str">
        <f>IFERROR(IF(Table57[[#This Row],[Out]]&gt;$C$3,(Table57[[#This Row],[Out]])-($C$3),""),"")</f>
        <v/>
      </c>
    </row>
    <row r="608" spans="1:14" hidden="1" x14ac:dyDescent="0.25">
      <c r="A608" s="23" t="str">
        <f>Table57[[#This Row],[No.]]&amp;Table57[[#This Row],[Date]]</f>
        <v>00</v>
      </c>
      <c r="B608" s="22">
        <f>'Unique Dates'!A605</f>
        <v>0</v>
      </c>
      <c r="C608" s="22" t="e" cm="1">
        <f t="array" ref="C608">_xlfn.XLOOKUP(Table57[[#This Row],[No.]],Table2[[#All],[CODE]],Table2[[#All],[NAME]],,0,1)</f>
        <v>#N/A</v>
      </c>
      <c r="D608" s="6">
        <f>'Unique Dates'!B605</f>
        <v>0</v>
      </c>
      <c r="E608" t="str">
        <f>TEXT(Table57[[#This Row],[Date]],"dddd")</f>
        <v>Saturday</v>
      </c>
      <c r="F608" s="25" t="str" cm="1">
        <f t="array" ref="F608">IFERROR(_xlfn.XLOOKUP(Table57[[#This Row],[Code]],Table1[[#All],[Code]],Table1[[#All],[Time]],,0,1),"")</f>
        <v/>
      </c>
      <c r="G608" s="25" t="str" cm="1">
        <f t="array" ref="G608">IFERROR(_xlfn.XLOOKUP(Table57[[#This Row],[Code]],Table1[[#All],[Code]],Table1[[#All],[Time]],,0,-1),"")</f>
        <v/>
      </c>
      <c r="H608" s="23" t="str">
        <f>IFERROR(IF(Table57[[#This Row],[Out]]&gt;=Table57[[#This Row],[In]],Table57[[#This Row],[Out]]-Table57[[#This Row],[In]],(0.5+Table57[[#This Row],[Out]])-Table57[[#This Row],[In]]),"")</f>
        <v/>
      </c>
      <c r="I608" s="31" t="str">
        <f>IFERROR(IF(Table57[[#This Row],[In]]&gt;$C$2,Table57[[#This Row],[In]]-$C$2,""),"")</f>
        <v/>
      </c>
      <c r="J608" s="31" t="str">
        <f>IF(Table57[[#This Row],[Work_Hours]]=0,"",(IF(Table57[[#This Row],[Out]]&lt;$C$3,$C$3-Table57[[#This Row],[Out]],"")))</f>
        <v/>
      </c>
      <c r="K608" s="32" t="str">
        <f>IFERROR(Table57[[#This Row],[In]]+$C$1,"")</f>
        <v/>
      </c>
      <c r="L608" s="29"/>
      <c r="M608" s="31" t="str">
        <f>IF($C$2&gt;Table57[[#This Row],[In]],$C$2-Table57[[#This Row],[In]],"")</f>
        <v/>
      </c>
      <c r="N608" s="29" t="str">
        <f>IFERROR(IF(Table57[[#This Row],[Out]]&gt;$C$3,(Table57[[#This Row],[Out]])-($C$3),""),"")</f>
        <v/>
      </c>
    </row>
    <row r="609" spans="1:14" hidden="1" x14ac:dyDescent="0.25">
      <c r="A609" s="23" t="str">
        <f>Table57[[#This Row],[No.]]&amp;Table57[[#This Row],[Date]]</f>
        <v>00</v>
      </c>
      <c r="B609" s="22">
        <f>'Unique Dates'!A606</f>
        <v>0</v>
      </c>
      <c r="C609" s="22" t="e" cm="1">
        <f t="array" ref="C609">_xlfn.XLOOKUP(Table57[[#This Row],[No.]],Table2[[#All],[CODE]],Table2[[#All],[NAME]],,0,1)</f>
        <v>#N/A</v>
      </c>
      <c r="D609" s="6">
        <f>'Unique Dates'!B606</f>
        <v>0</v>
      </c>
      <c r="E609" t="str">
        <f>TEXT(Table57[[#This Row],[Date]],"dddd")</f>
        <v>Saturday</v>
      </c>
      <c r="F609" s="25" t="str" cm="1">
        <f t="array" ref="F609">IFERROR(_xlfn.XLOOKUP(Table57[[#This Row],[Code]],Table1[[#All],[Code]],Table1[[#All],[Time]],,0,1),"")</f>
        <v/>
      </c>
      <c r="G609" s="25" t="str" cm="1">
        <f t="array" ref="G609">IFERROR(_xlfn.XLOOKUP(Table57[[#This Row],[Code]],Table1[[#All],[Code]],Table1[[#All],[Time]],,0,-1),"")</f>
        <v/>
      </c>
      <c r="H609" s="23" t="str">
        <f>IFERROR(IF(Table57[[#This Row],[Out]]&gt;=Table57[[#This Row],[In]],Table57[[#This Row],[Out]]-Table57[[#This Row],[In]],(0.5+Table57[[#This Row],[Out]])-Table57[[#This Row],[In]]),"")</f>
        <v/>
      </c>
      <c r="I609" s="31" t="str">
        <f>IFERROR(IF(Table57[[#This Row],[In]]&gt;$C$2,Table57[[#This Row],[In]]-$C$2,""),"")</f>
        <v/>
      </c>
      <c r="J609" s="31" t="str">
        <f>IF(Table57[[#This Row],[Work_Hours]]=0,"",(IF(Table57[[#This Row],[Out]]&lt;$C$3,$C$3-Table57[[#This Row],[Out]],"")))</f>
        <v/>
      </c>
      <c r="K609" s="32" t="str">
        <f>IFERROR(Table57[[#This Row],[In]]+$C$1,"")</f>
        <v/>
      </c>
      <c r="L609" s="29"/>
      <c r="M609" s="31" t="str">
        <f>IF($C$2&gt;Table57[[#This Row],[In]],$C$2-Table57[[#This Row],[In]],"")</f>
        <v/>
      </c>
      <c r="N609" s="29" t="str">
        <f>IFERROR(IF(Table57[[#This Row],[Out]]&gt;$C$3,(Table57[[#This Row],[Out]])-($C$3),""),"")</f>
        <v/>
      </c>
    </row>
    <row r="610" spans="1:14" hidden="1" x14ac:dyDescent="0.25">
      <c r="A610" s="23" t="str">
        <f>Table57[[#This Row],[No.]]&amp;Table57[[#This Row],[Date]]</f>
        <v>00</v>
      </c>
      <c r="B610" s="22">
        <f>'Unique Dates'!A607</f>
        <v>0</v>
      </c>
      <c r="C610" s="22" t="e" cm="1">
        <f t="array" ref="C610">_xlfn.XLOOKUP(Table57[[#This Row],[No.]],Table2[[#All],[CODE]],Table2[[#All],[NAME]],,0,1)</f>
        <v>#N/A</v>
      </c>
      <c r="D610" s="6">
        <f>'Unique Dates'!B607</f>
        <v>0</v>
      </c>
      <c r="E610" t="str">
        <f>TEXT(Table57[[#This Row],[Date]],"dddd")</f>
        <v>Saturday</v>
      </c>
      <c r="F610" s="25" t="str" cm="1">
        <f t="array" ref="F610">IFERROR(_xlfn.XLOOKUP(Table57[[#This Row],[Code]],Table1[[#All],[Code]],Table1[[#All],[Time]],,0,1),"")</f>
        <v/>
      </c>
      <c r="G610" s="25" t="str" cm="1">
        <f t="array" ref="G610">IFERROR(_xlfn.XLOOKUP(Table57[[#This Row],[Code]],Table1[[#All],[Code]],Table1[[#All],[Time]],,0,-1),"")</f>
        <v/>
      </c>
      <c r="H610" s="23" t="str">
        <f>IFERROR(IF(Table57[[#This Row],[Out]]&gt;=Table57[[#This Row],[In]],Table57[[#This Row],[Out]]-Table57[[#This Row],[In]],(0.5+Table57[[#This Row],[Out]])-Table57[[#This Row],[In]]),"")</f>
        <v/>
      </c>
      <c r="I610" s="31" t="str">
        <f>IFERROR(IF(Table57[[#This Row],[In]]&gt;$C$2,Table57[[#This Row],[In]]-$C$2,""),"")</f>
        <v/>
      </c>
      <c r="J610" s="31" t="str">
        <f>IF(Table57[[#This Row],[Work_Hours]]=0,"",(IF(Table57[[#This Row],[Out]]&lt;$C$3,$C$3-Table57[[#This Row],[Out]],"")))</f>
        <v/>
      </c>
      <c r="K610" s="32" t="str">
        <f>IFERROR(Table57[[#This Row],[In]]+$C$1,"")</f>
        <v/>
      </c>
      <c r="L610" s="29"/>
      <c r="M610" s="31" t="str">
        <f>IF($C$2&gt;Table57[[#This Row],[In]],$C$2-Table57[[#This Row],[In]],"")</f>
        <v/>
      </c>
      <c r="N610" s="29" t="str">
        <f>IFERROR(IF(Table57[[#This Row],[Out]]&gt;$C$3,(Table57[[#This Row],[Out]])-($C$3),""),"")</f>
        <v/>
      </c>
    </row>
    <row r="611" spans="1:14" hidden="1" x14ac:dyDescent="0.25">
      <c r="A611" s="23" t="str">
        <f>Table57[[#This Row],[No.]]&amp;Table57[[#This Row],[Date]]</f>
        <v>00</v>
      </c>
      <c r="B611" s="22">
        <f>'Unique Dates'!A608</f>
        <v>0</v>
      </c>
      <c r="C611" s="22" t="e" cm="1">
        <f t="array" ref="C611">_xlfn.XLOOKUP(Table57[[#This Row],[No.]],Table2[[#All],[CODE]],Table2[[#All],[NAME]],,0,1)</f>
        <v>#N/A</v>
      </c>
      <c r="D611" s="6">
        <f>'Unique Dates'!B608</f>
        <v>0</v>
      </c>
      <c r="E611" t="str">
        <f>TEXT(Table57[[#This Row],[Date]],"dddd")</f>
        <v>Saturday</v>
      </c>
      <c r="F611" s="25" t="str" cm="1">
        <f t="array" ref="F611">IFERROR(_xlfn.XLOOKUP(Table57[[#This Row],[Code]],Table1[[#All],[Code]],Table1[[#All],[Time]],,0,1),"")</f>
        <v/>
      </c>
      <c r="G611" s="25" t="str" cm="1">
        <f t="array" ref="G611">IFERROR(_xlfn.XLOOKUP(Table57[[#This Row],[Code]],Table1[[#All],[Code]],Table1[[#All],[Time]],,0,-1),"")</f>
        <v/>
      </c>
      <c r="H611" s="23" t="str">
        <f>IFERROR(IF(Table57[[#This Row],[Out]]&gt;=Table57[[#This Row],[In]],Table57[[#This Row],[Out]]-Table57[[#This Row],[In]],(0.5+Table57[[#This Row],[Out]])-Table57[[#This Row],[In]]),"")</f>
        <v/>
      </c>
      <c r="I611" s="31" t="str">
        <f>IFERROR(IF(Table57[[#This Row],[In]]&gt;$C$2,Table57[[#This Row],[In]]-$C$2,""),"")</f>
        <v/>
      </c>
      <c r="J611" s="31" t="str">
        <f>IF(Table57[[#This Row],[Work_Hours]]=0,"",(IF(Table57[[#This Row],[Out]]&lt;$C$3,$C$3-Table57[[#This Row],[Out]],"")))</f>
        <v/>
      </c>
      <c r="K611" s="32" t="str">
        <f>IFERROR(Table57[[#This Row],[In]]+$C$1,"")</f>
        <v/>
      </c>
      <c r="L611" s="29"/>
      <c r="M611" s="31" t="str">
        <f>IF($C$2&gt;Table57[[#This Row],[In]],$C$2-Table57[[#This Row],[In]],"")</f>
        <v/>
      </c>
      <c r="N611" s="29" t="str">
        <f>IFERROR(IF(Table57[[#This Row],[Out]]&gt;$C$3,(Table57[[#This Row],[Out]])-($C$3),""),"")</f>
        <v/>
      </c>
    </row>
    <row r="612" spans="1:14" hidden="1" x14ac:dyDescent="0.25">
      <c r="A612" s="23" t="str">
        <f>Table57[[#This Row],[No.]]&amp;Table57[[#This Row],[Date]]</f>
        <v>00</v>
      </c>
      <c r="B612" s="22">
        <f>'Unique Dates'!A609</f>
        <v>0</v>
      </c>
      <c r="C612" s="22" t="e" cm="1">
        <f t="array" ref="C612">_xlfn.XLOOKUP(Table57[[#This Row],[No.]],Table2[[#All],[CODE]],Table2[[#All],[NAME]],,0,1)</f>
        <v>#N/A</v>
      </c>
      <c r="D612" s="6">
        <f>'Unique Dates'!B609</f>
        <v>0</v>
      </c>
      <c r="E612" t="str">
        <f>TEXT(Table57[[#This Row],[Date]],"dddd")</f>
        <v>Saturday</v>
      </c>
      <c r="F612" s="25" t="str" cm="1">
        <f t="array" ref="F612">IFERROR(_xlfn.XLOOKUP(Table57[[#This Row],[Code]],Table1[[#All],[Code]],Table1[[#All],[Time]],,0,1),"")</f>
        <v/>
      </c>
      <c r="G612" s="25" t="str" cm="1">
        <f t="array" ref="G612">IFERROR(_xlfn.XLOOKUP(Table57[[#This Row],[Code]],Table1[[#All],[Code]],Table1[[#All],[Time]],,0,-1),"")</f>
        <v/>
      </c>
      <c r="H612" s="23" t="str">
        <f>IFERROR(IF(Table57[[#This Row],[Out]]&gt;=Table57[[#This Row],[In]],Table57[[#This Row],[Out]]-Table57[[#This Row],[In]],(0.5+Table57[[#This Row],[Out]])-Table57[[#This Row],[In]]),"")</f>
        <v/>
      </c>
      <c r="I612" s="31" t="str">
        <f>IFERROR(IF(Table57[[#This Row],[In]]&gt;$C$2,Table57[[#This Row],[In]]-$C$2,""),"")</f>
        <v/>
      </c>
      <c r="J612" s="31" t="str">
        <f>IF(Table57[[#This Row],[Work_Hours]]=0,"",(IF(Table57[[#This Row],[Out]]&lt;$C$3,$C$3-Table57[[#This Row],[Out]],"")))</f>
        <v/>
      </c>
      <c r="K612" s="32" t="str">
        <f>IFERROR(Table57[[#This Row],[In]]+$C$1,"")</f>
        <v/>
      </c>
      <c r="L612" s="29"/>
      <c r="M612" s="31" t="str">
        <f>IF($C$2&gt;Table57[[#This Row],[In]],$C$2-Table57[[#This Row],[In]],"")</f>
        <v/>
      </c>
      <c r="N612" s="29" t="str">
        <f>IFERROR(IF(Table57[[#This Row],[Out]]&gt;$C$3,(Table57[[#This Row],[Out]])-($C$3),""),"")</f>
        <v/>
      </c>
    </row>
    <row r="613" spans="1:14" hidden="1" x14ac:dyDescent="0.25">
      <c r="A613" s="23" t="str">
        <f>Table57[[#This Row],[No.]]&amp;Table57[[#This Row],[Date]]</f>
        <v>00</v>
      </c>
      <c r="B613" s="22">
        <f>'Unique Dates'!A610</f>
        <v>0</v>
      </c>
      <c r="C613" s="22" t="e" cm="1">
        <f t="array" ref="C613">_xlfn.XLOOKUP(Table57[[#This Row],[No.]],Table2[[#All],[CODE]],Table2[[#All],[NAME]],,0,1)</f>
        <v>#N/A</v>
      </c>
      <c r="D613" s="6">
        <f>'Unique Dates'!B610</f>
        <v>0</v>
      </c>
      <c r="E613" t="str">
        <f>TEXT(Table57[[#This Row],[Date]],"dddd")</f>
        <v>Saturday</v>
      </c>
      <c r="F613" s="25" t="str" cm="1">
        <f t="array" ref="F613">IFERROR(_xlfn.XLOOKUP(Table57[[#This Row],[Code]],Table1[[#All],[Code]],Table1[[#All],[Time]],,0,1),"")</f>
        <v/>
      </c>
      <c r="G613" s="25" t="str" cm="1">
        <f t="array" ref="G613">IFERROR(_xlfn.XLOOKUP(Table57[[#This Row],[Code]],Table1[[#All],[Code]],Table1[[#All],[Time]],,0,-1),"")</f>
        <v/>
      </c>
      <c r="H613" s="23" t="str">
        <f>IFERROR(IF(Table57[[#This Row],[Out]]&gt;=Table57[[#This Row],[In]],Table57[[#This Row],[Out]]-Table57[[#This Row],[In]],(0.5+Table57[[#This Row],[Out]])-Table57[[#This Row],[In]]),"")</f>
        <v/>
      </c>
      <c r="I613" s="31" t="str">
        <f>IFERROR(IF(Table57[[#This Row],[In]]&gt;$C$2,Table57[[#This Row],[In]]-$C$2,""),"")</f>
        <v/>
      </c>
      <c r="J613" s="31" t="str">
        <f>IF(Table57[[#This Row],[Work_Hours]]=0,"",(IF(Table57[[#This Row],[Out]]&lt;$C$3,$C$3-Table57[[#This Row],[Out]],"")))</f>
        <v/>
      </c>
      <c r="K613" s="32" t="str">
        <f>IFERROR(Table57[[#This Row],[In]]+$C$1,"")</f>
        <v/>
      </c>
      <c r="L613" s="29"/>
      <c r="M613" s="31" t="str">
        <f>IF($C$2&gt;Table57[[#This Row],[In]],$C$2-Table57[[#This Row],[In]],"")</f>
        <v/>
      </c>
      <c r="N613" s="29" t="str">
        <f>IFERROR(IF(Table57[[#This Row],[Out]]&gt;$C$3,(Table57[[#This Row],[Out]])-($C$3),""),"")</f>
        <v/>
      </c>
    </row>
    <row r="614" spans="1:14" hidden="1" x14ac:dyDescent="0.25">
      <c r="A614" s="23" t="str">
        <f>Table57[[#This Row],[No.]]&amp;Table57[[#This Row],[Date]]</f>
        <v>00</v>
      </c>
      <c r="B614" s="22">
        <f>'Unique Dates'!A611</f>
        <v>0</v>
      </c>
      <c r="C614" s="22" t="e" cm="1">
        <f t="array" ref="C614">_xlfn.XLOOKUP(Table57[[#This Row],[No.]],Table2[[#All],[CODE]],Table2[[#All],[NAME]],,0,1)</f>
        <v>#N/A</v>
      </c>
      <c r="D614" s="6">
        <f>'Unique Dates'!B611</f>
        <v>0</v>
      </c>
      <c r="E614" t="str">
        <f>TEXT(Table57[[#This Row],[Date]],"dddd")</f>
        <v>Saturday</v>
      </c>
      <c r="F614" s="25" t="str" cm="1">
        <f t="array" ref="F614">IFERROR(_xlfn.XLOOKUP(Table57[[#This Row],[Code]],Table1[[#All],[Code]],Table1[[#All],[Time]],,0,1),"")</f>
        <v/>
      </c>
      <c r="G614" s="25" t="str" cm="1">
        <f t="array" ref="G614">IFERROR(_xlfn.XLOOKUP(Table57[[#This Row],[Code]],Table1[[#All],[Code]],Table1[[#All],[Time]],,0,-1),"")</f>
        <v/>
      </c>
      <c r="H614" s="23" t="str">
        <f>IFERROR(IF(Table57[[#This Row],[Out]]&gt;=Table57[[#This Row],[In]],Table57[[#This Row],[Out]]-Table57[[#This Row],[In]],(0.5+Table57[[#This Row],[Out]])-Table57[[#This Row],[In]]),"")</f>
        <v/>
      </c>
      <c r="I614" s="31" t="str">
        <f>IFERROR(IF(Table57[[#This Row],[In]]&gt;$C$2,Table57[[#This Row],[In]]-$C$2,""),"")</f>
        <v/>
      </c>
      <c r="J614" s="31" t="str">
        <f>IF(Table57[[#This Row],[Work_Hours]]=0,"",(IF(Table57[[#This Row],[Out]]&lt;$C$3,$C$3-Table57[[#This Row],[Out]],"")))</f>
        <v/>
      </c>
      <c r="K614" s="32" t="str">
        <f>IFERROR(Table57[[#This Row],[In]]+$C$1,"")</f>
        <v/>
      </c>
      <c r="L614" s="29"/>
      <c r="M614" s="31" t="str">
        <f>IF($C$2&gt;Table57[[#This Row],[In]],$C$2-Table57[[#This Row],[In]],"")</f>
        <v/>
      </c>
      <c r="N614" s="29" t="str">
        <f>IFERROR(IF(Table57[[#This Row],[Out]]&gt;$C$3,(Table57[[#This Row],[Out]])-($C$3),""),"")</f>
        <v/>
      </c>
    </row>
    <row r="615" spans="1:14" hidden="1" x14ac:dyDescent="0.25">
      <c r="A615" s="23" t="str">
        <f>Table57[[#This Row],[No.]]&amp;Table57[[#This Row],[Date]]</f>
        <v>00</v>
      </c>
      <c r="B615" s="22">
        <f>'Unique Dates'!A612</f>
        <v>0</v>
      </c>
      <c r="C615" s="22" t="e" cm="1">
        <f t="array" ref="C615">_xlfn.XLOOKUP(Table57[[#This Row],[No.]],Table2[[#All],[CODE]],Table2[[#All],[NAME]],,0,1)</f>
        <v>#N/A</v>
      </c>
      <c r="D615" s="6">
        <f>'Unique Dates'!B612</f>
        <v>0</v>
      </c>
      <c r="E615" t="str">
        <f>TEXT(Table57[[#This Row],[Date]],"dddd")</f>
        <v>Saturday</v>
      </c>
      <c r="F615" s="25" t="str" cm="1">
        <f t="array" ref="F615">IFERROR(_xlfn.XLOOKUP(Table57[[#This Row],[Code]],Table1[[#All],[Code]],Table1[[#All],[Time]],,0,1),"")</f>
        <v/>
      </c>
      <c r="G615" s="25" t="str" cm="1">
        <f t="array" ref="G615">IFERROR(_xlfn.XLOOKUP(Table57[[#This Row],[Code]],Table1[[#All],[Code]],Table1[[#All],[Time]],,0,-1),"")</f>
        <v/>
      </c>
      <c r="H615" s="23" t="str">
        <f>IFERROR(IF(Table57[[#This Row],[Out]]&gt;=Table57[[#This Row],[In]],Table57[[#This Row],[Out]]-Table57[[#This Row],[In]],(0.5+Table57[[#This Row],[Out]])-Table57[[#This Row],[In]]),"")</f>
        <v/>
      </c>
      <c r="I615" s="31" t="str">
        <f>IFERROR(IF(Table57[[#This Row],[In]]&gt;$C$2,Table57[[#This Row],[In]]-$C$2,""),"")</f>
        <v/>
      </c>
      <c r="J615" s="31" t="str">
        <f>IF(Table57[[#This Row],[Work_Hours]]=0,"",(IF(Table57[[#This Row],[Out]]&lt;$C$3,$C$3-Table57[[#This Row],[Out]],"")))</f>
        <v/>
      </c>
      <c r="K615" s="32" t="str">
        <f>IFERROR(Table57[[#This Row],[In]]+$C$1,"")</f>
        <v/>
      </c>
      <c r="L615" s="29"/>
      <c r="M615" s="31" t="str">
        <f>IF($C$2&gt;Table57[[#This Row],[In]],$C$2-Table57[[#This Row],[In]],"")</f>
        <v/>
      </c>
      <c r="N615" s="29" t="str">
        <f>IFERROR(IF(Table57[[#This Row],[Out]]&gt;$C$3,(Table57[[#This Row],[Out]])-($C$3),""),"")</f>
        <v/>
      </c>
    </row>
    <row r="616" spans="1:14" hidden="1" x14ac:dyDescent="0.25">
      <c r="A616" s="23" t="str">
        <f>Table57[[#This Row],[No.]]&amp;Table57[[#This Row],[Date]]</f>
        <v>00</v>
      </c>
      <c r="B616" s="22">
        <f>'Unique Dates'!A613</f>
        <v>0</v>
      </c>
      <c r="C616" s="22" t="e" cm="1">
        <f t="array" ref="C616">_xlfn.XLOOKUP(Table57[[#This Row],[No.]],Table2[[#All],[CODE]],Table2[[#All],[NAME]],,0,1)</f>
        <v>#N/A</v>
      </c>
      <c r="D616" s="6">
        <f>'Unique Dates'!B613</f>
        <v>0</v>
      </c>
      <c r="E616" t="str">
        <f>TEXT(Table57[[#This Row],[Date]],"dddd")</f>
        <v>Saturday</v>
      </c>
      <c r="F616" s="25" t="str" cm="1">
        <f t="array" ref="F616">IFERROR(_xlfn.XLOOKUP(Table57[[#This Row],[Code]],Table1[[#All],[Code]],Table1[[#All],[Time]],,0,1),"")</f>
        <v/>
      </c>
      <c r="G616" s="25" t="str" cm="1">
        <f t="array" ref="G616">IFERROR(_xlfn.XLOOKUP(Table57[[#This Row],[Code]],Table1[[#All],[Code]],Table1[[#All],[Time]],,0,-1),"")</f>
        <v/>
      </c>
      <c r="H616" s="23" t="str">
        <f>IFERROR(IF(Table57[[#This Row],[Out]]&gt;=Table57[[#This Row],[In]],Table57[[#This Row],[Out]]-Table57[[#This Row],[In]],(0.5+Table57[[#This Row],[Out]])-Table57[[#This Row],[In]]),"")</f>
        <v/>
      </c>
      <c r="I616" s="31" t="str">
        <f>IFERROR(IF(Table57[[#This Row],[In]]&gt;$C$2,Table57[[#This Row],[In]]-$C$2,""),"")</f>
        <v/>
      </c>
      <c r="J616" s="31" t="str">
        <f>IF(Table57[[#This Row],[Work_Hours]]=0,"",(IF(Table57[[#This Row],[Out]]&lt;$C$3,$C$3-Table57[[#This Row],[Out]],"")))</f>
        <v/>
      </c>
      <c r="K616" s="32" t="str">
        <f>IFERROR(Table57[[#This Row],[In]]+$C$1,"")</f>
        <v/>
      </c>
      <c r="L616" s="29"/>
      <c r="M616" s="31" t="str">
        <f>IF($C$2&gt;Table57[[#This Row],[In]],$C$2-Table57[[#This Row],[In]],"")</f>
        <v/>
      </c>
      <c r="N616" s="29" t="str">
        <f>IFERROR(IF(Table57[[#This Row],[Out]]&gt;$C$3,(Table57[[#This Row],[Out]])-($C$3),""),"")</f>
        <v/>
      </c>
    </row>
    <row r="617" spans="1:14" hidden="1" x14ac:dyDescent="0.25">
      <c r="A617" s="23" t="str">
        <f>Table57[[#This Row],[No.]]&amp;Table57[[#This Row],[Date]]</f>
        <v>00</v>
      </c>
      <c r="B617" s="22">
        <f>'Unique Dates'!A614</f>
        <v>0</v>
      </c>
      <c r="C617" s="22" t="e" cm="1">
        <f t="array" ref="C617">_xlfn.XLOOKUP(Table57[[#This Row],[No.]],Table2[[#All],[CODE]],Table2[[#All],[NAME]],,0,1)</f>
        <v>#N/A</v>
      </c>
      <c r="D617" s="6">
        <f>'Unique Dates'!B614</f>
        <v>0</v>
      </c>
      <c r="E617" t="str">
        <f>TEXT(Table57[[#This Row],[Date]],"dddd")</f>
        <v>Saturday</v>
      </c>
      <c r="F617" s="25" t="str" cm="1">
        <f t="array" ref="F617">IFERROR(_xlfn.XLOOKUP(Table57[[#This Row],[Code]],Table1[[#All],[Code]],Table1[[#All],[Time]],,0,1),"")</f>
        <v/>
      </c>
      <c r="G617" s="25" t="str" cm="1">
        <f t="array" ref="G617">IFERROR(_xlfn.XLOOKUP(Table57[[#This Row],[Code]],Table1[[#All],[Code]],Table1[[#All],[Time]],,0,-1),"")</f>
        <v/>
      </c>
      <c r="H617" s="23" t="str">
        <f>IFERROR(IF(Table57[[#This Row],[Out]]&gt;=Table57[[#This Row],[In]],Table57[[#This Row],[Out]]-Table57[[#This Row],[In]],(0.5+Table57[[#This Row],[Out]])-Table57[[#This Row],[In]]),"")</f>
        <v/>
      </c>
      <c r="I617" s="31" t="str">
        <f>IFERROR(IF(Table57[[#This Row],[In]]&gt;$C$2,Table57[[#This Row],[In]]-$C$2,""),"")</f>
        <v/>
      </c>
      <c r="J617" s="31" t="str">
        <f>IF(Table57[[#This Row],[Work_Hours]]=0,"",(IF(Table57[[#This Row],[Out]]&lt;$C$3,$C$3-Table57[[#This Row],[Out]],"")))</f>
        <v/>
      </c>
      <c r="K617" s="32" t="str">
        <f>IFERROR(Table57[[#This Row],[In]]+$C$1,"")</f>
        <v/>
      </c>
      <c r="L617" s="29"/>
      <c r="M617" s="31" t="str">
        <f>IF($C$2&gt;Table57[[#This Row],[In]],$C$2-Table57[[#This Row],[In]],"")</f>
        <v/>
      </c>
      <c r="N617" s="29" t="str">
        <f>IFERROR(IF(Table57[[#This Row],[Out]]&gt;$C$3,(Table57[[#This Row],[Out]])-($C$3),""),"")</f>
        <v/>
      </c>
    </row>
    <row r="618" spans="1:14" hidden="1" x14ac:dyDescent="0.25">
      <c r="A618" s="23" t="str">
        <f>Table57[[#This Row],[No.]]&amp;Table57[[#This Row],[Date]]</f>
        <v>00</v>
      </c>
      <c r="B618" s="22">
        <f>'Unique Dates'!A615</f>
        <v>0</v>
      </c>
      <c r="C618" s="22" t="e" cm="1">
        <f t="array" ref="C618">_xlfn.XLOOKUP(Table57[[#This Row],[No.]],Table2[[#All],[CODE]],Table2[[#All],[NAME]],,0,1)</f>
        <v>#N/A</v>
      </c>
      <c r="D618" s="6">
        <f>'Unique Dates'!B615</f>
        <v>0</v>
      </c>
      <c r="E618" t="str">
        <f>TEXT(Table57[[#This Row],[Date]],"dddd")</f>
        <v>Saturday</v>
      </c>
      <c r="F618" s="25" t="str" cm="1">
        <f t="array" ref="F618">IFERROR(_xlfn.XLOOKUP(Table57[[#This Row],[Code]],Table1[[#All],[Code]],Table1[[#All],[Time]],,0,1),"")</f>
        <v/>
      </c>
      <c r="G618" s="25" t="str" cm="1">
        <f t="array" ref="G618">IFERROR(_xlfn.XLOOKUP(Table57[[#This Row],[Code]],Table1[[#All],[Code]],Table1[[#All],[Time]],,0,-1),"")</f>
        <v/>
      </c>
      <c r="H618" s="23" t="str">
        <f>IFERROR(IF(Table57[[#This Row],[Out]]&gt;=Table57[[#This Row],[In]],Table57[[#This Row],[Out]]-Table57[[#This Row],[In]],(0.5+Table57[[#This Row],[Out]])-Table57[[#This Row],[In]]),"")</f>
        <v/>
      </c>
      <c r="I618" s="31" t="str">
        <f>IFERROR(IF(Table57[[#This Row],[In]]&gt;$C$2,Table57[[#This Row],[In]]-$C$2,""),"")</f>
        <v/>
      </c>
      <c r="J618" s="31" t="str">
        <f>IF(Table57[[#This Row],[Work_Hours]]=0,"",(IF(Table57[[#This Row],[Out]]&lt;$C$3,$C$3-Table57[[#This Row],[Out]],"")))</f>
        <v/>
      </c>
      <c r="K618" s="32" t="str">
        <f>IFERROR(Table57[[#This Row],[In]]+$C$1,"")</f>
        <v/>
      </c>
      <c r="L618" s="29"/>
      <c r="M618" s="31" t="str">
        <f>IF($C$2&gt;Table57[[#This Row],[In]],$C$2-Table57[[#This Row],[In]],"")</f>
        <v/>
      </c>
      <c r="N618" s="29" t="str">
        <f>IFERROR(IF(Table57[[#This Row],[Out]]&gt;$C$3,(Table57[[#This Row],[Out]])-($C$3),""),"")</f>
        <v/>
      </c>
    </row>
    <row r="619" spans="1:14" hidden="1" x14ac:dyDescent="0.25">
      <c r="A619" s="23" t="str">
        <f>Table57[[#This Row],[No.]]&amp;Table57[[#This Row],[Date]]</f>
        <v>00</v>
      </c>
      <c r="B619" s="22">
        <f>'Unique Dates'!A616</f>
        <v>0</v>
      </c>
      <c r="C619" s="22" t="e" cm="1">
        <f t="array" ref="C619">_xlfn.XLOOKUP(Table57[[#This Row],[No.]],Table2[[#All],[CODE]],Table2[[#All],[NAME]],,0,1)</f>
        <v>#N/A</v>
      </c>
      <c r="D619" s="6">
        <f>'Unique Dates'!B616</f>
        <v>0</v>
      </c>
      <c r="E619" t="str">
        <f>TEXT(Table57[[#This Row],[Date]],"dddd")</f>
        <v>Saturday</v>
      </c>
      <c r="F619" s="25" t="str" cm="1">
        <f t="array" ref="F619">IFERROR(_xlfn.XLOOKUP(Table57[[#This Row],[Code]],Table1[[#All],[Code]],Table1[[#All],[Time]],,0,1),"")</f>
        <v/>
      </c>
      <c r="G619" s="25" t="str" cm="1">
        <f t="array" ref="G619">IFERROR(_xlfn.XLOOKUP(Table57[[#This Row],[Code]],Table1[[#All],[Code]],Table1[[#All],[Time]],,0,-1),"")</f>
        <v/>
      </c>
      <c r="H619" s="23" t="str">
        <f>IFERROR(IF(Table57[[#This Row],[Out]]&gt;=Table57[[#This Row],[In]],Table57[[#This Row],[Out]]-Table57[[#This Row],[In]],(0.5+Table57[[#This Row],[Out]])-Table57[[#This Row],[In]]),"")</f>
        <v/>
      </c>
      <c r="I619" s="31" t="str">
        <f>IFERROR(IF(Table57[[#This Row],[In]]&gt;$C$2,Table57[[#This Row],[In]]-$C$2,""),"")</f>
        <v/>
      </c>
      <c r="J619" s="31" t="str">
        <f>IF(Table57[[#This Row],[Work_Hours]]=0,"",(IF(Table57[[#This Row],[Out]]&lt;$C$3,$C$3-Table57[[#This Row],[Out]],"")))</f>
        <v/>
      </c>
      <c r="K619" s="32" t="str">
        <f>IFERROR(Table57[[#This Row],[In]]+$C$1,"")</f>
        <v/>
      </c>
      <c r="L619" s="29"/>
      <c r="M619" s="31" t="str">
        <f>IF($C$2&gt;Table57[[#This Row],[In]],$C$2-Table57[[#This Row],[In]],"")</f>
        <v/>
      </c>
      <c r="N619" s="29" t="str">
        <f>IFERROR(IF(Table57[[#This Row],[Out]]&gt;$C$3,(Table57[[#This Row],[Out]])-($C$3),""),"")</f>
        <v/>
      </c>
    </row>
    <row r="620" spans="1:14" hidden="1" x14ac:dyDescent="0.25">
      <c r="A620" s="23" t="str">
        <f>Table57[[#This Row],[No.]]&amp;Table57[[#This Row],[Date]]</f>
        <v>00</v>
      </c>
      <c r="B620" s="22">
        <f>'Unique Dates'!A617</f>
        <v>0</v>
      </c>
      <c r="C620" s="22" t="e" cm="1">
        <f t="array" ref="C620">_xlfn.XLOOKUP(Table57[[#This Row],[No.]],Table2[[#All],[CODE]],Table2[[#All],[NAME]],,0,1)</f>
        <v>#N/A</v>
      </c>
      <c r="D620" s="6">
        <f>'Unique Dates'!B617</f>
        <v>0</v>
      </c>
      <c r="E620" t="str">
        <f>TEXT(Table57[[#This Row],[Date]],"dddd")</f>
        <v>Saturday</v>
      </c>
      <c r="F620" s="25" t="str" cm="1">
        <f t="array" ref="F620">IFERROR(_xlfn.XLOOKUP(Table57[[#This Row],[Code]],Table1[[#All],[Code]],Table1[[#All],[Time]],,0,1),"")</f>
        <v/>
      </c>
      <c r="G620" s="25" t="str" cm="1">
        <f t="array" ref="G620">IFERROR(_xlfn.XLOOKUP(Table57[[#This Row],[Code]],Table1[[#All],[Code]],Table1[[#All],[Time]],,0,-1),"")</f>
        <v/>
      </c>
      <c r="H620" s="23" t="str">
        <f>IFERROR(IF(Table57[[#This Row],[Out]]&gt;=Table57[[#This Row],[In]],Table57[[#This Row],[Out]]-Table57[[#This Row],[In]],(0.5+Table57[[#This Row],[Out]])-Table57[[#This Row],[In]]),"")</f>
        <v/>
      </c>
      <c r="I620" s="31" t="str">
        <f>IFERROR(IF(Table57[[#This Row],[In]]&gt;$C$2,Table57[[#This Row],[In]]-$C$2,""),"")</f>
        <v/>
      </c>
      <c r="J620" s="31" t="str">
        <f>IF(Table57[[#This Row],[Work_Hours]]=0,"",(IF(Table57[[#This Row],[Out]]&lt;$C$3,$C$3-Table57[[#This Row],[Out]],"")))</f>
        <v/>
      </c>
      <c r="K620" s="32" t="str">
        <f>IFERROR(Table57[[#This Row],[In]]+$C$1,"")</f>
        <v/>
      </c>
      <c r="L620" s="29"/>
      <c r="M620" s="31" t="str">
        <f>IF($C$2&gt;Table57[[#This Row],[In]],$C$2-Table57[[#This Row],[In]],"")</f>
        <v/>
      </c>
      <c r="N620" s="29" t="str">
        <f>IFERROR(IF(Table57[[#This Row],[Out]]&gt;$C$3,(Table57[[#This Row],[Out]])-($C$3),""),"")</f>
        <v/>
      </c>
    </row>
    <row r="621" spans="1:14" hidden="1" x14ac:dyDescent="0.25">
      <c r="A621" s="23" t="str">
        <f>Table57[[#This Row],[No.]]&amp;Table57[[#This Row],[Date]]</f>
        <v>00</v>
      </c>
      <c r="B621" s="22">
        <f>'Unique Dates'!A618</f>
        <v>0</v>
      </c>
      <c r="C621" s="22" t="e" cm="1">
        <f t="array" ref="C621">_xlfn.XLOOKUP(Table57[[#This Row],[No.]],Table2[[#All],[CODE]],Table2[[#All],[NAME]],,0,1)</f>
        <v>#N/A</v>
      </c>
      <c r="D621" s="6">
        <f>'Unique Dates'!B618</f>
        <v>0</v>
      </c>
      <c r="E621" t="str">
        <f>TEXT(Table57[[#This Row],[Date]],"dddd")</f>
        <v>Saturday</v>
      </c>
      <c r="F621" s="25" t="str" cm="1">
        <f t="array" ref="F621">IFERROR(_xlfn.XLOOKUP(Table57[[#This Row],[Code]],Table1[[#All],[Code]],Table1[[#All],[Time]],,0,1),"")</f>
        <v/>
      </c>
      <c r="G621" s="25" t="str" cm="1">
        <f t="array" ref="G621">IFERROR(_xlfn.XLOOKUP(Table57[[#This Row],[Code]],Table1[[#All],[Code]],Table1[[#All],[Time]],,0,-1),"")</f>
        <v/>
      </c>
      <c r="H621" s="23" t="str">
        <f>IFERROR(IF(Table57[[#This Row],[Out]]&gt;=Table57[[#This Row],[In]],Table57[[#This Row],[Out]]-Table57[[#This Row],[In]],(0.5+Table57[[#This Row],[Out]])-Table57[[#This Row],[In]]),"")</f>
        <v/>
      </c>
      <c r="I621" s="31" t="str">
        <f>IFERROR(IF(Table57[[#This Row],[In]]&gt;$C$2,Table57[[#This Row],[In]]-$C$2,""),"")</f>
        <v/>
      </c>
      <c r="J621" s="31" t="str">
        <f>IF(Table57[[#This Row],[Work_Hours]]=0,"",(IF(Table57[[#This Row],[Out]]&lt;$C$3,$C$3-Table57[[#This Row],[Out]],"")))</f>
        <v/>
      </c>
      <c r="K621" s="32" t="str">
        <f>IFERROR(Table57[[#This Row],[In]]+$C$1,"")</f>
        <v/>
      </c>
      <c r="L621" s="29"/>
      <c r="M621" s="31" t="str">
        <f>IF($C$2&gt;Table57[[#This Row],[In]],$C$2-Table57[[#This Row],[In]],"")</f>
        <v/>
      </c>
      <c r="N621" s="29" t="str">
        <f>IFERROR(IF(Table57[[#This Row],[Out]]&gt;$C$3,(Table57[[#This Row],[Out]])-($C$3),""),"")</f>
        <v/>
      </c>
    </row>
    <row r="622" spans="1:14" hidden="1" x14ac:dyDescent="0.25">
      <c r="A622" s="23" t="str">
        <f>Table57[[#This Row],[No.]]&amp;Table57[[#This Row],[Date]]</f>
        <v>00</v>
      </c>
      <c r="B622" s="22">
        <f>'Unique Dates'!A619</f>
        <v>0</v>
      </c>
      <c r="C622" s="22" t="e" cm="1">
        <f t="array" ref="C622">_xlfn.XLOOKUP(Table57[[#This Row],[No.]],Table2[[#All],[CODE]],Table2[[#All],[NAME]],,0,1)</f>
        <v>#N/A</v>
      </c>
      <c r="D622" s="6">
        <f>'Unique Dates'!B619</f>
        <v>0</v>
      </c>
      <c r="E622" t="str">
        <f>TEXT(Table57[[#This Row],[Date]],"dddd")</f>
        <v>Saturday</v>
      </c>
      <c r="F622" s="25" t="str" cm="1">
        <f t="array" ref="F622">IFERROR(_xlfn.XLOOKUP(Table57[[#This Row],[Code]],Table1[[#All],[Code]],Table1[[#All],[Time]],,0,1),"")</f>
        <v/>
      </c>
      <c r="G622" s="25" t="str" cm="1">
        <f t="array" ref="G622">IFERROR(_xlfn.XLOOKUP(Table57[[#This Row],[Code]],Table1[[#All],[Code]],Table1[[#All],[Time]],,0,-1),"")</f>
        <v/>
      </c>
      <c r="H622" s="23" t="str">
        <f>IFERROR(IF(Table57[[#This Row],[Out]]&gt;=Table57[[#This Row],[In]],Table57[[#This Row],[Out]]-Table57[[#This Row],[In]],(0.5+Table57[[#This Row],[Out]])-Table57[[#This Row],[In]]),"")</f>
        <v/>
      </c>
      <c r="I622" s="31" t="str">
        <f>IFERROR(IF(Table57[[#This Row],[In]]&gt;$C$2,Table57[[#This Row],[In]]-$C$2,""),"")</f>
        <v/>
      </c>
      <c r="J622" s="31" t="str">
        <f>IF(Table57[[#This Row],[Work_Hours]]=0,"",(IF(Table57[[#This Row],[Out]]&lt;$C$3,$C$3-Table57[[#This Row],[Out]],"")))</f>
        <v/>
      </c>
      <c r="K622" s="32" t="str">
        <f>IFERROR(Table57[[#This Row],[In]]+$C$1,"")</f>
        <v/>
      </c>
      <c r="L622" s="29"/>
      <c r="M622" s="31" t="str">
        <f>IF($C$2&gt;Table57[[#This Row],[In]],$C$2-Table57[[#This Row],[In]],"")</f>
        <v/>
      </c>
      <c r="N622" s="29" t="str">
        <f>IFERROR(IF(Table57[[#This Row],[Out]]&gt;$C$3,(Table57[[#This Row],[Out]])-($C$3),""),"")</f>
        <v/>
      </c>
    </row>
    <row r="623" spans="1:14" hidden="1" x14ac:dyDescent="0.25">
      <c r="A623" s="23" t="str">
        <f>Table57[[#This Row],[No.]]&amp;Table57[[#This Row],[Date]]</f>
        <v>00</v>
      </c>
      <c r="B623" s="22">
        <f>'Unique Dates'!A620</f>
        <v>0</v>
      </c>
      <c r="C623" s="22" t="e" cm="1">
        <f t="array" ref="C623">_xlfn.XLOOKUP(Table57[[#This Row],[No.]],Table2[[#All],[CODE]],Table2[[#All],[NAME]],,0,1)</f>
        <v>#N/A</v>
      </c>
      <c r="D623" s="6">
        <f>'Unique Dates'!B620</f>
        <v>0</v>
      </c>
      <c r="E623" t="str">
        <f>TEXT(Table57[[#This Row],[Date]],"dddd")</f>
        <v>Saturday</v>
      </c>
      <c r="F623" s="25" t="str" cm="1">
        <f t="array" ref="F623">IFERROR(_xlfn.XLOOKUP(Table57[[#This Row],[Code]],Table1[[#All],[Code]],Table1[[#All],[Time]],,0,1),"")</f>
        <v/>
      </c>
      <c r="G623" s="25" t="str" cm="1">
        <f t="array" ref="G623">IFERROR(_xlfn.XLOOKUP(Table57[[#This Row],[Code]],Table1[[#All],[Code]],Table1[[#All],[Time]],,0,-1),"")</f>
        <v/>
      </c>
      <c r="H623" s="23" t="str">
        <f>IFERROR(IF(Table57[[#This Row],[Out]]&gt;=Table57[[#This Row],[In]],Table57[[#This Row],[Out]]-Table57[[#This Row],[In]],(0.5+Table57[[#This Row],[Out]])-Table57[[#This Row],[In]]),"")</f>
        <v/>
      </c>
      <c r="I623" s="31" t="str">
        <f>IFERROR(IF(Table57[[#This Row],[In]]&gt;$C$2,Table57[[#This Row],[In]]-$C$2,""),"")</f>
        <v/>
      </c>
      <c r="J623" s="31" t="str">
        <f>IF(Table57[[#This Row],[Work_Hours]]=0,"",(IF(Table57[[#This Row],[Out]]&lt;$C$3,$C$3-Table57[[#This Row],[Out]],"")))</f>
        <v/>
      </c>
      <c r="K623" s="32" t="str">
        <f>IFERROR(Table57[[#This Row],[In]]+$C$1,"")</f>
        <v/>
      </c>
      <c r="L623" s="29"/>
      <c r="M623" s="31" t="str">
        <f>IF($C$2&gt;Table57[[#This Row],[In]],$C$2-Table57[[#This Row],[In]],"")</f>
        <v/>
      </c>
      <c r="N623" s="29" t="str">
        <f>IFERROR(IF(Table57[[#This Row],[Out]]&gt;$C$3,(Table57[[#This Row],[Out]])-($C$3),""),"")</f>
        <v/>
      </c>
    </row>
    <row r="624" spans="1:14" hidden="1" x14ac:dyDescent="0.25">
      <c r="A624" s="23" t="str">
        <f>Table57[[#This Row],[No.]]&amp;Table57[[#This Row],[Date]]</f>
        <v>00</v>
      </c>
      <c r="B624" s="22">
        <f>'Unique Dates'!A621</f>
        <v>0</v>
      </c>
      <c r="C624" s="22" t="e" cm="1">
        <f t="array" ref="C624">_xlfn.XLOOKUP(Table57[[#This Row],[No.]],Table2[[#All],[CODE]],Table2[[#All],[NAME]],,0,1)</f>
        <v>#N/A</v>
      </c>
      <c r="D624" s="6">
        <f>'Unique Dates'!B621</f>
        <v>0</v>
      </c>
      <c r="E624" t="str">
        <f>TEXT(Table57[[#This Row],[Date]],"dddd")</f>
        <v>Saturday</v>
      </c>
      <c r="F624" s="25" t="str" cm="1">
        <f t="array" ref="F624">IFERROR(_xlfn.XLOOKUP(Table57[[#This Row],[Code]],Table1[[#All],[Code]],Table1[[#All],[Time]],,0,1),"")</f>
        <v/>
      </c>
      <c r="G624" s="25" t="str" cm="1">
        <f t="array" ref="G624">IFERROR(_xlfn.XLOOKUP(Table57[[#This Row],[Code]],Table1[[#All],[Code]],Table1[[#All],[Time]],,0,-1),"")</f>
        <v/>
      </c>
      <c r="H624" s="23" t="str">
        <f>IFERROR(IF(Table57[[#This Row],[Out]]&gt;=Table57[[#This Row],[In]],Table57[[#This Row],[Out]]-Table57[[#This Row],[In]],(0.5+Table57[[#This Row],[Out]])-Table57[[#This Row],[In]]),"")</f>
        <v/>
      </c>
      <c r="I624" s="31" t="str">
        <f>IFERROR(IF(Table57[[#This Row],[In]]&gt;$C$2,Table57[[#This Row],[In]]-$C$2,""),"")</f>
        <v/>
      </c>
      <c r="J624" s="31" t="str">
        <f>IF(Table57[[#This Row],[Work_Hours]]=0,"",(IF(Table57[[#This Row],[Out]]&lt;$C$3,$C$3-Table57[[#This Row],[Out]],"")))</f>
        <v/>
      </c>
      <c r="K624" s="32" t="str">
        <f>IFERROR(Table57[[#This Row],[In]]+$C$1,"")</f>
        <v/>
      </c>
      <c r="L624" s="29"/>
      <c r="M624" s="31" t="str">
        <f>IF($C$2&gt;Table57[[#This Row],[In]],$C$2-Table57[[#This Row],[In]],"")</f>
        <v/>
      </c>
      <c r="N624" s="29" t="str">
        <f>IFERROR(IF(Table57[[#This Row],[Out]]&gt;$C$3,(Table57[[#This Row],[Out]])-($C$3),""),"")</f>
        <v/>
      </c>
    </row>
    <row r="625" spans="1:14" hidden="1" x14ac:dyDescent="0.25">
      <c r="A625" s="23" t="str">
        <f>Table57[[#This Row],[No.]]&amp;Table57[[#This Row],[Date]]</f>
        <v>00</v>
      </c>
      <c r="B625" s="22">
        <f>'Unique Dates'!A622</f>
        <v>0</v>
      </c>
      <c r="C625" s="22" t="e" cm="1">
        <f t="array" ref="C625">_xlfn.XLOOKUP(Table57[[#This Row],[No.]],Table2[[#All],[CODE]],Table2[[#All],[NAME]],,0,1)</f>
        <v>#N/A</v>
      </c>
      <c r="D625" s="6">
        <f>'Unique Dates'!B622</f>
        <v>0</v>
      </c>
      <c r="E625" t="str">
        <f>TEXT(Table57[[#This Row],[Date]],"dddd")</f>
        <v>Saturday</v>
      </c>
      <c r="F625" s="25" t="str" cm="1">
        <f t="array" ref="F625">IFERROR(_xlfn.XLOOKUP(Table57[[#This Row],[Code]],Table1[[#All],[Code]],Table1[[#All],[Time]],,0,1),"")</f>
        <v/>
      </c>
      <c r="G625" s="25" t="str" cm="1">
        <f t="array" ref="G625">IFERROR(_xlfn.XLOOKUP(Table57[[#This Row],[Code]],Table1[[#All],[Code]],Table1[[#All],[Time]],,0,-1),"")</f>
        <v/>
      </c>
      <c r="H625" s="23" t="str">
        <f>IFERROR(IF(Table57[[#This Row],[Out]]&gt;=Table57[[#This Row],[In]],Table57[[#This Row],[Out]]-Table57[[#This Row],[In]],(0.5+Table57[[#This Row],[Out]])-Table57[[#This Row],[In]]),"")</f>
        <v/>
      </c>
      <c r="I625" s="31" t="str">
        <f>IFERROR(IF(Table57[[#This Row],[In]]&gt;$C$2,Table57[[#This Row],[In]]-$C$2,""),"")</f>
        <v/>
      </c>
      <c r="J625" s="31" t="str">
        <f>IF(Table57[[#This Row],[Work_Hours]]=0,"",(IF(Table57[[#This Row],[Out]]&lt;$C$3,$C$3-Table57[[#This Row],[Out]],"")))</f>
        <v/>
      </c>
      <c r="K625" s="32" t="str">
        <f>IFERROR(Table57[[#This Row],[In]]+$C$1,"")</f>
        <v/>
      </c>
      <c r="L625" s="29"/>
      <c r="M625" s="31" t="str">
        <f>IF($C$2&gt;Table57[[#This Row],[In]],$C$2-Table57[[#This Row],[In]],"")</f>
        <v/>
      </c>
      <c r="N625" s="29" t="str">
        <f>IFERROR(IF(Table57[[#This Row],[Out]]&gt;$C$3,(Table57[[#This Row],[Out]])-($C$3),""),"")</f>
        <v/>
      </c>
    </row>
    <row r="626" spans="1:14" hidden="1" x14ac:dyDescent="0.25">
      <c r="A626" s="23" t="str">
        <f>Table57[[#This Row],[No.]]&amp;Table57[[#This Row],[Date]]</f>
        <v>00</v>
      </c>
      <c r="B626" s="22">
        <f>'Unique Dates'!A623</f>
        <v>0</v>
      </c>
      <c r="C626" s="22" t="e" cm="1">
        <f t="array" ref="C626">_xlfn.XLOOKUP(Table57[[#This Row],[No.]],Table2[[#All],[CODE]],Table2[[#All],[NAME]],,0,1)</f>
        <v>#N/A</v>
      </c>
      <c r="D626" s="6">
        <f>'Unique Dates'!B623</f>
        <v>0</v>
      </c>
      <c r="E626" t="str">
        <f>TEXT(Table57[[#This Row],[Date]],"dddd")</f>
        <v>Saturday</v>
      </c>
      <c r="F626" s="25" t="str" cm="1">
        <f t="array" ref="F626">IFERROR(_xlfn.XLOOKUP(Table57[[#This Row],[Code]],Table1[[#All],[Code]],Table1[[#All],[Time]],,0,1),"")</f>
        <v/>
      </c>
      <c r="G626" s="25" t="str" cm="1">
        <f t="array" ref="G626">IFERROR(_xlfn.XLOOKUP(Table57[[#This Row],[Code]],Table1[[#All],[Code]],Table1[[#All],[Time]],,0,-1),"")</f>
        <v/>
      </c>
      <c r="H626" s="23" t="str">
        <f>IFERROR(IF(Table57[[#This Row],[Out]]&gt;=Table57[[#This Row],[In]],Table57[[#This Row],[Out]]-Table57[[#This Row],[In]],(0.5+Table57[[#This Row],[Out]])-Table57[[#This Row],[In]]),"")</f>
        <v/>
      </c>
      <c r="I626" s="31" t="str">
        <f>IFERROR(IF(Table57[[#This Row],[In]]&gt;$C$2,Table57[[#This Row],[In]]-$C$2,""),"")</f>
        <v/>
      </c>
      <c r="J626" s="31" t="str">
        <f>IF(Table57[[#This Row],[Work_Hours]]=0,"",(IF(Table57[[#This Row],[Out]]&lt;$C$3,$C$3-Table57[[#This Row],[Out]],"")))</f>
        <v/>
      </c>
      <c r="K626" s="32" t="str">
        <f>IFERROR(Table57[[#This Row],[In]]+$C$1,"")</f>
        <v/>
      </c>
      <c r="L626" s="29"/>
      <c r="M626" s="31" t="str">
        <f>IF($C$2&gt;Table57[[#This Row],[In]],$C$2-Table57[[#This Row],[In]],"")</f>
        <v/>
      </c>
      <c r="N626" s="29" t="str">
        <f>IFERROR(IF(Table57[[#This Row],[Out]]&gt;$C$3,(Table57[[#This Row],[Out]])-($C$3),""),"")</f>
        <v/>
      </c>
    </row>
    <row r="627" spans="1:14" hidden="1" x14ac:dyDescent="0.25">
      <c r="A627" s="23" t="str">
        <f>Table57[[#This Row],[No.]]&amp;Table57[[#This Row],[Date]]</f>
        <v>00</v>
      </c>
      <c r="B627" s="22">
        <f>'Unique Dates'!A624</f>
        <v>0</v>
      </c>
      <c r="C627" s="22" t="e" cm="1">
        <f t="array" ref="C627">_xlfn.XLOOKUP(Table57[[#This Row],[No.]],Table2[[#All],[CODE]],Table2[[#All],[NAME]],,0,1)</f>
        <v>#N/A</v>
      </c>
      <c r="D627" s="6">
        <f>'Unique Dates'!B624</f>
        <v>0</v>
      </c>
      <c r="E627" t="str">
        <f>TEXT(Table57[[#This Row],[Date]],"dddd")</f>
        <v>Saturday</v>
      </c>
      <c r="F627" s="25" t="str" cm="1">
        <f t="array" ref="F627">IFERROR(_xlfn.XLOOKUP(Table57[[#This Row],[Code]],Table1[[#All],[Code]],Table1[[#All],[Time]],,0,1),"")</f>
        <v/>
      </c>
      <c r="G627" s="25" t="str" cm="1">
        <f t="array" ref="G627">IFERROR(_xlfn.XLOOKUP(Table57[[#This Row],[Code]],Table1[[#All],[Code]],Table1[[#All],[Time]],,0,-1),"")</f>
        <v/>
      </c>
      <c r="H627" s="23" t="str">
        <f>IFERROR(IF(Table57[[#This Row],[Out]]&gt;=Table57[[#This Row],[In]],Table57[[#This Row],[Out]]-Table57[[#This Row],[In]],(0.5+Table57[[#This Row],[Out]])-Table57[[#This Row],[In]]),"")</f>
        <v/>
      </c>
      <c r="I627" s="31" t="str">
        <f>IFERROR(IF(Table57[[#This Row],[In]]&gt;$C$2,Table57[[#This Row],[In]]-$C$2,""),"")</f>
        <v/>
      </c>
      <c r="J627" s="31" t="str">
        <f>IF(Table57[[#This Row],[Work_Hours]]=0,"",(IF(Table57[[#This Row],[Out]]&lt;$C$3,$C$3-Table57[[#This Row],[Out]],"")))</f>
        <v/>
      </c>
      <c r="K627" s="32" t="str">
        <f>IFERROR(Table57[[#This Row],[In]]+$C$1,"")</f>
        <v/>
      </c>
      <c r="L627" s="29"/>
      <c r="M627" s="31" t="str">
        <f>IF($C$2&gt;Table57[[#This Row],[In]],$C$2-Table57[[#This Row],[In]],"")</f>
        <v/>
      </c>
      <c r="N627" s="29" t="str">
        <f>IFERROR(IF(Table57[[#This Row],[Out]]&gt;$C$3,(Table57[[#This Row],[Out]])-($C$3),""),"")</f>
        <v/>
      </c>
    </row>
    <row r="628" spans="1:14" hidden="1" x14ac:dyDescent="0.25">
      <c r="A628" s="23" t="str">
        <f>Table57[[#This Row],[No.]]&amp;Table57[[#This Row],[Date]]</f>
        <v>00</v>
      </c>
      <c r="B628" s="22">
        <f>'Unique Dates'!A625</f>
        <v>0</v>
      </c>
      <c r="C628" s="22" t="e" cm="1">
        <f t="array" ref="C628">_xlfn.XLOOKUP(Table57[[#This Row],[No.]],Table2[[#All],[CODE]],Table2[[#All],[NAME]],,0,1)</f>
        <v>#N/A</v>
      </c>
      <c r="D628" s="6">
        <f>'Unique Dates'!B625</f>
        <v>0</v>
      </c>
      <c r="E628" t="str">
        <f>TEXT(Table57[[#This Row],[Date]],"dddd")</f>
        <v>Saturday</v>
      </c>
      <c r="F628" s="25" t="str" cm="1">
        <f t="array" ref="F628">IFERROR(_xlfn.XLOOKUP(Table57[[#This Row],[Code]],Table1[[#All],[Code]],Table1[[#All],[Time]],,0,1),"")</f>
        <v/>
      </c>
      <c r="G628" s="25" t="str" cm="1">
        <f t="array" ref="G628">IFERROR(_xlfn.XLOOKUP(Table57[[#This Row],[Code]],Table1[[#All],[Code]],Table1[[#All],[Time]],,0,-1),"")</f>
        <v/>
      </c>
      <c r="H628" s="23" t="str">
        <f>IFERROR(IF(Table57[[#This Row],[Out]]&gt;=Table57[[#This Row],[In]],Table57[[#This Row],[Out]]-Table57[[#This Row],[In]],(0.5+Table57[[#This Row],[Out]])-Table57[[#This Row],[In]]),"")</f>
        <v/>
      </c>
      <c r="I628" s="31" t="str">
        <f>IFERROR(IF(Table57[[#This Row],[In]]&gt;$C$2,Table57[[#This Row],[In]]-$C$2,""),"")</f>
        <v/>
      </c>
      <c r="J628" s="31" t="str">
        <f>IF(Table57[[#This Row],[Work_Hours]]=0,"",(IF(Table57[[#This Row],[Out]]&lt;$C$3,$C$3-Table57[[#This Row],[Out]],"")))</f>
        <v/>
      </c>
      <c r="K628" s="32" t="str">
        <f>IFERROR(Table57[[#This Row],[In]]+$C$1,"")</f>
        <v/>
      </c>
      <c r="L628" s="29"/>
      <c r="M628" s="31" t="str">
        <f>IF($C$2&gt;Table57[[#This Row],[In]],$C$2-Table57[[#This Row],[In]],"")</f>
        <v/>
      </c>
      <c r="N628" s="29" t="str">
        <f>IFERROR(IF(Table57[[#This Row],[Out]]&gt;$C$3,(Table57[[#This Row],[Out]])-($C$3),""),"")</f>
        <v/>
      </c>
    </row>
    <row r="629" spans="1:14" hidden="1" x14ac:dyDescent="0.25">
      <c r="A629" s="23" t="str">
        <f>Table57[[#This Row],[No.]]&amp;Table57[[#This Row],[Date]]</f>
        <v>00</v>
      </c>
      <c r="B629" s="22">
        <f>'Unique Dates'!A626</f>
        <v>0</v>
      </c>
      <c r="C629" s="22" t="e" cm="1">
        <f t="array" ref="C629">_xlfn.XLOOKUP(Table57[[#This Row],[No.]],Table2[[#All],[CODE]],Table2[[#All],[NAME]],,0,1)</f>
        <v>#N/A</v>
      </c>
      <c r="D629" s="6">
        <f>'Unique Dates'!B626</f>
        <v>0</v>
      </c>
      <c r="E629" t="str">
        <f>TEXT(Table57[[#This Row],[Date]],"dddd")</f>
        <v>Saturday</v>
      </c>
      <c r="F629" s="25" t="str" cm="1">
        <f t="array" ref="F629">IFERROR(_xlfn.XLOOKUP(Table57[[#This Row],[Code]],Table1[[#All],[Code]],Table1[[#All],[Time]],,0,1),"")</f>
        <v/>
      </c>
      <c r="G629" s="25" t="str" cm="1">
        <f t="array" ref="G629">IFERROR(_xlfn.XLOOKUP(Table57[[#This Row],[Code]],Table1[[#All],[Code]],Table1[[#All],[Time]],,0,-1),"")</f>
        <v/>
      </c>
      <c r="H629" s="23" t="str">
        <f>IFERROR(IF(Table57[[#This Row],[Out]]&gt;=Table57[[#This Row],[In]],Table57[[#This Row],[Out]]-Table57[[#This Row],[In]],(0.5+Table57[[#This Row],[Out]])-Table57[[#This Row],[In]]),"")</f>
        <v/>
      </c>
      <c r="I629" s="31" t="str">
        <f>IFERROR(IF(Table57[[#This Row],[In]]&gt;$C$2,Table57[[#This Row],[In]]-$C$2,""),"")</f>
        <v/>
      </c>
      <c r="J629" s="31" t="str">
        <f>IF(Table57[[#This Row],[Work_Hours]]=0,"",(IF(Table57[[#This Row],[Out]]&lt;$C$3,$C$3-Table57[[#This Row],[Out]],"")))</f>
        <v/>
      </c>
      <c r="K629" s="32" t="str">
        <f>IFERROR(Table57[[#This Row],[In]]+$C$1,"")</f>
        <v/>
      </c>
      <c r="L629" s="29"/>
      <c r="M629" s="31" t="str">
        <f>IF($C$2&gt;Table57[[#This Row],[In]],$C$2-Table57[[#This Row],[In]],"")</f>
        <v/>
      </c>
      <c r="N629" s="29" t="str">
        <f>IFERROR(IF(Table57[[#This Row],[Out]]&gt;$C$3,(Table57[[#This Row],[Out]])-($C$3),""),"")</f>
        <v/>
      </c>
    </row>
    <row r="630" spans="1:14" hidden="1" x14ac:dyDescent="0.25">
      <c r="A630" s="23" t="str">
        <f>Table57[[#This Row],[No.]]&amp;Table57[[#This Row],[Date]]</f>
        <v>00</v>
      </c>
      <c r="B630" s="22">
        <f>'Unique Dates'!A627</f>
        <v>0</v>
      </c>
      <c r="C630" s="22" t="e" cm="1">
        <f t="array" ref="C630">_xlfn.XLOOKUP(Table57[[#This Row],[No.]],Table2[[#All],[CODE]],Table2[[#All],[NAME]],,0,1)</f>
        <v>#N/A</v>
      </c>
      <c r="D630" s="6">
        <f>'Unique Dates'!B627</f>
        <v>0</v>
      </c>
      <c r="E630" t="str">
        <f>TEXT(Table57[[#This Row],[Date]],"dddd")</f>
        <v>Saturday</v>
      </c>
      <c r="F630" s="25" t="str" cm="1">
        <f t="array" ref="F630">IFERROR(_xlfn.XLOOKUP(Table57[[#This Row],[Code]],Table1[[#All],[Code]],Table1[[#All],[Time]],,0,1),"")</f>
        <v/>
      </c>
      <c r="G630" s="25" t="str" cm="1">
        <f t="array" ref="G630">IFERROR(_xlfn.XLOOKUP(Table57[[#This Row],[Code]],Table1[[#All],[Code]],Table1[[#All],[Time]],,0,-1),"")</f>
        <v/>
      </c>
      <c r="H630" s="23" t="str">
        <f>IFERROR(IF(Table57[[#This Row],[Out]]&gt;=Table57[[#This Row],[In]],Table57[[#This Row],[Out]]-Table57[[#This Row],[In]],(0.5+Table57[[#This Row],[Out]])-Table57[[#This Row],[In]]),"")</f>
        <v/>
      </c>
      <c r="I630" s="31" t="str">
        <f>IFERROR(IF(Table57[[#This Row],[In]]&gt;$C$2,Table57[[#This Row],[In]]-$C$2,""),"")</f>
        <v/>
      </c>
      <c r="J630" s="31" t="str">
        <f>IF(Table57[[#This Row],[Work_Hours]]=0,"",(IF(Table57[[#This Row],[Out]]&lt;$C$3,$C$3-Table57[[#This Row],[Out]],"")))</f>
        <v/>
      </c>
      <c r="K630" s="32" t="str">
        <f>IFERROR(Table57[[#This Row],[In]]+$C$1,"")</f>
        <v/>
      </c>
      <c r="L630" s="29"/>
      <c r="M630" s="31" t="str">
        <f>IF($C$2&gt;Table57[[#This Row],[In]],$C$2-Table57[[#This Row],[In]],"")</f>
        <v/>
      </c>
      <c r="N630" s="29" t="str">
        <f>IFERROR(IF(Table57[[#This Row],[Out]]&gt;$C$3,(Table57[[#This Row],[Out]])-($C$3),""),"")</f>
        <v/>
      </c>
    </row>
    <row r="631" spans="1:14" hidden="1" x14ac:dyDescent="0.25">
      <c r="A631" s="23" t="str">
        <f>Table57[[#This Row],[No.]]&amp;Table57[[#This Row],[Date]]</f>
        <v>00</v>
      </c>
      <c r="B631" s="22">
        <f>'Unique Dates'!A628</f>
        <v>0</v>
      </c>
      <c r="C631" s="22" t="e" cm="1">
        <f t="array" ref="C631">_xlfn.XLOOKUP(Table57[[#This Row],[No.]],Table2[[#All],[CODE]],Table2[[#All],[NAME]],,0,1)</f>
        <v>#N/A</v>
      </c>
      <c r="D631" s="6">
        <f>'Unique Dates'!B628</f>
        <v>0</v>
      </c>
      <c r="E631" t="str">
        <f>TEXT(Table57[[#This Row],[Date]],"dddd")</f>
        <v>Saturday</v>
      </c>
      <c r="F631" s="25" t="str" cm="1">
        <f t="array" ref="F631">IFERROR(_xlfn.XLOOKUP(Table57[[#This Row],[Code]],Table1[[#All],[Code]],Table1[[#All],[Time]],,0,1),"")</f>
        <v/>
      </c>
      <c r="G631" s="25" t="str" cm="1">
        <f t="array" ref="G631">IFERROR(_xlfn.XLOOKUP(Table57[[#This Row],[Code]],Table1[[#All],[Code]],Table1[[#All],[Time]],,0,-1),"")</f>
        <v/>
      </c>
      <c r="H631" s="23" t="str">
        <f>IFERROR(IF(Table57[[#This Row],[Out]]&gt;=Table57[[#This Row],[In]],Table57[[#This Row],[Out]]-Table57[[#This Row],[In]],(0.5+Table57[[#This Row],[Out]])-Table57[[#This Row],[In]]),"")</f>
        <v/>
      </c>
      <c r="I631" s="31" t="str">
        <f>IFERROR(IF(Table57[[#This Row],[In]]&gt;$C$2,Table57[[#This Row],[In]]-$C$2,""),"")</f>
        <v/>
      </c>
      <c r="J631" s="31" t="str">
        <f>IF(Table57[[#This Row],[Work_Hours]]=0,"",(IF(Table57[[#This Row],[Out]]&lt;$C$3,$C$3-Table57[[#This Row],[Out]],"")))</f>
        <v/>
      </c>
      <c r="K631" s="32" t="str">
        <f>IFERROR(Table57[[#This Row],[In]]+$C$1,"")</f>
        <v/>
      </c>
      <c r="L631" s="29"/>
      <c r="M631" s="31" t="str">
        <f>IF($C$2&gt;Table57[[#This Row],[In]],$C$2-Table57[[#This Row],[In]],"")</f>
        <v/>
      </c>
      <c r="N631" s="29" t="str">
        <f>IFERROR(IF(Table57[[#This Row],[Out]]&gt;$C$3,(Table57[[#This Row],[Out]])-($C$3),""),"")</f>
        <v/>
      </c>
    </row>
    <row r="632" spans="1:14" hidden="1" x14ac:dyDescent="0.25">
      <c r="A632" s="23" t="str">
        <f>Table57[[#This Row],[No.]]&amp;Table57[[#This Row],[Date]]</f>
        <v>00</v>
      </c>
      <c r="B632" s="22">
        <f>'Unique Dates'!A629</f>
        <v>0</v>
      </c>
      <c r="C632" s="22" t="e" cm="1">
        <f t="array" ref="C632">_xlfn.XLOOKUP(Table57[[#This Row],[No.]],Table2[[#All],[CODE]],Table2[[#All],[NAME]],,0,1)</f>
        <v>#N/A</v>
      </c>
      <c r="D632" s="6">
        <f>'Unique Dates'!B629</f>
        <v>0</v>
      </c>
      <c r="E632" t="str">
        <f>TEXT(Table57[[#This Row],[Date]],"dddd")</f>
        <v>Saturday</v>
      </c>
      <c r="F632" s="25" t="str" cm="1">
        <f t="array" ref="F632">IFERROR(_xlfn.XLOOKUP(Table57[[#This Row],[Code]],Table1[[#All],[Code]],Table1[[#All],[Time]],,0,1),"")</f>
        <v/>
      </c>
      <c r="G632" s="25" t="str" cm="1">
        <f t="array" ref="G632">IFERROR(_xlfn.XLOOKUP(Table57[[#This Row],[Code]],Table1[[#All],[Code]],Table1[[#All],[Time]],,0,-1),"")</f>
        <v/>
      </c>
      <c r="H632" s="23" t="str">
        <f>IFERROR(IF(Table57[[#This Row],[Out]]&gt;=Table57[[#This Row],[In]],Table57[[#This Row],[Out]]-Table57[[#This Row],[In]],(0.5+Table57[[#This Row],[Out]])-Table57[[#This Row],[In]]),"")</f>
        <v/>
      </c>
      <c r="I632" s="31" t="str">
        <f>IFERROR(IF(Table57[[#This Row],[In]]&gt;$C$2,Table57[[#This Row],[In]]-$C$2,""),"")</f>
        <v/>
      </c>
      <c r="J632" s="31" t="str">
        <f>IF(Table57[[#This Row],[Work_Hours]]=0,"",(IF(Table57[[#This Row],[Out]]&lt;$C$3,$C$3-Table57[[#This Row],[Out]],"")))</f>
        <v/>
      </c>
      <c r="K632" s="32" t="str">
        <f>IFERROR(Table57[[#This Row],[In]]+$C$1,"")</f>
        <v/>
      </c>
      <c r="L632" s="29"/>
      <c r="M632" s="31" t="str">
        <f>IF($C$2&gt;Table57[[#This Row],[In]],$C$2-Table57[[#This Row],[In]],"")</f>
        <v/>
      </c>
      <c r="N632" s="29" t="str">
        <f>IFERROR(IF(Table57[[#This Row],[Out]]&gt;$C$3,(Table57[[#This Row],[Out]])-($C$3),""),"")</f>
        <v/>
      </c>
    </row>
    <row r="633" spans="1:14" hidden="1" x14ac:dyDescent="0.25">
      <c r="A633" s="23" t="str">
        <f>Table57[[#This Row],[No.]]&amp;Table57[[#This Row],[Date]]</f>
        <v>00</v>
      </c>
      <c r="B633" s="22">
        <f>'Unique Dates'!A630</f>
        <v>0</v>
      </c>
      <c r="C633" s="22" t="e" cm="1">
        <f t="array" ref="C633">_xlfn.XLOOKUP(Table57[[#This Row],[No.]],Table2[[#All],[CODE]],Table2[[#All],[NAME]],,0,1)</f>
        <v>#N/A</v>
      </c>
      <c r="D633" s="6">
        <f>'Unique Dates'!B630</f>
        <v>0</v>
      </c>
      <c r="E633" t="str">
        <f>TEXT(Table57[[#This Row],[Date]],"dddd")</f>
        <v>Saturday</v>
      </c>
      <c r="F633" s="25" t="str" cm="1">
        <f t="array" ref="F633">IFERROR(_xlfn.XLOOKUP(Table57[[#This Row],[Code]],Table1[[#All],[Code]],Table1[[#All],[Time]],,0,1),"")</f>
        <v/>
      </c>
      <c r="G633" s="25" t="str" cm="1">
        <f t="array" ref="G633">IFERROR(_xlfn.XLOOKUP(Table57[[#This Row],[Code]],Table1[[#All],[Code]],Table1[[#All],[Time]],,0,-1),"")</f>
        <v/>
      </c>
      <c r="H633" s="23" t="str">
        <f>IFERROR(IF(Table57[[#This Row],[Out]]&gt;=Table57[[#This Row],[In]],Table57[[#This Row],[Out]]-Table57[[#This Row],[In]],(0.5+Table57[[#This Row],[Out]])-Table57[[#This Row],[In]]),"")</f>
        <v/>
      </c>
      <c r="I633" s="31" t="str">
        <f>IFERROR(IF(Table57[[#This Row],[In]]&gt;$C$2,Table57[[#This Row],[In]]-$C$2,""),"")</f>
        <v/>
      </c>
      <c r="J633" s="31" t="str">
        <f>IF(Table57[[#This Row],[Work_Hours]]=0,"",(IF(Table57[[#This Row],[Out]]&lt;$C$3,$C$3-Table57[[#This Row],[Out]],"")))</f>
        <v/>
      </c>
      <c r="K633" s="32" t="str">
        <f>IFERROR(Table57[[#This Row],[In]]+$C$1,"")</f>
        <v/>
      </c>
      <c r="L633" s="29"/>
      <c r="M633" s="31" t="str">
        <f>IF($C$2&gt;Table57[[#This Row],[In]],$C$2-Table57[[#This Row],[In]],"")</f>
        <v/>
      </c>
      <c r="N633" s="29" t="str">
        <f>IFERROR(IF(Table57[[#This Row],[Out]]&gt;$C$3,(Table57[[#This Row],[Out]])-($C$3),""),"")</f>
        <v/>
      </c>
    </row>
    <row r="634" spans="1:14" hidden="1" x14ac:dyDescent="0.25">
      <c r="A634" s="23" t="str">
        <f>Table57[[#This Row],[No.]]&amp;Table57[[#This Row],[Date]]</f>
        <v>00</v>
      </c>
      <c r="B634" s="22">
        <f>'Unique Dates'!A631</f>
        <v>0</v>
      </c>
      <c r="C634" s="22" t="e" cm="1">
        <f t="array" ref="C634">_xlfn.XLOOKUP(Table57[[#This Row],[No.]],Table2[[#All],[CODE]],Table2[[#All],[NAME]],,0,1)</f>
        <v>#N/A</v>
      </c>
      <c r="D634" s="6">
        <f>'Unique Dates'!B631</f>
        <v>0</v>
      </c>
      <c r="E634" t="str">
        <f>TEXT(Table57[[#This Row],[Date]],"dddd")</f>
        <v>Saturday</v>
      </c>
      <c r="F634" s="25" t="str" cm="1">
        <f t="array" ref="F634">IFERROR(_xlfn.XLOOKUP(Table57[[#This Row],[Code]],Table1[[#All],[Code]],Table1[[#All],[Time]],,0,1),"")</f>
        <v/>
      </c>
      <c r="G634" s="25" t="str" cm="1">
        <f t="array" ref="G634">IFERROR(_xlfn.XLOOKUP(Table57[[#This Row],[Code]],Table1[[#All],[Code]],Table1[[#All],[Time]],,0,-1),"")</f>
        <v/>
      </c>
      <c r="H634" s="23" t="str">
        <f>IFERROR(IF(Table57[[#This Row],[Out]]&gt;=Table57[[#This Row],[In]],Table57[[#This Row],[Out]]-Table57[[#This Row],[In]],(0.5+Table57[[#This Row],[Out]])-Table57[[#This Row],[In]]),"")</f>
        <v/>
      </c>
      <c r="I634" s="31" t="str">
        <f>IFERROR(IF(Table57[[#This Row],[In]]&gt;$C$2,Table57[[#This Row],[In]]-$C$2,""),"")</f>
        <v/>
      </c>
      <c r="J634" s="31" t="str">
        <f>IF(Table57[[#This Row],[Work_Hours]]=0,"",(IF(Table57[[#This Row],[Out]]&lt;$C$3,$C$3-Table57[[#This Row],[Out]],"")))</f>
        <v/>
      </c>
      <c r="K634" s="32" t="str">
        <f>IFERROR(Table57[[#This Row],[In]]+$C$1,"")</f>
        <v/>
      </c>
      <c r="L634" s="29"/>
      <c r="M634" s="31" t="str">
        <f>IF($C$2&gt;Table57[[#This Row],[In]],$C$2-Table57[[#This Row],[In]],"")</f>
        <v/>
      </c>
      <c r="N634" s="29" t="str">
        <f>IFERROR(IF(Table57[[#This Row],[Out]]&gt;$C$3,(Table57[[#This Row],[Out]])-($C$3),""),"")</f>
        <v/>
      </c>
    </row>
    <row r="635" spans="1:14" hidden="1" x14ac:dyDescent="0.25">
      <c r="A635" s="23" t="str">
        <f>Table57[[#This Row],[No.]]&amp;Table57[[#This Row],[Date]]</f>
        <v>00</v>
      </c>
      <c r="B635" s="22">
        <f>'Unique Dates'!A632</f>
        <v>0</v>
      </c>
      <c r="C635" s="22" t="e" cm="1">
        <f t="array" ref="C635">_xlfn.XLOOKUP(Table57[[#This Row],[No.]],Table2[[#All],[CODE]],Table2[[#All],[NAME]],,0,1)</f>
        <v>#N/A</v>
      </c>
      <c r="D635" s="6">
        <f>'Unique Dates'!B632</f>
        <v>0</v>
      </c>
      <c r="E635" t="str">
        <f>TEXT(Table57[[#This Row],[Date]],"dddd")</f>
        <v>Saturday</v>
      </c>
      <c r="F635" s="25" t="str" cm="1">
        <f t="array" ref="F635">IFERROR(_xlfn.XLOOKUP(Table57[[#This Row],[Code]],Table1[[#All],[Code]],Table1[[#All],[Time]],,0,1),"")</f>
        <v/>
      </c>
      <c r="G635" s="25" t="str" cm="1">
        <f t="array" ref="G635">IFERROR(_xlfn.XLOOKUP(Table57[[#This Row],[Code]],Table1[[#All],[Code]],Table1[[#All],[Time]],,0,-1),"")</f>
        <v/>
      </c>
      <c r="H635" s="23" t="str">
        <f>IFERROR(IF(Table57[[#This Row],[Out]]&gt;=Table57[[#This Row],[In]],Table57[[#This Row],[Out]]-Table57[[#This Row],[In]],(0.5+Table57[[#This Row],[Out]])-Table57[[#This Row],[In]]),"")</f>
        <v/>
      </c>
      <c r="I635" s="31" t="str">
        <f>IFERROR(IF(Table57[[#This Row],[In]]&gt;$C$2,Table57[[#This Row],[In]]-$C$2,""),"")</f>
        <v/>
      </c>
      <c r="J635" s="31" t="str">
        <f>IF(Table57[[#This Row],[Work_Hours]]=0,"",(IF(Table57[[#This Row],[Out]]&lt;$C$3,$C$3-Table57[[#This Row],[Out]],"")))</f>
        <v/>
      </c>
      <c r="K635" s="32" t="str">
        <f>IFERROR(Table57[[#This Row],[In]]+$C$1,"")</f>
        <v/>
      </c>
      <c r="L635" s="29"/>
      <c r="M635" s="31" t="str">
        <f>IF($C$2&gt;Table57[[#This Row],[In]],$C$2-Table57[[#This Row],[In]],"")</f>
        <v/>
      </c>
      <c r="N635" s="29" t="str">
        <f>IFERROR(IF(Table57[[#This Row],[Out]]&gt;$C$3,(Table57[[#This Row],[Out]])-($C$3),""),"")</f>
        <v/>
      </c>
    </row>
    <row r="636" spans="1:14" hidden="1" x14ac:dyDescent="0.25">
      <c r="A636" s="23" t="str">
        <f>Table57[[#This Row],[No.]]&amp;Table57[[#This Row],[Date]]</f>
        <v>00</v>
      </c>
      <c r="B636" s="22">
        <f>'Unique Dates'!A633</f>
        <v>0</v>
      </c>
      <c r="C636" s="22" t="e" cm="1">
        <f t="array" ref="C636">_xlfn.XLOOKUP(Table57[[#This Row],[No.]],Table2[[#All],[CODE]],Table2[[#All],[NAME]],,0,1)</f>
        <v>#N/A</v>
      </c>
      <c r="D636" s="6">
        <f>'Unique Dates'!B633</f>
        <v>0</v>
      </c>
      <c r="E636" t="str">
        <f>TEXT(Table57[[#This Row],[Date]],"dddd")</f>
        <v>Saturday</v>
      </c>
      <c r="F636" s="25" t="str" cm="1">
        <f t="array" ref="F636">IFERROR(_xlfn.XLOOKUP(Table57[[#This Row],[Code]],Table1[[#All],[Code]],Table1[[#All],[Time]],,0,1),"")</f>
        <v/>
      </c>
      <c r="G636" s="25" t="str" cm="1">
        <f t="array" ref="G636">IFERROR(_xlfn.XLOOKUP(Table57[[#This Row],[Code]],Table1[[#All],[Code]],Table1[[#All],[Time]],,0,-1),"")</f>
        <v/>
      </c>
      <c r="H636" s="23" t="str">
        <f>IFERROR(IF(Table57[[#This Row],[Out]]&gt;=Table57[[#This Row],[In]],Table57[[#This Row],[Out]]-Table57[[#This Row],[In]],(0.5+Table57[[#This Row],[Out]])-Table57[[#This Row],[In]]),"")</f>
        <v/>
      </c>
      <c r="I636" s="31" t="str">
        <f>IFERROR(IF(Table57[[#This Row],[In]]&gt;$C$2,Table57[[#This Row],[In]]-$C$2,""),"")</f>
        <v/>
      </c>
      <c r="J636" s="31" t="str">
        <f>IF(Table57[[#This Row],[Work_Hours]]=0,"",(IF(Table57[[#This Row],[Out]]&lt;$C$3,$C$3-Table57[[#This Row],[Out]],"")))</f>
        <v/>
      </c>
      <c r="K636" s="32" t="str">
        <f>IFERROR(Table57[[#This Row],[In]]+$C$1,"")</f>
        <v/>
      </c>
      <c r="L636" s="29"/>
      <c r="M636" s="31" t="str">
        <f>IF($C$2&gt;Table57[[#This Row],[In]],$C$2-Table57[[#This Row],[In]],"")</f>
        <v/>
      </c>
      <c r="N636" s="29" t="str">
        <f>IFERROR(IF(Table57[[#This Row],[Out]]&gt;$C$3,(Table57[[#This Row],[Out]])-($C$3),""),"")</f>
        <v/>
      </c>
    </row>
    <row r="637" spans="1:14" hidden="1" x14ac:dyDescent="0.25">
      <c r="A637" s="23" t="str">
        <f>Table57[[#This Row],[No.]]&amp;Table57[[#This Row],[Date]]</f>
        <v>00</v>
      </c>
      <c r="B637" s="22">
        <f>'Unique Dates'!A634</f>
        <v>0</v>
      </c>
      <c r="C637" s="22" t="e" cm="1">
        <f t="array" ref="C637">_xlfn.XLOOKUP(Table57[[#This Row],[No.]],Table2[[#All],[CODE]],Table2[[#All],[NAME]],,0,1)</f>
        <v>#N/A</v>
      </c>
      <c r="D637" s="6">
        <f>'Unique Dates'!B634</f>
        <v>0</v>
      </c>
      <c r="E637" t="str">
        <f>TEXT(Table57[[#This Row],[Date]],"dddd")</f>
        <v>Saturday</v>
      </c>
      <c r="F637" s="25" t="str" cm="1">
        <f t="array" ref="F637">IFERROR(_xlfn.XLOOKUP(Table57[[#This Row],[Code]],Table1[[#All],[Code]],Table1[[#All],[Time]],,0,1),"")</f>
        <v/>
      </c>
      <c r="G637" s="25" t="str" cm="1">
        <f t="array" ref="G637">IFERROR(_xlfn.XLOOKUP(Table57[[#This Row],[Code]],Table1[[#All],[Code]],Table1[[#All],[Time]],,0,-1),"")</f>
        <v/>
      </c>
      <c r="H637" s="23" t="str">
        <f>IFERROR(IF(Table57[[#This Row],[Out]]&gt;=Table57[[#This Row],[In]],Table57[[#This Row],[Out]]-Table57[[#This Row],[In]],(0.5+Table57[[#This Row],[Out]])-Table57[[#This Row],[In]]),"")</f>
        <v/>
      </c>
      <c r="I637" s="31" t="str">
        <f>IFERROR(IF(Table57[[#This Row],[In]]&gt;$C$2,Table57[[#This Row],[In]]-$C$2,""),"")</f>
        <v/>
      </c>
      <c r="J637" s="31" t="str">
        <f>IF(Table57[[#This Row],[Work_Hours]]=0,"",(IF(Table57[[#This Row],[Out]]&lt;$C$3,$C$3-Table57[[#This Row],[Out]],"")))</f>
        <v/>
      </c>
      <c r="K637" s="32" t="str">
        <f>IFERROR(Table57[[#This Row],[In]]+$C$1,"")</f>
        <v/>
      </c>
      <c r="L637" s="29"/>
      <c r="M637" s="31" t="str">
        <f>IF($C$2&gt;Table57[[#This Row],[In]],$C$2-Table57[[#This Row],[In]],"")</f>
        <v/>
      </c>
      <c r="N637" s="29" t="str">
        <f>IFERROR(IF(Table57[[#This Row],[Out]]&gt;$C$3,(Table57[[#This Row],[Out]])-($C$3),""),"")</f>
        <v/>
      </c>
    </row>
    <row r="638" spans="1:14" hidden="1" x14ac:dyDescent="0.25">
      <c r="A638" s="23" t="str">
        <f>Table57[[#This Row],[No.]]&amp;Table57[[#This Row],[Date]]</f>
        <v>00</v>
      </c>
      <c r="B638" s="22">
        <f>'Unique Dates'!A635</f>
        <v>0</v>
      </c>
      <c r="C638" s="22" t="e" cm="1">
        <f t="array" ref="C638">_xlfn.XLOOKUP(Table57[[#This Row],[No.]],Table2[[#All],[CODE]],Table2[[#All],[NAME]],,0,1)</f>
        <v>#N/A</v>
      </c>
      <c r="D638" s="6">
        <f>'Unique Dates'!B635</f>
        <v>0</v>
      </c>
      <c r="E638" t="str">
        <f>TEXT(Table57[[#This Row],[Date]],"dddd")</f>
        <v>Saturday</v>
      </c>
      <c r="F638" s="25" t="str" cm="1">
        <f t="array" ref="F638">IFERROR(_xlfn.XLOOKUP(Table57[[#This Row],[Code]],Table1[[#All],[Code]],Table1[[#All],[Time]],,0,1),"")</f>
        <v/>
      </c>
      <c r="G638" s="25" t="str" cm="1">
        <f t="array" ref="G638">IFERROR(_xlfn.XLOOKUP(Table57[[#This Row],[Code]],Table1[[#All],[Code]],Table1[[#All],[Time]],,0,-1),"")</f>
        <v/>
      </c>
      <c r="H638" s="23" t="str">
        <f>IFERROR(IF(Table57[[#This Row],[Out]]&gt;=Table57[[#This Row],[In]],Table57[[#This Row],[Out]]-Table57[[#This Row],[In]],(0.5+Table57[[#This Row],[Out]])-Table57[[#This Row],[In]]),"")</f>
        <v/>
      </c>
      <c r="I638" s="31" t="str">
        <f>IFERROR(IF(Table57[[#This Row],[In]]&gt;$C$2,Table57[[#This Row],[In]]-$C$2,""),"")</f>
        <v/>
      </c>
      <c r="J638" s="31" t="str">
        <f>IF(Table57[[#This Row],[Work_Hours]]=0,"",(IF(Table57[[#This Row],[Out]]&lt;$C$3,$C$3-Table57[[#This Row],[Out]],"")))</f>
        <v/>
      </c>
      <c r="K638" s="32" t="str">
        <f>IFERROR(Table57[[#This Row],[In]]+$C$1,"")</f>
        <v/>
      </c>
      <c r="L638" s="29"/>
      <c r="M638" s="31" t="str">
        <f>IF($C$2&gt;Table57[[#This Row],[In]],$C$2-Table57[[#This Row],[In]],"")</f>
        <v/>
      </c>
      <c r="N638" s="29" t="str">
        <f>IFERROR(IF(Table57[[#This Row],[Out]]&gt;$C$3,(Table57[[#This Row],[Out]])-($C$3),""),"")</f>
        <v/>
      </c>
    </row>
    <row r="639" spans="1:14" hidden="1" x14ac:dyDescent="0.25">
      <c r="A639" s="23" t="str">
        <f>Table57[[#This Row],[No.]]&amp;Table57[[#This Row],[Date]]</f>
        <v>00</v>
      </c>
      <c r="B639" s="22">
        <f>'Unique Dates'!A636</f>
        <v>0</v>
      </c>
      <c r="C639" s="22" t="e" cm="1">
        <f t="array" ref="C639">_xlfn.XLOOKUP(Table57[[#This Row],[No.]],Table2[[#All],[CODE]],Table2[[#All],[NAME]],,0,1)</f>
        <v>#N/A</v>
      </c>
      <c r="D639" s="6">
        <f>'Unique Dates'!B636</f>
        <v>0</v>
      </c>
      <c r="E639" t="str">
        <f>TEXT(Table57[[#This Row],[Date]],"dddd")</f>
        <v>Saturday</v>
      </c>
      <c r="F639" s="25" t="str" cm="1">
        <f t="array" ref="F639">IFERROR(_xlfn.XLOOKUP(Table57[[#This Row],[Code]],Table1[[#All],[Code]],Table1[[#All],[Time]],,0,1),"")</f>
        <v/>
      </c>
      <c r="G639" s="25" t="str" cm="1">
        <f t="array" ref="G639">IFERROR(_xlfn.XLOOKUP(Table57[[#This Row],[Code]],Table1[[#All],[Code]],Table1[[#All],[Time]],,0,-1),"")</f>
        <v/>
      </c>
      <c r="H639" s="23" t="str">
        <f>IFERROR(IF(Table57[[#This Row],[Out]]&gt;=Table57[[#This Row],[In]],Table57[[#This Row],[Out]]-Table57[[#This Row],[In]],(0.5+Table57[[#This Row],[Out]])-Table57[[#This Row],[In]]),"")</f>
        <v/>
      </c>
      <c r="I639" s="31" t="str">
        <f>IFERROR(IF(Table57[[#This Row],[In]]&gt;$C$2,Table57[[#This Row],[In]]-$C$2,""),"")</f>
        <v/>
      </c>
      <c r="J639" s="31" t="str">
        <f>IF(Table57[[#This Row],[Work_Hours]]=0,"",(IF(Table57[[#This Row],[Out]]&lt;$C$3,$C$3-Table57[[#This Row],[Out]],"")))</f>
        <v/>
      </c>
      <c r="K639" s="32" t="str">
        <f>IFERROR(Table57[[#This Row],[In]]+$C$1,"")</f>
        <v/>
      </c>
      <c r="L639" s="29"/>
      <c r="M639" s="31" t="str">
        <f>IF($C$2&gt;Table57[[#This Row],[In]],$C$2-Table57[[#This Row],[In]],"")</f>
        <v/>
      </c>
      <c r="N639" s="29" t="str">
        <f>IFERROR(IF(Table57[[#This Row],[Out]]&gt;$C$3,(Table57[[#This Row],[Out]])-($C$3),""),"")</f>
        <v/>
      </c>
    </row>
    <row r="640" spans="1:14" hidden="1" x14ac:dyDescent="0.25">
      <c r="A640" s="23" t="str">
        <f>Table57[[#This Row],[No.]]&amp;Table57[[#This Row],[Date]]</f>
        <v>00</v>
      </c>
      <c r="B640" s="22">
        <f>'Unique Dates'!A637</f>
        <v>0</v>
      </c>
      <c r="C640" s="22" t="e" cm="1">
        <f t="array" ref="C640">_xlfn.XLOOKUP(Table57[[#This Row],[No.]],Table2[[#All],[CODE]],Table2[[#All],[NAME]],,0,1)</f>
        <v>#N/A</v>
      </c>
      <c r="D640" s="6">
        <f>'Unique Dates'!B637</f>
        <v>0</v>
      </c>
      <c r="E640" t="str">
        <f>TEXT(Table57[[#This Row],[Date]],"dddd")</f>
        <v>Saturday</v>
      </c>
      <c r="F640" s="25" t="str" cm="1">
        <f t="array" ref="F640">IFERROR(_xlfn.XLOOKUP(Table57[[#This Row],[Code]],Table1[[#All],[Code]],Table1[[#All],[Time]],,0,1),"")</f>
        <v/>
      </c>
      <c r="G640" s="25" t="str" cm="1">
        <f t="array" ref="G640">IFERROR(_xlfn.XLOOKUP(Table57[[#This Row],[Code]],Table1[[#All],[Code]],Table1[[#All],[Time]],,0,-1),"")</f>
        <v/>
      </c>
      <c r="H640" s="23" t="str">
        <f>IFERROR(IF(Table57[[#This Row],[Out]]&gt;=Table57[[#This Row],[In]],Table57[[#This Row],[Out]]-Table57[[#This Row],[In]],(0.5+Table57[[#This Row],[Out]])-Table57[[#This Row],[In]]),"")</f>
        <v/>
      </c>
      <c r="I640" s="31" t="str">
        <f>IFERROR(IF(Table57[[#This Row],[In]]&gt;$C$2,Table57[[#This Row],[In]]-$C$2,""),"")</f>
        <v/>
      </c>
      <c r="J640" s="31" t="str">
        <f>IF(Table57[[#This Row],[Work_Hours]]=0,"",(IF(Table57[[#This Row],[Out]]&lt;$C$3,$C$3-Table57[[#This Row],[Out]],"")))</f>
        <v/>
      </c>
      <c r="K640" s="32" t="str">
        <f>IFERROR(Table57[[#This Row],[In]]+$C$1,"")</f>
        <v/>
      </c>
      <c r="L640" s="29"/>
      <c r="M640" s="31" t="str">
        <f>IF($C$2&gt;Table57[[#This Row],[In]],$C$2-Table57[[#This Row],[In]],"")</f>
        <v/>
      </c>
      <c r="N640" s="29" t="str">
        <f>IFERROR(IF(Table57[[#This Row],[Out]]&gt;$C$3,(Table57[[#This Row],[Out]])-($C$3),""),"")</f>
        <v/>
      </c>
    </row>
    <row r="641" spans="1:14" hidden="1" x14ac:dyDescent="0.25">
      <c r="A641" s="23" t="str">
        <f>Table57[[#This Row],[No.]]&amp;Table57[[#This Row],[Date]]</f>
        <v>00</v>
      </c>
      <c r="B641" s="22">
        <f>'Unique Dates'!A638</f>
        <v>0</v>
      </c>
      <c r="C641" s="22" t="e" cm="1">
        <f t="array" ref="C641">_xlfn.XLOOKUP(Table57[[#This Row],[No.]],Table2[[#All],[CODE]],Table2[[#All],[NAME]],,0,1)</f>
        <v>#N/A</v>
      </c>
      <c r="D641" s="6">
        <f>'Unique Dates'!B638</f>
        <v>0</v>
      </c>
      <c r="E641" t="str">
        <f>TEXT(Table57[[#This Row],[Date]],"dddd")</f>
        <v>Saturday</v>
      </c>
      <c r="F641" s="25" t="str" cm="1">
        <f t="array" ref="F641">IFERROR(_xlfn.XLOOKUP(Table57[[#This Row],[Code]],Table1[[#All],[Code]],Table1[[#All],[Time]],,0,1),"")</f>
        <v/>
      </c>
      <c r="G641" s="25" t="str" cm="1">
        <f t="array" ref="G641">IFERROR(_xlfn.XLOOKUP(Table57[[#This Row],[Code]],Table1[[#All],[Code]],Table1[[#All],[Time]],,0,-1),"")</f>
        <v/>
      </c>
      <c r="H641" s="23" t="str">
        <f>IFERROR(IF(Table57[[#This Row],[Out]]&gt;=Table57[[#This Row],[In]],Table57[[#This Row],[Out]]-Table57[[#This Row],[In]],(0.5+Table57[[#This Row],[Out]])-Table57[[#This Row],[In]]),"")</f>
        <v/>
      </c>
      <c r="I641" s="31" t="str">
        <f>IFERROR(IF(Table57[[#This Row],[In]]&gt;$C$2,Table57[[#This Row],[In]]-$C$2,""),"")</f>
        <v/>
      </c>
      <c r="J641" s="31" t="str">
        <f>IF(Table57[[#This Row],[Work_Hours]]=0,"",(IF(Table57[[#This Row],[Out]]&lt;$C$3,$C$3-Table57[[#This Row],[Out]],"")))</f>
        <v/>
      </c>
      <c r="K641" s="32" t="str">
        <f>IFERROR(Table57[[#This Row],[In]]+$C$1,"")</f>
        <v/>
      </c>
      <c r="L641" s="29"/>
      <c r="M641" s="31" t="str">
        <f>IF($C$2&gt;Table57[[#This Row],[In]],$C$2-Table57[[#This Row],[In]],"")</f>
        <v/>
      </c>
      <c r="N641" s="29" t="str">
        <f>IFERROR(IF(Table57[[#This Row],[Out]]&gt;$C$3,(Table57[[#This Row],[Out]])-($C$3),""),"")</f>
        <v/>
      </c>
    </row>
    <row r="642" spans="1:14" hidden="1" x14ac:dyDescent="0.25">
      <c r="A642" s="23" t="str">
        <f>Table57[[#This Row],[No.]]&amp;Table57[[#This Row],[Date]]</f>
        <v>00</v>
      </c>
      <c r="B642" s="22">
        <f>'Unique Dates'!A639</f>
        <v>0</v>
      </c>
      <c r="C642" s="22" t="e" cm="1">
        <f t="array" ref="C642">_xlfn.XLOOKUP(Table57[[#This Row],[No.]],Table2[[#All],[CODE]],Table2[[#All],[NAME]],,0,1)</f>
        <v>#N/A</v>
      </c>
      <c r="D642" s="6">
        <f>'Unique Dates'!B639</f>
        <v>0</v>
      </c>
      <c r="E642" t="str">
        <f>TEXT(Table57[[#This Row],[Date]],"dddd")</f>
        <v>Saturday</v>
      </c>
      <c r="F642" s="25" t="str" cm="1">
        <f t="array" ref="F642">IFERROR(_xlfn.XLOOKUP(Table57[[#This Row],[Code]],Table1[[#All],[Code]],Table1[[#All],[Time]],,0,1),"")</f>
        <v/>
      </c>
      <c r="G642" s="25" t="str" cm="1">
        <f t="array" ref="G642">IFERROR(_xlfn.XLOOKUP(Table57[[#This Row],[Code]],Table1[[#All],[Code]],Table1[[#All],[Time]],,0,-1),"")</f>
        <v/>
      </c>
      <c r="H642" s="23" t="str">
        <f>IFERROR(IF(Table57[[#This Row],[Out]]&gt;=Table57[[#This Row],[In]],Table57[[#This Row],[Out]]-Table57[[#This Row],[In]],(0.5+Table57[[#This Row],[Out]])-Table57[[#This Row],[In]]),"")</f>
        <v/>
      </c>
      <c r="I642" s="31" t="str">
        <f>IFERROR(IF(Table57[[#This Row],[In]]&gt;$C$2,Table57[[#This Row],[In]]-$C$2,""),"")</f>
        <v/>
      </c>
      <c r="J642" s="31" t="str">
        <f>IF(Table57[[#This Row],[Work_Hours]]=0,"",(IF(Table57[[#This Row],[Out]]&lt;$C$3,$C$3-Table57[[#This Row],[Out]],"")))</f>
        <v/>
      </c>
      <c r="K642" s="32" t="str">
        <f>IFERROR(Table57[[#This Row],[In]]+$C$1,"")</f>
        <v/>
      </c>
      <c r="L642" s="29"/>
      <c r="M642" s="31" t="str">
        <f>IF($C$2&gt;Table57[[#This Row],[In]],$C$2-Table57[[#This Row],[In]],"")</f>
        <v/>
      </c>
      <c r="N642" s="29" t="str">
        <f>IFERROR(IF(Table57[[#This Row],[Out]]&gt;$C$3,(Table57[[#This Row],[Out]])-($C$3),""),"")</f>
        <v/>
      </c>
    </row>
    <row r="643" spans="1:14" hidden="1" x14ac:dyDescent="0.25">
      <c r="A643" s="23" t="str">
        <f>Table57[[#This Row],[No.]]&amp;Table57[[#This Row],[Date]]</f>
        <v>00</v>
      </c>
      <c r="B643" s="22">
        <f>'Unique Dates'!A640</f>
        <v>0</v>
      </c>
      <c r="C643" s="22" t="e" cm="1">
        <f t="array" ref="C643">_xlfn.XLOOKUP(Table57[[#This Row],[No.]],Table2[[#All],[CODE]],Table2[[#All],[NAME]],,0,1)</f>
        <v>#N/A</v>
      </c>
      <c r="D643" s="6">
        <f>'Unique Dates'!B640</f>
        <v>0</v>
      </c>
      <c r="E643" t="str">
        <f>TEXT(Table57[[#This Row],[Date]],"dddd")</f>
        <v>Saturday</v>
      </c>
      <c r="F643" s="25" t="str" cm="1">
        <f t="array" ref="F643">IFERROR(_xlfn.XLOOKUP(Table57[[#This Row],[Code]],Table1[[#All],[Code]],Table1[[#All],[Time]],,0,1),"")</f>
        <v/>
      </c>
      <c r="G643" s="25" t="str" cm="1">
        <f t="array" ref="G643">IFERROR(_xlfn.XLOOKUP(Table57[[#This Row],[Code]],Table1[[#All],[Code]],Table1[[#All],[Time]],,0,-1),"")</f>
        <v/>
      </c>
      <c r="H643" s="23" t="str">
        <f>IFERROR(IF(Table57[[#This Row],[Out]]&gt;=Table57[[#This Row],[In]],Table57[[#This Row],[Out]]-Table57[[#This Row],[In]],(0.5+Table57[[#This Row],[Out]])-Table57[[#This Row],[In]]),"")</f>
        <v/>
      </c>
      <c r="I643" s="31" t="str">
        <f>IFERROR(IF(Table57[[#This Row],[In]]&gt;$C$2,Table57[[#This Row],[In]]-$C$2,""),"")</f>
        <v/>
      </c>
      <c r="J643" s="31" t="str">
        <f>IF(Table57[[#This Row],[Work_Hours]]=0,"",(IF(Table57[[#This Row],[Out]]&lt;$C$3,$C$3-Table57[[#This Row],[Out]],"")))</f>
        <v/>
      </c>
      <c r="K643" s="32" t="str">
        <f>IFERROR(Table57[[#This Row],[In]]+$C$1,"")</f>
        <v/>
      </c>
      <c r="L643" s="29"/>
      <c r="M643" s="31" t="str">
        <f>IF($C$2&gt;Table57[[#This Row],[In]],$C$2-Table57[[#This Row],[In]],"")</f>
        <v/>
      </c>
      <c r="N643" s="29" t="str">
        <f>IFERROR(IF(Table57[[#This Row],[Out]]&gt;$C$3,(Table57[[#This Row],[Out]])-($C$3),""),"")</f>
        <v/>
      </c>
    </row>
    <row r="644" spans="1:14" hidden="1" x14ac:dyDescent="0.25">
      <c r="A644" s="23" t="str">
        <f>Table57[[#This Row],[No.]]&amp;Table57[[#This Row],[Date]]</f>
        <v>00</v>
      </c>
      <c r="B644" s="22">
        <f>'Unique Dates'!A641</f>
        <v>0</v>
      </c>
      <c r="C644" s="22" t="e" cm="1">
        <f t="array" ref="C644">_xlfn.XLOOKUP(Table57[[#This Row],[No.]],Table2[[#All],[CODE]],Table2[[#All],[NAME]],,0,1)</f>
        <v>#N/A</v>
      </c>
      <c r="D644" s="6">
        <f>'Unique Dates'!B641</f>
        <v>0</v>
      </c>
      <c r="E644" t="str">
        <f>TEXT(Table57[[#This Row],[Date]],"dddd")</f>
        <v>Saturday</v>
      </c>
      <c r="F644" s="25" t="str" cm="1">
        <f t="array" ref="F644">IFERROR(_xlfn.XLOOKUP(Table57[[#This Row],[Code]],Table1[[#All],[Code]],Table1[[#All],[Time]],,0,1),"")</f>
        <v/>
      </c>
      <c r="G644" s="25" t="str" cm="1">
        <f t="array" ref="G644">IFERROR(_xlfn.XLOOKUP(Table57[[#This Row],[Code]],Table1[[#All],[Code]],Table1[[#All],[Time]],,0,-1),"")</f>
        <v/>
      </c>
      <c r="H644" s="23" t="str">
        <f>IFERROR(IF(Table57[[#This Row],[Out]]&gt;=Table57[[#This Row],[In]],Table57[[#This Row],[Out]]-Table57[[#This Row],[In]],(0.5+Table57[[#This Row],[Out]])-Table57[[#This Row],[In]]),"")</f>
        <v/>
      </c>
      <c r="I644" s="31" t="str">
        <f>IFERROR(IF(Table57[[#This Row],[In]]&gt;$C$2,Table57[[#This Row],[In]]-$C$2,""),"")</f>
        <v/>
      </c>
      <c r="J644" s="31" t="str">
        <f>IF(Table57[[#This Row],[Work_Hours]]=0,"",(IF(Table57[[#This Row],[Out]]&lt;$C$3,$C$3-Table57[[#This Row],[Out]],"")))</f>
        <v/>
      </c>
      <c r="K644" s="32" t="str">
        <f>IFERROR(Table57[[#This Row],[In]]+$C$1,"")</f>
        <v/>
      </c>
      <c r="L644" s="29"/>
      <c r="M644" s="31" t="str">
        <f>IF($C$2&gt;Table57[[#This Row],[In]],$C$2-Table57[[#This Row],[In]],"")</f>
        <v/>
      </c>
      <c r="N644" s="29" t="str">
        <f>IFERROR(IF(Table57[[#This Row],[Out]]&gt;$C$3,(Table57[[#This Row],[Out]])-($C$3),""),"")</f>
        <v/>
      </c>
    </row>
    <row r="645" spans="1:14" hidden="1" x14ac:dyDescent="0.25">
      <c r="A645" s="23" t="str">
        <f>Table57[[#This Row],[No.]]&amp;Table57[[#This Row],[Date]]</f>
        <v>00</v>
      </c>
      <c r="B645" s="22">
        <f>'Unique Dates'!A642</f>
        <v>0</v>
      </c>
      <c r="C645" s="22" t="e" cm="1">
        <f t="array" ref="C645">_xlfn.XLOOKUP(Table57[[#This Row],[No.]],Table2[[#All],[CODE]],Table2[[#All],[NAME]],,0,1)</f>
        <v>#N/A</v>
      </c>
      <c r="D645" s="6">
        <f>'Unique Dates'!B642</f>
        <v>0</v>
      </c>
      <c r="E645" t="str">
        <f>TEXT(Table57[[#This Row],[Date]],"dddd")</f>
        <v>Saturday</v>
      </c>
      <c r="F645" s="25" t="str" cm="1">
        <f t="array" ref="F645">IFERROR(_xlfn.XLOOKUP(Table57[[#This Row],[Code]],Table1[[#All],[Code]],Table1[[#All],[Time]],,0,1),"")</f>
        <v/>
      </c>
      <c r="G645" s="25" t="str" cm="1">
        <f t="array" ref="G645">IFERROR(_xlfn.XLOOKUP(Table57[[#This Row],[Code]],Table1[[#All],[Code]],Table1[[#All],[Time]],,0,-1),"")</f>
        <v/>
      </c>
      <c r="H645" s="23" t="str">
        <f>IFERROR(IF(Table57[[#This Row],[Out]]&gt;=Table57[[#This Row],[In]],Table57[[#This Row],[Out]]-Table57[[#This Row],[In]],(0.5+Table57[[#This Row],[Out]])-Table57[[#This Row],[In]]),"")</f>
        <v/>
      </c>
      <c r="I645" s="31" t="str">
        <f>IFERROR(IF(Table57[[#This Row],[In]]&gt;$C$2,Table57[[#This Row],[In]]-$C$2,""),"")</f>
        <v/>
      </c>
      <c r="J645" s="31" t="str">
        <f>IF(Table57[[#This Row],[Work_Hours]]=0,"",(IF(Table57[[#This Row],[Out]]&lt;$C$3,$C$3-Table57[[#This Row],[Out]],"")))</f>
        <v/>
      </c>
      <c r="K645" s="32" t="str">
        <f>IFERROR(Table57[[#This Row],[In]]+$C$1,"")</f>
        <v/>
      </c>
      <c r="L645" s="29"/>
      <c r="M645" s="31" t="str">
        <f>IF($C$2&gt;Table57[[#This Row],[In]],$C$2-Table57[[#This Row],[In]],"")</f>
        <v/>
      </c>
      <c r="N645" s="29" t="str">
        <f>IFERROR(IF(Table57[[#This Row],[Out]]&gt;$C$3,(Table57[[#This Row],[Out]])-($C$3),""),"")</f>
        <v/>
      </c>
    </row>
    <row r="646" spans="1:14" hidden="1" x14ac:dyDescent="0.25">
      <c r="A646" s="23" t="str">
        <f>Table57[[#This Row],[No.]]&amp;Table57[[#This Row],[Date]]</f>
        <v>00</v>
      </c>
      <c r="B646" s="22">
        <f>'Unique Dates'!A643</f>
        <v>0</v>
      </c>
      <c r="C646" s="22" t="e" cm="1">
        <f t="array" ref="C646">_xlfn.XLOOKUP(Table57[[#This Row],[No.]],Table2[[#All],[CODE]],Table2[[#All],[NAME]],,0,1)</f>
        <v>#N/A</v>
      </c>
      <c r="D646" s="6">
        <f>'Unique Dates'!B643</f>
        <v>0</v>
      </c>
      <c r="E646" t="str">
        <f>TEXT(Table57[[#This Row],[Date]],"dddd")</f>
        <v>Saturday</v>
      </c>
      <c r="F646" s="25" t="str" cm="1">
        <f t="array" ref="F646">IFERROR(_xlfn.XLOOKUP(Table57[[#This Row],[Code]],Table1[[#All],[Code]],Table1[[#All],[Time]],,0,1),"")</f>
        <v/>
      </c>
      <c r="G646" s="25" t="str" cm="1">
        <f t="array" ref="G646">IFERROR(_xlfn.XLOOKUP(Table57[[#This Row],[Code]],Table1[[#All],[Code]],Table1[[#All],[Time]],,0,-1),"")</f>
        <v/>
      </c>
      <c r="H646" s="23" t="str">
        <f>IFERROR(IF(Table57[[#This Row],[Out]]&gt;=Table57[[#This Row],[In]],Table57[[#This Row],[Out]]-Table57[[#This Row],[In]],(0.5+Table57[[#This Row],[Out]])-Table57[[#This Row],[In]]),"")</f>
        <v/>
      </c>
      <c r="I646" s="31" t="str">
        <f>IFERROR(IF(Table57[[#This Row],[In]]&gt;$C$2,Table57[[#This Row],[In]]-$C$2,""),"")</f>
        <v/>
      </c>
      <c r="J646" s="31" t="str">
        <f>IF(Table57[[#This Row],[Work_Hours]]=0,"",(IF(Table57[[#This Row],[Out]]&lt;$C$3,$C$3-Table57[[#This Row],[Out]],"")))</f>
        <v/>
      </c>
      <c r="K646" s="32" t="str">
        <f>IFERROR(Table57[[#This Row],[In]]+$C$1,"")</f>
        <v/>
      </c>
      <c r="L646" s="29"/>
      <c r="M646" s="31" t="str">
        <f>IF($C$2&gt;Table57[[#This Row],[In]],$C$2-Table57[[#This Row],[In]],"")</f>
        <v/>
      </c>
      <c r="N646" s="29" t="str">
        <f>IFERROR(IF(Table57[[#This Row],[Out]]&gt;$C$3,(Table57[[#This Row],[Out]])-($C$3),""),"")</f>
        <v/>
      </c>
    </row>
    <row r="647" spans="1:14" hidden="1" x14ac:dyDescent="0.25">
      <c r="A647" s="23" t="str">
        <f>Table57[[#This Row],[No.]]&amp;Table57[[#This Row],[Date]]</f>
        <v>00</v>
      </c>
      <c r="B647" s="22">
        <f>'Unique Dates'!A644</f>
        <v>0</v>
      </c>
      <c r="C647" s="22" t="e" cm="1">
        <f t="array" ref="C647">_xlfn.XLOOKUP(Table57[[#This Row],[No.]],Table2[[#All],[CODE]],Table2[[#All],[NAME]],,0,1)</f>
        <v>#N/A</v>
      </c>
      <c r="D647" s="6">
        <f>'Unique Dates'!B644</f>
        <v>0</v>
      </c>
      <c r="E647" t="str">
        <f>TEXT(Table57[[#This Row],[Date]],"dddd")</f>
        <v>Saturday</v>
      </c>
      <c r="F647" s="25" t="str" cm="1">
        <f t="array" ref="F647">IFERROR(_xlfn.XLOOKUP(Table57[[#This Row],[Code]],Table1[[#All],[Code]],Table1[[#All],[Time]],,0,1),"")</f>
        <v/>
      </c>
      <c r="G647" s="25" t="str" cm="1">
        <f t="array" ref="G647">IFERROR(_xlfn.XLOOKUP(Table57[[#This Row],[Code]],Table1[[#All],[Code]],Table1[[#All],[Time]],,0,-1),"")</f>
        <v/>
      </c>
      <c r="H647" s="23" t="str">
        <f>IFERROR(IF(Table57[[#This Row],[Out]]&gt;=Table57[[#This Row],[In]],Table57[[#This Row],[Out]]-Table57[[#This Row],[In]],(0.5+Table57[[#This Row],[Out]])-Table57[[#This Row],[In]]),"")</f>
        <v/>
      </c>
      <c r="I647" s="31" t="str">
        <f>IFERROR(IF(Table57[[#This Row],[In]]&gt;$C$2,Table57[[#This Row],[In]]-$C$2,""),"")</f>
        <v/>
      </c>
      <c r="J647" s="31" t="str">
        <f>IF(Table57[[#This Row],[Work_Hours]]=0,"",(IF(Table57[[#This Row],[Out]]&lt;$C$3,$C$3-Table57[[#This Row],[Out]],"")))</f>
        <v/>
      </c>
      <c r="K647" s="32" t="str">
        <f>IFERROR(Table57[[#This Row],[In]]+$C$1,"")</f>
        <v/>
      </c>
      <c r="L647" s="29"/>
      <c r="M647" s="31" t="str">
        <f>IF($C$2&gt;Table57[[#This Row],[In]],$C$2-Table57[[#This Row],[In]],"")</f>
        <v/>
      </c>
      <c r="N647" s="29" t="str">
        <f>IFERROR(IF(Table57[[#This Row],[Out]]&gt;$C$3,(Table57[[#This Row],[Out]])-($C$3),""),"")</f>
        <v/>
      </c>
    </row>
    <row r="648" spans="1:14" hidden="1" x14ac:dyDescent="0.25">
      <c r="A648" s="23" t="str">
        <f>Table57[[#This Row],[No.]]&amp;Table57[[#This Row],[Date]]</f>
        <v>00</v>
      </c>
      <c r="B648" s="22">
        <f>'Unique Dates'!A645</f>
        <v>0</v>
      </c>
      <c r="C648" s="22" t="e" cm="1">
        <f t="array" ref="C648">_xlfn.XLOOKUP(Table57[[#This Row],[No.]],Table2[[#All],[CODE]],Table2[[#All],[NAME]],,0,1)</f>
        <v>#N/A</v>
      </c>
      <c r="D648" s="6">
        <f>'Unique Dates'!B645</f>
        <v>0</v>
      </c>
      <c r="E648" t="str">
        <f>TEXT(Table57[[#This Row],[Date]],"dddd")</f>
        <v>Saturday</v>
      </c>
      <c r="F648" s="25" t="str" cm="1">
        <f t="array" ref="F648">IFERROR(_xlfn.XLOOKUP(Table57[[#This Row],[Code]],Table1[[#All],[Code]],Table1[[#All],[Time]],,0,1),"")</f>
        <v/>
      </c>
      <c r="G648" s="25" t="str" cm="1">
        <f t="array" ref="G648">IFERROR(_xlfn.XLOOKUP(Table57[[#This Row],[Code]],Table1[[#All],[Code]],Table1[[#All],[Time]],,0,-1),"")</f>
        <v/>
      </c>
      <c r="H648" s="23" t="str">
        <f>IFERROR(IF(Table57[[#This Row],[Out]]&gt;=Table57[[#This Row],[In]],Table57[[#This Row],[Out]]-Table57[[#This Row],[In]],(0.5+Table57[[#This Row],[Out]])-Table57[[#This Row],[In]]),"")</f>
        <v/>
      </c>
      <c r="I648" s="31" t="str">
        <f>IFERROR(IF(Table57[[#This Row],[In]]&gt;$C$2,Table57[[#This Row],[In]]-$C$2,""),"")</f>
        <v/>
      </c>
      <c r="J648" s="31" t="str">
        <f>IF(Table57[[#This Row],[Work_Hours]]=0,"",(IF(Table57[[#This Row],[Out]]&lt;$C$3,$C$3-Table57[[#This Row],[Out]],"")))</f>
        <v/>
      </c>
      <c r="K648" s="32" t="str">
        <f>IFERROR(Table57[[#This Row],[In]]+$C$1,"")</f>
        <v/>
      </c>
      <c r="L648" s="29"/>
      <c r="M648" s="31" t="str">
        <f>IF($C$2&gt;Table57[[#This Row],[In]],$C$2-Table57[[#This Row],[In]],"")</f>
        <v/>
      </c>
      <c r="N648" s="29" t="str">
        <f>IFERROR(IF(Table57[[#This Row],[Out]]&gt;$C$3,(Table57[[#This Row],[Out]])-($C$3),""),"")</f>
        <v/>
      </c>
    </row>
    <row r="649" spans="1:14" hidden="1" x14ac:dyDescent="0.25">
      <c r="A649" s="23" t="str">
        <f>Table57[[#This Row],[No.]]&amp;Table57[[#This Row],[Date]]</f>
        <v>00</v>
      </c>
      <c r="B649" s="22">
        <f>'Unique Dates'!A646</f>
        <v>0</v>
      </c>
      <c r="C649" s="22" t="e" cm="1">
        <f t="array" ref="C649">_xlfn.XLOOKUP(Table57[[#This Row],[No.]],Table2[[#All],[CODE]],Table2[[#All],[NAME]],,0,1)</f>
        <v>#N/A</v>
      </c>
      <c r="D649" s="6">
        <f>'Unique Dates'!B646</f>
        <v>0</v>
      </c>
      <c r="E649" t="str">
        <f>TEXT(Table57[[#This Row],[Date]],"dddd")</f>
        <v>Saturday</v>
      </c>
      <c r="F649" s="25" t="str" cm="1">
        <f t="array" ref="F649">IFERROR(_xlfn.XLOOKUP(Table57[[#This Row],[Code]],Table1[[#All],[Code]],Table1[[#All],[Time]],,0,1),"")</f>
        <v/>
      </c>
      <c r="G649" s="25" t="str" cm="1">
        <f t="array" ref="G649">IFERROR(_xlfn.XLOOKUP(Table57[[#This Row],[Code]],Table1[[#All],[Code]],Table1[[#All],[Time]],,0,-1),"")</f>
        <v/>
      </c>
      <c r="H649" s="23" t="str">
        <f>IFERROR(IF(Table57[[#This Row],[Out]]&gt;=Table57[[#This Row],[In]],Table57[[#This Row],[Out]]-Table57[[#This Row],[In]],(0.5+Table57[[#This Row],[Out]])-Table57[[#This Row],[In]]),"")</f>
        <v/>
      </c>
      <c r="I649" s="31" t="str">
        <f>IFERROR(IF(Table57[[#This Row],[In]]&gt;$C$2,Table57[[#This Row],[In]]-$C$2,""),"")</f>
        <v/>
      </c>
      <c r="J649" s="31" t="str">
        <f>IF(Table57[[#This Row],[Work_Hours]]=0,"",(IF(Table57[[#This Row],[Out]]&lt;$C$3,$C$3-Table57[[#This Row],[Out]],"")))</f>
        <v/>
      </c>
      <c r="K649" s="32" t="str">
        <f>IFERROR(Table57[[#This Row],[In]]+$C$1,"")</f>
        <v/>
      </c>
      <c r="L649" s="29"/>
      <c r="M649" s="31" t="str">
        <f>IF($C$2&gt;Table57[[#This Row],[In]],$C$2-Table57[[#This Row],[In]],"")</f>
        <v/>
      </c>
      <c r="N649" s="29" t="str">
        <f>IFERROR(IF(Table57[[#This Row],[Out]]&gt;$C$3,(Table57[[#This Row],[Out]])-($C$3),""),"")</f>
        <v/>
      </c>
    </row>
    <row r="650" spans="1:14" hidden="1" x14ac:dyDescent="0.25">
      <c r="A650" s="23" t="str">
        <f>Table57[[#This Row],[No.]]&amp;Table57[[#This Row],[Date]]</f>
        <v>00</v>
      </c>
      <c r="B650" s="22">
        <f>'Unique Dates'!A647</f>
        <v>0</v>
      </c>
      <c r="C650" s="22" t="e" cm="1">
        <f t="array" ref="C650">_xlfn.XLOOKUP(Table57[[#This Row],[No.]],Table2[[#All],[CODE]],Table2[[#All],[NAME]],,0,1)</f>
        <v>#N/A</v>
      </c>
      <c r="D650" s="6">
        <f>'Unique Dates'!B647</f>
        <v>0</v>
      </c>
      <c r="E650" t="str">
        <f>TEXT(Table57[[#This Row],[Date]],"dddd")</f>
        <v>Saturday</v>
      </c>
      <c r="F650" s="25" t="str" cm="1">
        <f t="array" ref="F650">IFERROR(_xlfn.XLOOKUP(Table57[[#This Row],[Code]],Table1[[#All],[Code]],Table1[[#All],[Time]],,0,1),"")</f>
        <v/>
      </c>
      <c r="G650" s="25" t="str" cm="1">
        <f t="array" ref="G650">IFERROR(_xlfn.XLOOKUP(Table57[[#This Row],[Code]],Table1[[#All],[Code]],Table1[[#All],[Time]],,0,-1),"")</f>
        <v/>
      </c>
      <c r="H650" s="23" t="str">
        <f>IFERROR(IF(Table57[[#This Row],[Out]]&gt;=Table57[[#This Row],[In]],Table57[[#This Row],[Out]]-Table57[[#This Row],[In]],(0.5+Table57[[#This Row],[Out]])-Table57[[#This Row],[In]]),"")</f>
        <v/>
      </c>
      <c r="I650" s="31" t="str">
        <f>IFERROR(IF(Table57[[#This Row],[In]]&gt;$C$2,Table57[[#This Row],[In]]-$C$2,""),"")</f>
        <v/>
      </c>
      <c r="J650" s="31" t="str">
        <f>IF(Table57[[#This Row],[Work_Hours]]=0,"",(IF(Table57[[#This Row],[Out]]&lt;$C$3,$C$3-Table57[[#This Row],[Out]],"")))</f>
        <v/>
      </c>
      <c r="K650" s="32" t="str">
        <f>IFERROR(Table57[[#This Row],[In]]+$C$1,"")</f>
        <v/>
      </c>
      <c r="L650" s="29"/>
      <c r="M650" s="31" t="str">
        <f>IF($C$2&gt;Table57[[#This Row],[In]],$C$2-Table57[[#This Row],[In]],"")</f>
        <v/>
      </c>
      <c r="N650" s="29" t="str">
        <f>IFERROR(IF(Table57[[#This Row],[Out]]&gt;$C$3,(Table57[[#This Row],[Out]])-($C$3),""),"")</f>
        <v/>
      </c>
    </row>
    <row r="651" spans="1:14" hidden="1" x14ac:dyDescent="0.25">
      <c r="A651" s="23" t="str">
        <f>Table57[[#This Row],[No.]]&amp;Table57[[#This Row],[Date]]</f>
        <v>00</v>
      </c>
      <c r="B651" s="22">
        <f>'Unique Dates'!A648</f>
        <v>0</v>
      </c>
      <c r="C651" s="22" t="e" cm="1">
        <f t="array" ref="C651">_xlfn.XLOOKUP(Table57[[#This Row],[No.]],Table2[[#All],[CODE]],Table2[[#All],[NAME]],,0,1)</f>
        <v>#N/A</v>
      </c>
      <c r="D651" s="6">
        <f>'Unique Dates'!B648</f>
        <v>0</v>
      </c>
      <c r="E651" t="str">
        <f>TEXT(Table57[[#This Row],[Date]],"dddd")</f>
        <v>Saturday</v>
      </c>
      <c r="F651" s="25" t="str" cm="1">
        <f t="array" ref="F651">IFERROR(_xlfn.XLOOKUP(Table57[[#This Row],[Code]],Table1[[#All],[Code]],Table1[[#All],[Time]],,0,1),"")</f>
        <v/>
      </c>
      <c r="G651" s="25" t="str" cm="1">
        <f t="array" ref="G651">IFERROR(_xlfn.XLOOKUP(Table57[[#This Row],[Code]],Table1[[#All],[Code]],Table1[[#All],[Time]],,0,-1),"")</f>
        <v/>
      </c>
      <c r="H651" s="23" t="str">
        <f>IFERROR(IF(Table57[[#This Row],[Out]]&gt;=Table57[[#This Row],[In]],Table57[[#This Row],[Out]]-Table57[[#This Row],[In]],(0.5+Table57[[#This Row],[Out]])-Table57[[#This Row],[In]]),"")</f>
        <v/>
      </c>
      <c r="I651" s="31" t="str">
        <f>IFERROR(IF(Table57[[#This Row],[In]]&gt;$C$2,Table57[[#This Row],[In]]-$C$2,""),"")</f>
        <v/>
      </c>
      <c r="J651" s="31" t="str">
        <f>IF(Table57[[#This Row],[Work_Hours]]=0,"",(IF(Table57[[#This Row],[Out]]&lt;$C$3,$C$3-Table57[[#This Row],[Out]],"")))</f>
        <v/>
      </c>
      <c r="K651" s="32" t="str">
        <f>IFERROR(Table57[[#This Row],[In]]+$C$1,"")</f>
        <v/>
      </c>
      <c r="L651" s="29"/>
      <c r="M651" s="31" t="str">
        <f>IF($C$2&gt;Table57[[#This Row],[In]],$C$2-Table57[[#This Row],[In]],"")</f>
        <v/>
      </c>
      <c r="N651" s="29" t="str">
        <f>IFERROR(IF(Table57[[#This Row],[Out]]&gt;$C$3,(Table57[[#This Row],[Out]])-($C$3),""),"")</f>
        <v/>
      </c>
    </row>
    <row r="652" spans="1:14" hidden="1" x14ac:dyDescent="0.25">
      <c r="A652" s="23" t="str">
        <f>Table57[[#This Row],[No.]]&amp;Table57[[#This Row],[Date]]</f>
        <v>00</v>
      </c>
      <c r="B652" s="22">
        <f>'Unique Dates'!A649</f>
        <v>0</v>
      </c>
      <c r="C652" s="22" t="e" cm="1">
        <f t="array" ref="C652">_xlfn.XLOOKUP(Table57[[#This Row],[No.]],Table2[[#All],[CODE]],Table2[[#All],[NAME]],,0,1)</f>
        <v>#N/A</v>
      </c>
      <c r="D652" s="6">
        <f>'Unique Dates'!B649</f>
        <v>0</v>
      </c>
      <c r="E652" t="str">
        <f>TEXT(Table57[[#This Row],[Date]],"dddd")</f>
        <v>Saturday</v>
      </c>
      <c r="F652" s="25" t="str" cm="1">
        <f t="array" ref="F652">IFERROR(_xlfn.XLOOKUP(Table57[[#This Row],[Code]],Table1[[#All],[Code]],Table1[[#All],[Time]],,0,1),"")</f>
        <v/>
      </c>
      <c r="G652" s="25" t="str" cm="1">
        <f t="array" ref="G652">IFERROR(_xlfn.XLOOKUP(Table57[[#This Row],[Code]],Table1[[#All],[Code]],Table1[[#All],[Time]],,0,-1),"")</f>
        <v/>
      </c>
      <c r="H652" s="23" t="str">
        <f>IFERROR(IF(Table57[[#This Row],[Out]]&gt;=Table57[[#This Row],[In]],Table57[[#This Row],[Out]]-Table57[[#This Row],[In]],(0.5+Table57[[#This Row],[Out]])-Table57[[#This Row],[In]]),"")</f>
        <v/>
      </c>
      <c r="I652" s="31" t="str">
        <f>IFERROR(IF(Table57[[#This Row],[In]]&gt;$C$2,Table57[[#This Row],[In]]-$C$2,""),"")</f>
        <v/>
      </c>
      <c r="J652" s="31" t="str">
        <f>IF(Table57[[#This Row],[Work_Hours]]=0,"",(IF(Table57[[#This Row],[Out]]&lt;$C$3,$C$3-Table57[[#This Row],[Out]],"")))</f>
        <v/>
      </c>
      <c r="K652" s="32" t="str">
        <f>IFERROR(Table57[[#This Row],[In]]+$C$1,"")</f>
        <v/>
      </c>
      <c r="L652" s="29"/>
      <c r="M652" s="31" t="str">
        <f>IF($C$2&gt;Table57[[#This Row],[In]],$C$2-Table57[[#This Row],[In]],"")</f>
        <v/>
      </c>
      <c r="N652" s="29" t="str">
        <f>IFERROR(IF(Table57[[#This Row],[Out]]&gt;$C$3,(Table57[[#This Row],[Out]])-($C$3),""),"")</f>
        <v/>
      </c>
    </row>
    <row r="653" spans="1:14" hidden="1" x14ac:dyDescent="0.25">
      <c r="A653" s="23" t="str">
        <f>Table57[[#This Row],[No.]]&amp;Table57[[#This Row],[Date]]</f>
        <v>00</v>
      </c>
      <c r="B653" s="22">
        <f>'Unique Dates'!A650</f>
        <v>0</v>
      </c>
      <c r="C653" s="22" t="e" cm="1">
        <f t="array" ref="C653">_xlfn.XLOOKUP(Table57[[#This Row],[No.]],Table2[[#All],[CODE]],Table2[[#All],[NAME]],,0,1)</f>
        <v>#N/A</v>
      </c>
      <c r="D653" s="6">
        <f>'Unique Dates'!B650</f>
        <v>0</v>
      </c>
      <c r="E653" t="str">
        <f>TEXT(Table57[[#This Row],[Date]],"dddd")</f>
        <v>Saturday</v>
      </c>
      <c r="F653" s="25" t="str" cm="1">
        <f t="array" ref="F653">IFERROR(_xlfn.XLOOKUP(Table57[[#This Row],[Code]],Table1[[#All],[Code]],Table1[[#All],[Time]],,0,1),"")</f>
        <v/>
      </c>
      <c r="G653" s="25" t="str" cm="1">
        <f t="array" ref="G653">IFERROR(_xlfn.XLOOKUP(Table57[[#This Row],[Code]],Table1[[#All],[Code]],Table1[[#All],[Time]],,0,-1),"")</f>
        <v/>
      </c>
      <c r="H653" s="23" t="str">
        <f>IFERROR(IF(Table57[[#This Row],[Out]]&gt;=Table57[[#This Row],[In]],Table57[[#This Row],[Out]]-Table57[[#This Row],[In]],(0.5+Table57[[#This Row],[Out]])-Table57[[#This Row],[In]]),"")</f>
        <v/>
      </c>
      <c r="I653" s="31" t="str">
        <f>IFERROR(IF(Table57[[#This Row],[In]]&gt;$C$2,Table57[[#This Row],[In]]-$C$2,""),"")</f>
        <v/>
      </c>
      <c r="J653" s="31" t="str">
        <f>IF(Table57[[#This Row],[Work_Hours]]=0,"",(IF(Table57[[#This Row],[Out]]&lt;$C$3,$C$3-Table57[[#This Row],[Out]],"")))</f>
        <v/>
      </c>
      <c r="K653" s="32" t="str">
        <f>IFERROR(Table57[[#This Row],[In]]+$C$1,"")</f>
        <v/>
      </c>
      <c r="L653" s="29"/>
      <c r="M653" s="31" t="str">
        <f>IF($C$2&gt;Table57[[#This Row],[In]],$C$2-Table57[[#This Row],[In]],"")</f>
        <v/>
      </c>
      <c r="N653" s="29" t="str">
        <f>IFERROR(IF(Table57[[#This Row],[Out]]&gt;$C$3,(Table57[[#This Row],[Out]])-($C$3),""),"")</f>
        <v/>
      </c>
    </row>
    <row r="654" spans="1:14" hidden="1" x14ac:dyDescent="0.25">
      <c r="A654" s="23" t="str">
        <f>Table57[[#This Row],[No.]]&amp;Table57[[#This Row],[Date]]</f>
        <v>00</v>
      </c>
      <c r="B654" s="22">
        <f>'Unique Dates'!A651</f>
        <v>0</v>
      </c>
      <c r="C654" s="22" t="e" cm="1">
        <f t="array" ref="C654">_xlfn.XLOOKUP(Table57[[#This Row],[No.]],Table2[[#All],[CODE]],Table2[[#All],[NAME]],,0,1)</f>
        <v>#N/A</v>
      </c>
      <c r="D654" s="6">
        <f>'Unique Dates'!B651</f>
        <v>0</v>
      </c>
      <c r="E654" t="str">
        <f>TEXT(Table57[[#This Row],[Date]],"dddd")</f>
        <v>Saturday</v>
      </c>
      <c r="F654" s="25" t="str" cm="1">
        <f t="array" ref="F654">IFERROR(_xlfn.XLOOKUP(Table57[[#This Row],[Code]],Table1[[#All],[Code]],Table1[[#All],[Time]],,0,1),"")</f>
        <v/>
      </c>
      <c r="G654" s="25" t="str" cm="1">
        <f t="array" ref="G654">IFERROR(_xlfn.XLOOKUP(Table57[[#This Row],[Code]],Table1[[#All],[Code]],Table1[[#All],[Time]],,0,-1),"")</f>
        <v/>
      </c>
      <c r="H654" s="23" t="str">
        <f>IFERROR(IF(Table57[[#This Row],[Out]]&gt;=Table57[[#This Row],[In]],Table57[[#This Row],[Out]]-Table57[[#This Row],[In]],(0.5+Table57[[#This Row],[Out]])-Table57[[#This Row],[In]]),"")</f>
        <v/>
      </c>
      <c r="I654" s="31" t="str">
        <f>IFERROR(IF(Table57[[#This Row],[In]]&gt;$C$2,Table57[[#This Row],[In]]-$C$2,""),"")</f>
        <v/>
      </c>
      <c r="J654" s="31" t="str">
        <f>IF(Table57[[#This Row],[Work_Hours]]=0,"",(IF(Table57[[#This Row],[Out]]&lt;$C$3,$C$3-Table57[[#This Row],[Out]],"")))</f>
        <v/>
      </c>
      <c r="K654" s="32" t="str">
        <f>IFERROR(Table57[[#This Row],[In]]+$C$1,"")</f>
        <v/>
      </c>
      <c r="L654" s="29"/>
      <c r="M654" s="31" t="str">
        <f>IF($C$2&gt;Table57[[#This Row],[In]],$C$2-Table57[[#This Row],[In]],"")</f>
        <v/>
      </c>
      <c r="N654" s="29" t="str">
        <f>IFERROR(IF(Table57[[#This Row],[Out]]&gt;$C$3,(Table57[[#This Row],[Out]])-($C$3),""),"")</f>
        <v/>
      </c>
    </row>
    <row r="655" spans="1:14" hidden="1" x14ac:dyDescent="0.25">
      <c r="A655" s="23" t="str">
        <f>Table57[[#This Row],[No.]]&amp;Table57[[#This Row],[Date]]</f>
        <v>00</v>
      </c>
      <c r="B655" s="22">
        <f>'Unique Dates'!A652</f>
        <v>0</v>
      </c>
      <c r="C655" s="22" t="e" cm="1">
        <f t="array" ref="C655">_xlfn.XLOOKUP(Table57[[#This Row],[No.]],Table2[[#All],[CODE]],Table2[[#All],[NAME]],,0,1)</f>
        <v>#N/A</v>
      </c>
      <c r="D655" s="6">
        <f>'Unique Dates'!B652</f>
        <v>0</v>
      </c>
      <c r="E655" t="str">
        <f>TEXT(Table57[[#This Row],[Date]],"dddd")</f>
        <v>Saturday</v>
      </c>
      <c r="F655" s="25" t="str" cm="1">
        <f t="array" ref="F655">IFERROR(_xlfn.XLOOKUP(Table57[[#This Row],[Code]],Table1[[#All],[Code]],Table1[[#All],[Time]],,0,1),"")</f>
        <v/>
      </c>
      <c r="G655" s="25" t="str" cm="1">
        <f t="array" ref="G655">IFERROR(_xlfn.XLOOKUP(Table57[[#This Row],[Code]],Table1[[#All],[Code]],Table1[[#All],[Time]],,0,-1),"")</f>
        <v/>
      </c>
      <c r="H655" s="23" t="str">
        <f>IFERROR(IF(Table57[[#This Row],[Out]]&gt;=Table57[[#This Row],[In]],Table57[[#This Row],[Out]]-Table57[[#This Row],[In]],(0.5+Table57[[#This Row],[Out]])-Table57[[#This Row],[In]]),"")</f>
        <v/>
      </c>
      <c r="I655" s="31" t="str">
        <f>IFERROR(IF(Table57[[#This Row],[In]]&gt;$C$2,Table57[[#This Row],[In]]-$C$2,""),"")</f>
        <v/>
      </c>
      <c r="J655" s="31" t="str">
        <f>IF(Table57[[#This Row],[Work_Hours]]=0,"",(IF(Table57[[#This Row],[Out]]&lt;$C$3,$C$3-Table57[[#This Row],[Out]],"")))</f>
        <v/>
      </c>
      <c r="K655" s="32" t="str">
        <f>IFERROR(Table57[[#This Row],[In]]+$C$1,"")</f>
        <v/>
      </c>
      <c r="L655" s="29"/>
      <c r="M655" s="31" t="str">
        <f>IF($C$2&gt;Table57[[#This Row],[In]],$C$2-Table57[[#This Row],[In]],"")</f>
        <v/>
      </c>
      <c r="N655" s="29" t="str">
        <f>IFERROR(IF(Table57[[#This Row],[Out]]&gt;$C$3,(Table57[[#This Row],[Out]])-($C$3),""),"")</f>
        <v/>
      </c>
    </row>
    <row r="656" spans="1:14" hidden="1" x14ac:dyDescent="0.25">
      <c r="A656" s="23" t="str">
        <f>Table57[[#This Row],[No.]]&amp;Table57[[#This Row],[Date]]</f>
        <v>00</v>
      </c>
      <c r="B656" s="22">
        <f>'Unique Dates'!A653</f>
        <v>0</v>
      </c>
      <c r="C656" s="22" t="e" cm="1">
        <f t="array" ref="C656">_xlfn.XLOOKUP(Table57[[#This Row],[No.]],Table2[[#All],[CODE]],Table2[[#All],[NAME]],,0,1)</f>
        <v>#N/A</v>
      </c>
      <c r="D656" s="6">
        <f>'Unique Dates'!B653</f>
        <v>0</v>
      </c>
      <c r="E656" t="str">
        <f>TEXT(Table57[[#This Row],[Date]],"dddd")</f>
        <v>Saturday</v>
      </c>
      <c r="F656" s="25" t="str" cm="1">
        <f t="array" ref="F656">IFERROR(_xlfn.XLOOKUP(Table57[[#This Row],[Code]],Table1[[#All],[Code]],Table1[[#All],[Time]],,0,1),"")</f>
        <v/>
      </c>
      <c r="G656" s="25" t="str" cm="1">
        <f t="array" ref="G656">IFERROR(_xlfn.XLOOKUP(Table57[[#This Row],[Code]],Table1[[#All],[Code]],Table1[[#All],[Time]],,0,-1),"")</f>
        <v/>
      </c>
      <c r="H656" s="23" t="str">
        <f>IFERROR(IF(Table57[[#This Row],[Out]]&gt;=Table57[[#This Row],[In]],Table57[[#This Row],[Out]]-Table57[[#This Row],[In]],(0.5+Table57[[#This Row],[Out]])-Table57[[#This Row],[In]]),"")</f>
        <v/>
      </c>
      <c r="I656" s="31" t="str">
        <f>IFERROR(IF(Table57[[#This Row],[In]]&gt;$C$2,Table57[[#This Row],[In]]-$C$2,""),"")</f>
        <v/>
      </c>
      <c r="J656" s="31" t="str">
        <f>IF(Table57[[#This Row],[Work_Hours]]=0,"",(IF(Table57[[#This Row],[Out]]&lt;$C$3,$C$3-Table57[[#This Row],[Out]],"")))</f>
        <v/>
      </c>
      <c r="K656" s="32" t="str">
        <f>IFERROR(Table57[[#This Row],[In]]+$C$1,"")</f>
        <v/>
      </c>
      <c r="L656" s="29"/>
      <c r="M656" s="31" t="str">
        <f>IF($C$2&gt;Table57[[#This Row],[In]],$C$2-Table57[[#This Row],[In]],"")</f>
        <v/>
      </c>
      <c r="N656" s="29" t="str">
        <f>IFERROR(IF(Table57[[#This Row],[Out]]&gt;$C$3,(Table57[[#This Row],[Out]])-($C$3),""),"")</f>
        <v/>
      </c>
    </row>
    <row r="657" spans="1:14" hidden="1" x14ac:dyDescent="0.25">
      <c r="A657" s="23" t="str">
        <f>Table57[[#This Row],[No.]]&amp;Table57[[#This Row],[Date]]</f>
        <v>00</v>
      </c>
      <c r="B657" s="22">
        <f>'Unique Dates'!A654</f>
        <v>0</v>
      </c>
      <c r="C657" s="22" t="e" cm="1">
        <f t="array" ref="C657">_xlfn.XLOOKUP(Table57[[#This Row],[No.]],Table2[[#All],[CODE]],Table2[[#All],[NAME]],,0,1)</f>
        <v>#N/A</v>
      </c>
      <c r="D657" s="6">
        <f>'Unique Dates'!B654</f>
        <v>0</v>
      </c>
      <c r="E657" t="str">
        <f>TEXT(Table57[[#This Row],[Date]],"dddd")</f>
        <v>Saturday</v>
      </c>
      <c r="F657" s="25" t="str" cm="1">
        <f t="array" ref="F657">IFERROR(_xlfn.XLOOKUP(Table57[[#This Row],[Code]],Table1[[#All],[Code]],Table1[[#All],[Time]],,0,1),"")</f>
        <v/>
      </c>
      <c r="G657" s="25" t="str" cm="1">
        <f t="array" ref="G657">IFERROR(_xlfn.XLOOKUP(Table57[[#This Row],[Code]],Table1[[#All],[Code]],Table1[[#All],[Time]],,0,-1),"")</f>
        <v/>
      </c>
      <c r="H657" s="23" t="str">
        <f>IFERROR(IF(Table57[[#This Row],[Out]]&gt;=Table57[[#This Row],[In]],Table57[[#This Row],[Out]]-Table57[[#This Row],[In]],(0.5+Table57[[#This Row],[Out]])-Table57[[#This Row],[In]]),"")</f>
        <v/>
      </c>
      <c r="I657" s="31" t="str">
        <f>IFERROR(IF(Table57[[#This Row],[In]]&gt;$C$2,Table57[[#This Row],[In]]-$C$2,""),"")</f>
        <v/>
      </c>
      <c r="J657" s="31" t="str">
        <f>IF(Table57[[#This Row],[Work_Hours]]=0,"",(IF(Table57[[#This Row],[Out]]&lt;$C$3,$C$3-Table57[[#This Row],[Out]],"")))</f>
        <v/>
      </c>
      <c r="K657" s="32" t="str">
        <f>IFERROR(Table57[[#This Row],[In]]+$C$1,"")</f>
        <v/>
      </c>
      <c r="L657" s="29"/>
      <c r="M657" s="31" t="str">
        <f>IF($C$2&gt;Table57[[#This Row],[In]],$C$2-Table57[[#This Row],[In]],"")</f>
        <v/>
      </c>
      <c r="N657" s="29" t="str">
        <f>IFERROR(IF(Table57[[#This Row],[Out]]&gt;$C$3,(Table57[[#This Row],[Out]])-($C$3),""),"")</f>
        <v/>
      </c>
    </row>
    <row r="658" spans="1:14" hidden="1" x14ac:dyDescent="0.25">
      <c r="A658" s="23" t="str">
        <f>Table57[[#This Row],[No.]]&amp;Table57[[#This Row],[Date]]</f>
        <v>00</v>
      </c>
      <c r="B658" s="22">
        <f>'Unique Dates'!A655</f>
        <v>0</v>
      </c>
      <c r="C658" s="22" t="e" cm="1">
        <f t="array" ref="C658">_xlfn.XLOOKUP(Table57[[#This Row],[No.]],Table2[[#All],[CODE]],Table2[[#All],[NAME]],,0,1)</f>
        <v>#N/A</v>
      </c>
      <c r="D658" s="6">
        <f>'Unique Dates'!B655</f>
        <v>0</v>
      </c>
      <c r="E658" t="str">
        <f>TEXT(Table57[[#This Row],[Date]],"dddd")</f>
        <v>Saturday</v>
      </c>
      <c r="F658" s="25" t="str" cm="1">
        <f t="array" ref="F658">IFERROR(_xlfn.XLOOKUP(Table57[[#This Row],[Code]],Table1[[#All],[Code]],Table1[[#All],[Time]],,0,1),"")</f>
        <v/>
      </c>
      <c r="G658" s="25" t="str" cm="1">
        <f t="array" ref="G658">IFERROR(_xlfn.XLOOKUP(Table57[[#This Row],[Code]],Table1[[#All],[Code]],Table1[[#All],[Time]],,0,-1),"")</f>
        <v/>
      </c>
      <c r="H658" s="23" t="str">
        <f>IFERROR(IF(Table57[[#This Row],[Out]]&gt;=Table57[[#This Row],[In]],Table57[[#This Row],[Out]]-Table57[[#This Row],[In]],(0.5+Table57[[#This Row],[Out]])-Table57[[#This Row],[In]]),"")</f>
        <v/>
      </c>
      <c r="I658" s="31" t="str">
        <f>IFERROR(IF(Table57[[#This Row],[In]]&gt;$C$2,Table57[[#This Row],[In]]-$C$2,""),"")</f>
        <v/>
      </c>
      <c r="J658" s="31" t="str">
        <f>IF(Table57[[#This Row],[Work_Hours]]=0,"",(IF(Table57[[#This Row],[Out]]&lt;$C$3,$C$3-Table57[[#This Row],[Out]],"")))</f>
        <v/>
      </c>
      <c r="K658" s="32" t="str">
        <f>IFERROR(Table57[[#This Row],[In]]+$C$1,"")</f>
        <v/>
      </c>
      <c r="L658" s="29"/>
      <c r="M658" s="31" t="str">
        <f>IF($C$2&gt;Table57[[#This Row],[In]],$C$2-Table57[[#This Row],[In]],"")</f>
        <v/>
      </c>
      <c r="N658" s="29" t="str">
        <f>IFERROR(IF(Table57[[#This Row],[Out]]&gt;$C$3,(Table57[[#This Row],[Out]])-($C$3),""),"")</f>
        <v/>
      </c>
    </row>
    <row r="659" spans="1:14" hidden="1" x14ac:dyDescent="0.25">
      <c r="A659" s="23" t="str">
        <f>Table57[[#This Row],[No.]]&amp;Table57[[#This Row],[Date]]</f>
        <v>00</v>
      </c>
      <c r="B659" s="22">
        <f>'Unique Dates'!A656</f>
        <v>0</v>
      </c>
      <c r="C659" s="22" t="e" cm="1">
        <f t="array" ref="C659">_xlfn.XLOOKUP(Table57[[#This Row],[No.]],Table2[[#All],[CODE]],Table2[[#All],[NAME]],,0,1)</f>
        <v>#N/A</v>
      </c>
      <c r="D659" s="6">
        <f>'Unique Dates'!B656</f>
        <v>0</v>
      </c>
      <c r="E659" t="str">
        <f>TEXT(Table57[[#This Row],[Date]],"dddd")</f>
        <v>Saturday</v>
      </c>
      <c r="F659" s="25" t="str" cm="1">
        <f t="array" ref="F659">IFERROR(_xlfn.XLOOKUP(Table57[[#This Row],[Code]],Table1[[#All],[Code]],Table1[[#All],[Time]],,0,1),"")</f>
        <v/>
      </c>
      <c r="G659" s="25" t="str" cm="1">
        <f t="array" ref="G659">IFERROR(_xlfn.XLOOKUP(Table57[[#This Row],[Code]],Table1[[#All],[Code]],Table1[[#All],[Time]],,0,-1),"")</f>
        <v/>
      </c>
      <c r="H659" s="23" t="str">
        <f>IFERROR(IF(Table57[[#This Row],[Out]]&gt;=Table57[[#This Row],[In]],Table57[[#This Row],[Out]]-Table57[[#This Row],[In]],(0.5+Table57[[#This Row],[Out]])-Table57[[#This Row],[In]]),"")</f>
        <v/>
      </c>
      <c r="I659" s="31" t="str">
        <f>IFERROR(IF(Table57[[#This Row],[In]]&gt;$C$2,Table57[[#This Row],[In]]-$C$2,""),"")</f>
        <v/>
      </c>
      <c r="J659" s="31" t="str">
        <f>IF(Table57[[#This Row],[Work_Hours]]=0,"",(IF(Table57[[#This Row],[Out]]&lt;$C$3,$C$3-Table57[[#This Row],[Out]],"")))</f>
        <v/>
      </c>
      <c r="K659" s="32" t="str">
        <f>IFERROR(Table57[[#This Row],[In]]+$C$1,"")</f>
        <v/>
      </c>
      <c r="L659" s="29"/>
      <c r="M659" s="31" t="str">
        <f>IF($C$2&gt;Table57[[#This Row],[In]],$C$2-Table57[[#This Row],[In]],"")</f>
        <v/>
      </c>
      <c r="N659" s="29" t="str">
        <f>IFERROR(IF(Table57[[#This Row],[Out]]&gt;$C$3,(Table57[[#This Row],[Out]])-($C$3),""),"")</f>
        <v/>
      </c>
    </row>
    <row r="660" spans="1:14" hidden="1" x14ac:dyDescent="0.25">
      <c r="A660" s="23" t="str">
        <f>Table57[[#This Row],[No.]]&amp;Table57[[#This Row],[Date]]</f>
        <v>00</v>
      </c>
      <c r="B660" s="22">
        <f>'Unique Dates'!A657</f>
        <v>0</v>
      </c>
      <c r="C660" s="22" t="e" cm="1">
        <f t="array" ref="C660">_xlfn.XLOOKUP(Table57[[#This Row],[No.]],Table2[[#All],[CODE]],Table2[[#All],[NAME]],,0,1)</f>
        <v>#N/A</v>
      </c>
      <c r="D660" s="6">
        <f>'Unique Dates'!B657</f>
        <v>0</v>
      </c>
      <c r="E660" t="str">
        <f>TEXT(Table57[[#This Row],[Date]],"dddd")</f>
        <v>Saturday</v>
      </c>
      <c r="F660" s="25" t="str" cm="1">
        <f t="array" ref="F660">IFERROR(_xlfn.XLOOKUP(Table57[[#This Row],[Code]],Table1[[#All],[Code]],Table1[[#All],[Time]],,0,1),"")</f>
        <v/>
      </c>
      <c r="G660" s="25" t="str" cm="1">
        <f t="array" ref="G660">IFERROR(_xlfn.XLOOKUP(Table57[[#This Row],[Code]],Table1[[#All],[Code]],Table1[[#All],[Time]],,0,-1),"")</f>
        <v/>
      </c>
      <c r="H660" s="23" t="str">
        <f>IFERROR(IF(Table57[[#This Row],[Out]]&gt;=Table57[[#This Row],[In]],Table57[[#This Row],[Out]]-Table57[[#This Row],[In]],(0.5+Table57[[#This Row],[Out]])-Table57[[#This Row],[In]]),"")</f>
        <v/>
      </c>
      <c r="I660" s="31" t="str">
        <f>IFERROR(IF(Table57[[#This Row],[In]]&gt;$C$2,Table57[[#This Row],[In]]-$C$2,""),"")</f>
        <v/>
      </c>
      <c r="J660" s="31" t="str">
        <f>IF(Table57[[#This Row],[Work_Hours]]=0,"",(IF(Table57[[#This Row],[Out]]&lt;$C$3,$C$3-Table57[[#This Row],[Out]],"")))</f>
        <v/>
      </c>
      <c r="K660" s="32" t="str">
        <f>IFERROR(Table57[[#This Row],[In]]+$C$1,"")</f>
        <v/>
      </c>
      <c r="L660" s="29"/>
      <c r="M660" s="31" t="str">
        <f>IF($C$2&gt;Table57[[#This Row],[In]],$C$2-Table57[[#This Row],[In]],"")</f>
        <v/>
      </c>
      <c r="N660" s="29" t="str">
        <f>IFERROR(IF(Table57[[#This Row],[Out]]&gt;$C$3,(Table57[[#This Row],[Out]])-($C$3),""),"")</f>
        <v/>
      </c>
    </row>
    <row r="661" spans="1:14" hidden="1" x14ac:dyDescent="0.25">
      <c r="A661" s="23" t="str">
        <f>Table57[[#This Row],[No.]]&amp;Table57[[#This Row],[Date]]</f>
        <v>00</v>
      </c>
      <c r="B661" s="22">
        <f>'Unique Dates'!A658</f>
        <v>0</v>
      </c>
      <c r="C661" s="22" t="e" cm="1">
        <f t="array" ref="C661">_xlfn.XLOOKUP(Table57[[#This Row],[No.]],Table2[[#All],[CODE]],Table2[[#All],[NAME]],,0,1)</f>
        <v>#N/A</v>
      </c>
      <c r="D661" s="6">
        <f>'Unique Dates'!B658</f>
        <v>0</v>
      </c>
      <c r="E661" t="str">
        <f>TEXT(Table57[[#This Row],[Date]],"dddd")</f>
        <v>Saturday</v>
      </c>
      <c r="F661" s="25" t="str" cm="1">
        <f t="array" ref="F661">IFERROR(_xlfn.XLOOKUP(Table57[[#This Row],[Code]],Table1[[#All],[Code]],Table1[[#All],[Time]],,0,1),"")</f>
        <v/>
      </c>
      <c r="G661" s="25" t="str" cm="1">
        <f t="array" ref="G661">IFERROR(_xlfn.XLOOKUP(Table57[[#This Row],[Code]],Table1[[#All],[Code]],Table1[[#All],[Time]],,0,-1),"")</f>
        <v/>
      </c>
      <c r="H661" s="23" t="str">
        <f>IFERROR(IF(Table57[[#This Row],[Out]]&gt;=Table57[[#This Row],[In]],Table57[[#This Row],[Out]]-Table57[[#This Row],[In]],(0.5+Table57[[#This Row],[Out]])-Table57[[#This Row],[In]]),"")</f>
        <v/>
      </c>
      <c r="I661" s="31" t="str">
        <f>IFERROR(IF(Table57[[#This Row],[In]]&gt;$C$2,Table57[[#This Row],[In]]-$C$2,""),"")</f>
        <v/>
      </c>
      <c r="J661" s="31" t="str">
        <f>IF(Table57[[#This Row],[Work_Hours]]=0,"",(IF(Table57[[#This Row],[Out]]&lt;$C$3,$C$3-Table57[[#This Row],[Out]],"")))</f>
        <v/>
      </c>
      <c r="K661" s="32" t="str">
        <f>IFERROR(Table57[[#This Row],[In]]+$C$1,"")</f>
        <v/>
      </c>
      <c r="L661" s="29"/>
      <c r="M661" s="31" t="str">
        <f>IF($C$2&gt;Table57[[#This Row],[In]],$C$2-Table57[[#This Row],[In]],"")</f>
        <v/>
      </c>
      <c r="N661" s="29" t="str">
        <f>IFERROR(IF(Table57[[#This Row],[Out]]&gt;$C$3,(Table57[[#This Row],[Out]])-($C$3),""),"")</f>
        <v/>
      </c>
    </row>
    <row r="662" spans="1:14" hidden="1" x14ac:dyDescent="0.25">
      <c r="A662" s="23" t="str">
        <f>Table57[[#This Row],[No.]]&amp;Table57[[#This Row],[Date]]</f>
        <v>00</v>
      </c>
      <c r="B662" s="22">
        <f>'Unique Dates'!A659</f>
        <v>0</v>
      </c>
      <c r="C662" s="22" t="e" cm="1">
        <f t="array" ref="C662">_xlfn.XLOOKUP(Table57[[#This Row],[No.]],Table2[[#All],[CODE]],Table2[[#All],[NAME]],,0,1)</f>
        <v>#N/A</v>
      </c>
      <c r="D662" s="6">
        <f>'Unique Dates'!B659</f>
        <v>0</v>
      </c>
      <c r="E662" t="str">
        <f>TEXT(Table57[[#This Row],[Date]],"dddd")</f>
        <v>Saturday</v>
      </c>
      <c r="F662" s="25" t="str" cm="1">
        <f t="array" ref="F662">IFERROR(_xlfn.XLOOKUP(Table57[[#This Row],[Code]],Table1[[#All],[Code]],Table1[[#All],[Time]],,0,1),"")</f>
        <v/>
      </c>
      <c r="G662" s="25" t="str" cm="1">
        <f t="array" ref="G662">IFERROR(_xlfn.XLOOKUP(Table57[[#This Row],[Code]],Table1[[#All],[Code]],Table1[[#All],[Time]],,0,-1),"")</f>
        <v/>
      </c>
      <c r="H662" s="23" t="str">
        <f>IFERROR(IF(Table57[[#This Row],[Out]]&gt;=Table57[[#This Row],[In]],Table57[[#This Row],[Out]]-Table57[[#This Row],[In]],(0.5+Table57[[#This Row],[Out]])-Table57[[#This Row],[In]]),"")</f>
        <v/>
      </c>
      <c r="I662" s="31" t="str">
        <f>IFERROR(IF(Table57[[#This Row],[In]]&gt;$C$2,Table57[[#This Row],[In]]-$C$2,""),"")</f>
        <v/>
      </c>
      <c r="J662" s="31" t="str">
        <f>IF(Table57[[#This Row],[Work_Hours]]=0,"",(IF(Table57[[#This Row],[Out]]&lt;$C$3,$C$3-Table57[[#This Row],[Out]],"")))</f>
        <v/>
      </c>
      <c r="K662" s="32" t="str">
        <f>IFERROR(Table57[[#This Row],[In]]+$C$1,"")</f>
        <v/>
      </c>
      <c r="L662" s="29"/>
      <c r="M662" s="31" t="str">
        <f>IF($C$2&gt;Table57[[#This Row],[In]],$C$2-Table57[[#This Row],[In]],"")</f>
        <v/>
      </c>
      <c r="N662" s="29" t="str">
        <f>IFERROR(IF(Table57[[#This Row],[Out]]&gt;$C$3,(Table57[[#This Row],[Out]])-($C$3),""),"")</f>
        <v/>
      </c>
    </row>
    <row r="663" spans="1:14" hidden="1" x14ac:dyDescent="0.25">
      <c r="A663" s="23" t="str">
        <f>Table57[[#This Row],[No.]]&amp;Table57[[#This Row],[Date]]</f>
        <v>00</v>
      </c>
      <c r="B663" s="22">
        <f>'Unique Dates'!A660</f>
        <v>0</v>
      </c>
      <c r="C663" s="22" t="e" cm="1">
        <f t="array" ref="C663">_xlfn.XLOOKUP(Table57[[#This Row],[No.]],Table2[[#All],[CODE]],Table2[[#All],[NAME]],,0,1)</f>
        <v>#N/A</v>
      </c>
      <c r="D663" s="6">
        <f>'Unique Dates'!B660</f>
        <v>0</v>
      </c>
      <c r="E663" t="str">
        <f>TEXT(Table57[[#This Row],[Date]],"dddd")</f>
        <v>Saturday</v>
      </c>
      <c r="F663" s="25" t="str" cm="1">
        <f t="array" ref="F663">IFERROR(_xlfn.XLOOKUP(Table57[[#This Row],[Code]],Table1[[#All],[Code]],Table1[[#All],[Time]],,0,1),"")</f>
        <v/>
      </c>
      <c r="G663" s="25" t="str" cm="1">
        <f t="array" ref="G663">IFERROR(_xlfn.XLOOKUP(Table57[[#This Row],[Code]],Table1[[#All],[Code]],Table1[[#All],[Time]],,0,-1),"")</f>
        <v/>
      </c>
      <c r="H663" s="23" t="str">
        <f>IFERROR(IF(Table57[[#This Row],[Out]]&gt;=Table57[[#This Row],[In]],Table57[[#This Row],[Out]]-Table57[[#This Row],[In]],(0.5+Table57[[#This Row],[Out]])-Table57[[#This Row],[In]]),"")</f>
        <v/>
      </c>
      <c r="I663" s="31" t="str">
        <f>IFERROR(IF(Table57[[#This Row],[In]]&gt;$C$2,Table57[[#This Row],[In]]-$C$2,""),"")</f>
        <v/>
      </c>
      <c r="J663" s="31" t="str">
        <f>IF(Table57[[#This Row],[Work_Hours]]=0,"",(IF(Table57[[#This Row],[Out]]&lt;$C$3,$C$3-Table57[[#This Row],[Out]],"")))</f>
        <v/>
      </c>
      <c r="K663" s="32" t="str">
        <f>IFERROR(Table57[[#This Row],[In]]+$C$1,"")</f>
        <v/>
      </c>
      <c r="L663" s="29"/>
      <c r="M663" s="31" t="str">
        <f>IF($C$2&gt;Table57[[#This Row],[In]],$C$2-Table57[[#This Row],[In]],"")</f>
        <v/>
      </c>
      <c r="N663" s="29" t="str">
        <f>IFERROR(IF(Table57[[#This Row],[Out]]&gt;$C$3,(Table57[[#This Row],[Out]])-($C$3),""),"")</f>
        <v/>
      </c>
    </row>
    <row r="664" spans="1:14" hidden="1" x14ac:dyDescent="0.25">
      <c r="A664" s="23" t="str">
        <f>Table57[[#This Row],[No.]]&amp;Table57[[#This Row],[Date]]</f>
        <v>00</v>
      </c>
      <c r="B664" s="22">
        <f>'Unique Dates'!A661</f>
        <v>0</v>
      </c>
      <c r="C664" s="22" t="e" cm="1">
        <f t="array" ref="C664">_xlfn.XLOOKUP(Table57[[#This Row],[No.]],Table2[[#All],[CODE]],Table2[[#All],[NAME]],,0,1)</f>
        <v>#N/A</v>
      </c>
      <c r="D664" s="6">
        <f>'Unique Dates'!B661</f>
        <v>0</v>
      </c>
      <c r="E664" t="str">
        <f>TEXT(Table57[[#This Row],[Date]],"dddd")</f>
        <v>Saturday</v>
      </c>
      <c r="F664" s="25" t="str" cm="1">
        <f t="array" ref="F664">IFERROR(_xlfn.XLOOKUP(Table57[[#This Row],[Code]],Table1[[#All],[Code]],Table1[[#All],[Time]],,0,1),"")</f>
        <v/>
      </c>
      <c r="G664" s="25" t="str" cm="1">
        <f t="array" ref="G664">IFERROR(_xlfn.XLOOKUP(Table57[[#This Row],[Code]],Table1[[#All],[Code]],Table1[[#All],[Time]],,0,-1),"")</f>
        <v/>
      </c>
      <c r="H664" s="23" t="str">
        <f>IFERROR(IF(Table57[[#This Row],[Out]]&gt;=Table57[[#This Row],[In]],Table57[[#This Row],[Out]]-Table57[[#This Row],[In]],(0.5+Table57[[#This Row],[Out]])-Table57[[#This Row],[In]]),"")</f>
        <v/>
      </c>
      <c r="I664" s="31" t="str">
        <f>IFERROR(IF(Table57[[#This Row],[In]]&gt;$C$2,Table57[[#This Row],[In]]-$C$2,""),"")</f>
        <v/>
      </c>
      <c r="J664" s="31" t="str">
        <f>IF(Table57[[#This Row],[Work_Hours]]=0,"",(IF(Table57[[#This Row],[Out]]&lt;$C$3,$C$3-Table57[[#This Row],[Out]],"")))</f>
        <v/>
      </c>
      <c r="K664" s="32" t="str">
        <f>IFERROR(Table57[[#This Row],[In]]+$C$1,"")</f>
        <v/>
      </c>
      <c r="L664" s="29"/>
      <c r="M664" s="31" t="str">
        <f>IF($C$2&gt;Table57[[#This Row],[In]],$C$2-Table57[[#This Row],[In]],"")</f>
        <v/>
      </c>
      <c r="N664" s="29" t="str">
        <f>IFERROR(IF(Table57[[#This Row],[Out]]&gt;$C$3,(Table57[[#This Row],[Out]])-($C$3),""),"")</f>
        <v/>
      </c>
    </row>
    <row r="665" spans="1:14" hidden="1" x14ac:dyDescent="0.25">
      <c r="A665" s="23" t="str">
        <f>Table57[[#This Row],[No.]]&amp;Table57[[#This Row],[Date]]</f>
        <v>00</v>
      </c>
      <c r="B665" s="22">
        <f>'Unique Dates'!A662</f>
        <v>0</v>
      </c>
      <c r="C665" s="22" t="e" cm="1">
        <f t="array" ref="C665">_xlfn.XLOOKUP(Table57[[#This Row],[No.]],Table2[[#All],[CODE]],Table2[[#All],[NAME]],,0,1)</f>
        <v>#N/A</v>
      </c>
      <c r="D665" s="6">
        <f>'Unique Dates'!B662</f>
        <v>0</v>
      </c>
      <c r="E665" t="str">
        <f>TEXT(Table57[[#This Row],[Date]],"dddd")</f>
        <v>Saturday</v>
      </c>
      <c r="F665" s="25" t="str" cm="1">
        <f t="array" ref="F665">IFERROR(_xlfn.XLOOKUP(Table57[[#This Row],[Code]],Table1[[#All],[Code]],Table1[[#All],[Time]],,0,1),"")</f>
        <v/>
      </c>
      <c r="G665" s="25" t="str" cm="1">
        <f t="array" ref="G665">IFERROR(_xlfn.XLOOKUP(Table57[[#This Row],[Code]],Table1[[#All],[Code]],Table1[[#All],[Time]],,0,-1),"")</f>
        <v/>
      </c>
      <c r="H665" s="23" t="str">
        <f>IFERROR(IF(Table57[[#This Row],[Out]]&gt;=Table57[[#This Row],[In]],Table57[[#This Row],[Out]]-Table57[[#This Row],[In]],(0.5+Table57[[#This Row],[Out]])-Table57[[#This Row],[In]]),"")</f>
        <v/>
      </c>
      <c r="I665" s="31" t="str">
        <f>IFERROR(IF(Table57[[#This Row],[In]]&gt;$C$2,Table57[[#This Row],[In]]-$C$2,""),"")</f>
        <v/>
      </c>
      <c r="J665" s="31" t="str">
        <f>IF(Table57[[#This Row],[Work_Hours]]=0,"",(IF(Table57[[#This Row],[Out]]&lt;$C$3,$C$3-Table57[[#This Row],[Out]],"")))</f>
        <v/>
      </c>
      <c r="K665" s="32" t="str">
        <f>IFERROR(Table57[[#This Row],[In]]+$C$1,"")</f>
        <v/>
      </c>
      <c r="L665" s="29"/>
      <c r="M665" s="31" t="str">
        <f>IF($C$2&gt;Table57[[#This Row],[In]],$C$2-Table57[[#This Row],[In]],"")</f>
        <v/>
      </c>
      <c r="N665" s="29" t="str">
        <f>IFERROR(IF(Table57[[#This Row],[Out]]&gt;$C$3,(Table57[[#This Row],[Out]])-($C$3),""),"")</f>
        <v/>
      </c>
    </row>
    <row r="666" spans="1:14" hidden="1" x14ac:dyDescent="0.25">
      <c r="A666" s="23" t="str">
        <f>Table57[[#This Row],[No.]]&amp;Table57[[#This Row],[Date]]</f>
        <v>00</v>
      </c>
      <c r="B666" s="22">
        <f>'Unique Dates'!A663</f>
        <v>0</v>
      </c>
      <c r="C666" s="22" t="e" cm="1">
        <f t="array" ref="C666">_xlfn.XLOOKUP(Table57[[#This Row],[No.]],Table2[[#All],[CODE]],Table2[[#All],[NAME]],,0,1)</f>
        <v>#N/A</v>
      </c>
      <c r="D666" s="6">
        <f>'Unique Dates'!B663</f>
        <v>0</v>
      </c>
      <c r="E666" t="str">
        <f>TEXT(Table57[[#This Row],[Date]],"dddd")</f>
        <v>Saturday</v>
      </c>
      <c r="F666" s="25" t="str" cm="1">
        <f t="array" ref="F666">IFERROR(_xlfn.XLOOKUP(Table57[[#This Row],[Code]],Table1[[#All],[Code]],Table1[[#All],[Time]],,0,1),"")</f>
        <v/>
      </c>
      <c r="G666" s="25" t="str" cm="1">
        <f t="array" ref="G666">IFERROR(_xlfn.XLOOKUP(Table57[[#This Row],[Code]],Table1[[#All],[Code]],Table1[[#All],[Time]],,0,-1),"")</f>
        <v/>
      </c>
      <c r="H666" s="23" t="str">
        <f>IFERROR(IF(Table57[[#This Row],[Out]]&gt;=Table57[[#This Row],[In]],Table57[[#This Row],[Out]]-Table57[[#This Row],[In]],(0.5+Table57[[#This Row],[Out]])-Table57[[#This Row],[In]]),"")</f>
        <v/>
      </c>
      <c r="I666" s="31" t="str">
        <f>IFERROR(IF(Table57[[#This Row],[In]]&gt;$C$2,Table57[[#This Row],[In]]-$C$2,""),"")</f>
        <v/>
      </c>
      <c r="J666" s="31" t="str">
        <f>IF(Table57[[#This Row],[Work_Hours]]=0,"",(IF(Table57[[#This Row],[Out]]&lt;$C$3,$C$3-Table57[[#This Row],[Out]],"")))</f>
        <v/>
      </c>
      <c r="K666" s="32" t="str">
        <f>IFERROR(Table57[[#This Row],[In]]+$C$1,"")</f>
        <v/>
      </c>
      <c r="L666" s="29"/>
      <c r="M666" s="31" t="str">
        <f>IF($C$2&gt;Table57[[#This Row],[In]],$C$2-Table57[[#This Row],[In]],"")</f>
        <v/>
      </c>
      <c r="N666" s="29" t="str">
        <f>IFERROR(IF(Table57[[#This Row],[Out]]&gt;$C$3,(Table57[[#This Row],[Out]])-($C$3),""),"")</f>
        <v/>
      </c>
    </row>
    <row r="667" spans="1:14" hidden="1" x14ac:dyDescent="0.25">
      <c r="A667" s="23" t="str">
        <f>Table57[[#This Row],[No.]]&amp;Table57[[#This Row],[Date]]</f>
        <v>00</v>
      </c>
      <c r="B667" s="22">
        <f>'Unique Dates'!A664</f>
        <v>0</v>
      </c>
      <c r="C667" s="22" t="e" cm="1">
        <f t="array" ref="C667">_xlfn.XLOOKUP(Table57[[#This Row],[No.]],Table2[[#All],[CODE]],Table2[[#All],[NAME]],,0,1)</f>
        <v>#N/A</v>
      </c>
      <c r="D667" s="6">
        <f>'Unique Dates'!B664</f>
        <v>0</v>
      </c>
      <c r="E667" t="str">
        <f>TEXT(Table57[[#This Row],[Date]],"dddd")</f>
        <v>Saturday</v>
      </c>
      <c r="F667" s="25" t="str" cm="1">
        <f t="array" ref="F667">IFERROR(_xlfn.XLOOKUP(Table57[[#This Row],[Code]],Table1[[#All],[Code]],Table1[[#All],[Time]],,0,1),"")</f>
        <v/>
      </c>
      <c r="G667" s="25" t="str" cm="1">
        <f t="array" ref="G667">IFERROR(_xlfn.XLOOKUP(Table57[[#This Row],[Code]],Table1[[#All],[Code]],Table1[[#All],[Time]],,0,-1),"")</f>
        <v/>
      </c>
      <c r="H667" s="23" t="str">
        <f>IFERROR(IF(Table57[[#This Row],[Out]]&gt;=Table57[[#This Row],[In]],Table57[[#This Row],[Out]]-Table57[[#This Row],[In]],(0.5+Table57[[#This Row],[Out]])-Table57[[#This Row],[In]]),"")</f>
        <v/>
      </c>
      <c r="I667" s="31" t="str">
        <f>IFERROR(IF(Table57[[#This Row],[In]]&gt;$C$2,Table57[[#This Row],[In]]-$C$2,""),"")</f>
        <v/>
      </c>
      <c r="J667" s="31" t="str">
        <f>IF(Table57[[#This Row],[Work_Hours]]=0,"",(IF(Table57[[#This Row],[Out]]&lt;$C$3,$C$3-Table57[[#This Row],[Out]],"")))</f>
        <v/>
      </c>
      <c r="K667" s="32" t="str">
        <f>IFERROR(Table57[[#This Row],[In]]+$C$1,"")</f>
        <v/>
      </c>
      <c r="L667" s="29"/>
      <c r="M667" s="31" t="str">
        <f>IF($C$2&gt;Table57[[#This Row],[In]],$C$2-Table57[[#This Row],[In]],"")</f>
        <v/>
      </c>
      <c r="N667" s="29" t="str">
        <f>IFERROR(IF(Table57[[#This Row],[Out]]&gt;$C$3,(Table57[[#This Row],[Out]])-($C$3),""),"")</f>
        <v/>
      </c>
    </row>
    <row r="668" spans="1:14" hidden="1" x14ac:dyDescent="0.25">
      <c r="A668" s="23" t="str">
        <f>Table57[[#This Row],[No.]]&amp;Table57[[#This Row],[Date]]</f>
        <v>00</v>
      </c>
      <c r="B668" s="22">
        <f>'Unique Dates'!A665</f>
        <v>0</v>
      </c>
      <c r="C668" s="22" t="e" cm="1">
        <f t="array" ref="C668">_xlfn.XLOOKUP(Table57[[#This Row],[No.]],Table2[[#All],[CODE]],Table2[[#All],[NAME]],,0,1)</f>
        <v>#N/A</v>
      </c>
      <c r="D668" s="6">
        <f>'Unique Dates'!B665</f>
        <v>0</v>
      </c>
      <c r="E668" t="str">
        <f>TEXT(Table57[[#This Row],[Date]],"dddd")</f>
        <v>Saturday</v>
      </c>
      <c r="F668" s="25" t="str" cm="1">
        <f t="array" ref="F668">IFERROR(_xlfn.XLOOKUP(Table57[[#This Row],[Code]],Table1[[#All],[Code]],Table1[[#All],[Time]],,0,1),"")</f>
        <v/>
      </c>
      <c r="G668" s="25" t="str" cm="1">
        <f t="array" ref="G668">IFERROR(_xlfn.XLOOKUP(Table57[[#This Row],[Code]],Table1[[#All],[Code]],Table1[[#All],[Time]],,0,-1),"")</f>
        <v/>
      </c>
      <c r="H668" s="23" t="str">
        <f>IFERROR(IF(Table57[[#This Row],[Out]]&gt;=Table57[[#This Row],[In]],Table57[[#This Row],[Out]]-Table57[[#This Row],[In]],(0.5+Table57[[#This Row],[Out]])-Table57[[#This Row],[In]]),"")</f>
        <v/>
      </c>
      <c r="I668" s="31" t="str">
        <f>IFERROR(IF(Table57[[#This Row],[In]]&gt;$C$2,Table57[[#This Row],[In]]-$C$2,""),"")</f>
        <v/>
      </c>
      <c r="J668" s="31" t="str">
        <f>IF(Table57[[#This Row],[Work_Hours]]=0,"",(IF(Table57[[#This Row],[Out]]&lt;$C$3,$C$3-Table57[[#This Row],[Out]],"")))</f>
        <v/>
      </c>
      <c r="K668" s="32" t="str">
        <f>IFERROR(Table57[[#This Row],[In]]+$C$1,"")</f>
        <v/>
      </c>
      <c r="L668" s="29"/>
      <c r="M668" s="31" t="str">
        <f>IF($C$2&gt;Table57[[#This Row],[In]],$C$2-Table57[[#This Row],[In]],"")</f>
        <v/>
      </c>
      <c r="N668" s="29" t="str">
        <f>IFERROR(IF(Table57[[#This Row],[Out]]&gt;$C$3,(Table57[[#This Row],[Out]])-($C$3),""),"")</f>
        <v/>
      </c>
    </row>
    <row r="669" spans="1:14" hidden="1" x14ac:dyDescent="0.25">
      <c r="A669" s="23" t="str">
        <f>Table57[[#This Row],[No.]]&amp;Table57[[#This Row],[Date]]</f>
        <v>00</v>
      </c>
      <c r="B669" s="22">
        <f>'Unique Dates'!A666</f>
        <v>0</v>
      </c>
      <c r="C669" s="22" t="e" cm="1">
        <f t="array" ref="C669">_xlfn.XLOOKUP(Table57[[#This Row],[No.]],Table2[[#All],[CODE]],Table2[[#All],[NAME]],,0,1)</f>
        <v>#N/A</v>
      </c>
      <c r="D669" s="6">
        <f>'Unique Dates'!B666</f>
        <v>0</v>
      </c>
      <c r="E669" t="str">
        <f>TEXT(Table57[[#This Row],[Date]],"dddd")</f>
        <v>Saturday</v>
      </c>
      <c r="F669" s="25" t="str" cm="1">
        <f t="array" ref="F669">IFERROR(_xlfn.XLOOKUP(Table57[[#This Row],[Code]],Table1[[#All],[Code]],Table1[[#All],[Time]],,0,1),"")</f>
        <v/>
      </c>
      <c r="G669" s="25" t="str" cm="1">
        <f t="array" ref="G669">IFERROR(_xlfn.XLOOKUP(Table57[[#This Row],[Code]],Table1[[#All],[Code]],Table1[[#All],[Time]],,0,-1),"")</f>
        <v/>
      </c>
      <c r="H669" s="23" t="str">
        <f>IFERROR(IF(Table57[[#This Row],[Out]]&gt;=Table57[[#This Row],[In]],Table57[[#This Row],[Out]]-Table57[[#This Row],[In]],(0.5+Table57[[#This Row],[Out]])-Table57[[#This Row],[In]]),"")</f>
        <v/>
      </c>
      <c r="I669" s="31" t="str">
        <f>IFERROR(IF(Table57[[#This Row],[In]]&gt;$C$2,Table57[[#This Row],[In]]-$C$2,""),"")</f>
        <v/>
      </c>
      <c r="J669" s="31" t="str">
        <f>IF(Table57[[#This Row],[Work_Hours]]=0,"",(IF(Table57[[#This Row],[Out]]&lt;$C$3,$C$3-Table57[[#This Row],[Out]],"")))</f>
        <v/>
      </c>
      <c r="K669" s="32" t="str">
        <f>IFERROR(Table57[[#This Row],[In]]+$C$1,"")</f>
        <v/>
      </c>
      <c r="L669" s="29"/>
      <c r="M669" s="31" t="str">
        <f>IF($C$2&gt;Table57[[#This Row],[In]],$C$2-Table57[[#This Row],[In]],"")</f>
        <v/>
      </c>
      <c r="N669" s="29" t="str">
        <f>IFERROR(IF(Table57[[#This Row],[Out]]&gt;$C$3,(Table57[[#This Row],[Out]])-($C$3),""),"")</f>
        <v/>
      </c>
    </row>
    <row r="670" spans="1:14" hidden="1" x14ac:dyDescent="0.25">
      <c r="A670" s="23" t="str">
        <f>Table57[[#This Row],[No.]]&amp;Table57[[#This Row],[Date]]</f>
        <v>00</v>
      </c>
      <c r="B670" s="22">
        <f>'Unique Dates'!A667</f>
        <v>0</v>
      </c>
      <c r="C670" s="22" t="e" cm="1">
        <f t="array" ref="C670">_xlfn.XLOOKUP(Table57[[#This Row],[No.]],Table2[[#All],[CODE]],Table2[[#All],[NAME]],,0,1)</f>
        <v>#N/A</v>
      </c>
      <c r="D670" s="6">
        <f>'Unique Dates'!B667</f>
        <v>0</v>
      </c>
      <c r="E670" t="str">
        <f>TEXT(Table57[[#This Row],[Date]],"dddd")</f>
        <v>Saturday</v>
      </c>
      <c r="F670" s="25" t="str" cm="1">
        <f t="array" ref="F670">IFERROR(_xlfn.XLOOKUP(Table57[[#This Row],[Code]],Table1[[#All],[Code]],Table1[[#All],[Time]],,0,1),"")</f>
        <v/>
      </c>
      <c r="G670" s="25" t="str" cm="1">
        <f t="array" ref="G670">IFERROR(_xlfn.XLOOKUP(Table57[[#This Row],[Code]],Table1[[#All],[Code]],Table1[[#All],[Time]],,0,-1),"")</f>
        <v/>
      </c>
      <c r="H670" s="23" t="str">
        <f>IFERROR(IF(Table57[[#This Row],[Out]]&gt;=Table57[[#This Row],[In]],Table57[[#This Row],[Out]]-Table57[[#This Row],[In]],(0.5+Table57[[#This Row],[Out]])-Table57[[#This Row],[In]]),"")</f>
        <v/>
      </c>
      <c r="I670" s="31" t="str">
        <f>IFERROR(IF(Table57[[#This Row],[In]]&gt;$C$2,Table57[[#This Row],[In]]-$C$2,""),"")</f>
        <v/>
      </c>
      <c r="J670" s="31" t="str">
        <f>IF(Table57[[#This Row],[Work_Hours]]=0,"",(IF(Table57[[#This Row],[Out]]&lt;$C$3,$C$3-Table57[[#This Row],[Out]],"")))</f>
        <v/>
      </c>
      <c r="K670" s="32" t="str">
        <f>IFERROR(Table57[[#This Row],[In]]+$C$1,"")</f>
        <v/>
      </c>
      <c r="L670" s="29"/>
      <c r="M670" s="31" t="str">
        <f>IF($C$2&gt;Table57[[#This Row],[In]],$C$2-Table57[[#This Row],[In]],"")</f>
        <v/>
      </c>
      <c r="N670" s="29" t="str">
        <f>IFERROR(IF(Table57[[#This Row],[Out]]&gt;$C$3,(Table57[[#This Row],[Out]])-($C$3),""),"")</f>
        <v/>
      </c>
    </row>
    <row r="671" spans="1:14" hidden="1" x14ac:dyDescent="0.25">
      <c r="A671" s="23" t="str">
        <f>Table57[[#This Row],[No.]]&amp;Table57[[#This Row],[Date]]</f>
        <v>00</v>
      </c>
      <c r="B671" s="22">
        <f>'Unique Dates'!A668</f>
        <v>0</v>
      </c>
      <c r="C671" s="22" t="e" cm="1">
        <f t="array" ref="C671">_xlfn.XLOOKUP(Table57[[#This Row],[No.]],Table2[[#All],[CODE]],Table2[[#All],[NAME]],,0,1)</f>
        <v>#N/A</v>
      </c>
      <c r="D671" s="6">
        <f>'Unique Dates'!B668</f>
        <v>0</v>
      </c>
      <c r="E671" t="str">
        <f>TEXT(Table57[[#This Row],[Date]],"dddd")</f>
        <v>Saturday</v>
      </c>
      <c r="F671" s="25" t="str" cm="1">
        <f t="array" ref="F671">IFERROR(_xlfn.XLOOKUP(Table57[[#This Row],[Code]],Table1[[#All],[Code]],Table1[[#All],[Time]],,0,1),"")</f>
        <v/>
      </c>
      <c r="G671" s="25" t="str" cm="1">
        <f t="array" ref="G671">IFERROR(_xlfn.XLOOKUP(Table57[[#This Row],[Code]],Table1[[#All],[Code]],Table1[[#All],[Time]],,0,-1),"")</f>
        <v/>
      </c>
      <c r="H671" s="23" t="str">
        <f>IFERROR(IF(Table57[[#This Row],[Out]]&gt;=Table57[[#This Row],[In]],Table57[[#This Row],[Out]]-Table57[[#This Row],[In]],(0.5+Table57[[#This Row],[Out]])-Table57[[#This Row],[In]]),"")</f>
        <v/>
      </c>
      <c r="I671" s="31" t="str">
        <f>IFERROR(IF(Table57[[#This Row],[In]]&gt;$C$2,Table57[[#This Row],[In]]-$C$2,""),"")</f>
        <v/>
      </c>
      <c r="J671" s="31" t="str">
        <f>IF(Table57[[#This Row],[Work_Hours]]=0,"",(IF(Table57[[#This Row],[Out]]&lt;$C$3,$C$3-Table57[[#This Row],[Out]],"")))</f>
        <v/>
      </c>
      <c r="K671" s="32" t="str">
        <f>IFERROR(Table57[[#This Row],[In]]+$C$1,"")</f>
        <v/>
      </c>
      <c r="L671" s="29"/>
      <c r="M671" s="31" t="str">
        <f>IF($C$2&gt;Table57[[#This Row],[In]],$C$2-Table57[[#This Row],[In]],"")</f>
        <v/>
      </c>
      <c r="N671" s="29" t="str">
        <f>IFERROR(IF(Table57[[#This Row],[Out]]&gt;$C$3,(Table57[[#This Row],[Out]])-($C$3),""),"")</f>
        <v/>
      </c>
    </row>
    <row r="672" spans="1:14" hidden="1" x14ac:dyDescent="0.25">
      <c r="A672" s="23" t="str">
        <f>Table57[[#This Row],[No.]]&amp;Table57[[#This Row],[Date]]</f>
        <v>00</v>
      </c>
      <c r="B672" s="22">
        <f>'Unique Dates'!A669</f>
        <v>0</v>
      </c>
      <c r="C672" s="22" t="e" cm="1">
        <f t="array" ref="C672">_xlfn.XLOOKUP(Table57[[#This Row],[No.]],Table2[[#All],[CODE]],Table2[[#All],[NAME]],,0,1)</f>
        <v>#N/A</v>
      </c>
      <c r="D672" s="6">
        <f>'Unique Dates'!B669</f>
        <v>0</v>
      </c>
      <c r="E672" t="str">
        <f>TEXT(Table57[[#This Row],[Date]],"dddd")</f>
        <v>Saturday</v>
      </c>
      <c r="F672" s="25" t="str" cm="1">
        <f t="array" ref="F672">IFERROR(_xlfn.XLOOKUP(Table57[[#This Row],[Code]],Table1[[#All],[Code]],Table1[[#All],[Time]],,0,1),"")</f>
        <v/>
      </c>
      <c r="G672" s="25" t="str" cm="1">
        <f t="array" ref="G672">IFERROR(_xlfn.XLOOKUP(Table57[[#This Row],[Code]],Table1[[#All],[Code]],Table1[[#All],[Time]],,0,-1),"")</f>
        <v/>
      </c>
      <c r="H672" s="23" t="str">
        <f>IFERROR(IF(Table57[[#This Row],[Out]]&gt;=Table57[[#This Row],[In]],Table57[[#This Row],[Out]]-Table57[[#This Row],[In]],(0.5+Table57[[#This Row],[Out]])-Table57[[#This Row],[In]]),"")</f>
        <v/>
      </c>
      <c r="I672" s="31" t="str">
        <f>IFERROR(IF(Table57[[#This Row],[In]]&gt;$C$2,Table57[[#This Row],[In]]-$C$2,""),"")</f>
        <v/>
      </c>
      <c r="J672" s="31" t="str">
        <f>IF(Table57[[#This Row],[Work_Hours]]=0,"",(IF(Table57[[#This Row],[Out]]&lt;$C$3,$C$3-Table57[[#This Row],[Out]],"")))</f>
        <v/>
      </c>
      <c r="K672" s="32" t="str">
        <f>IFERROR(Table57[[#This Row],[In]]+$C$1,"")</f>
        <v/>
      </c>
      <c r="L672" s="29"/>
      <c r="M672" s="31" t="str">
        <f>IF($C$2&gt;Table57[[#This Row],[In]],$C$2-Table57[[#This Row],[In]],"")</f>
        <v/>
      </c>
      <c r="N672" s="29" t="str">
        <f>IFERROR(IF(Table57[[#This Row],[Out]]&gt;$C$3,(Table57[[#This Row],[Out]])-($C$3),""),"")</f>
        <v/>
      </c>
    </row>
    <row r="673" spans="1:14" hidden="1" x14ac:dyDescent="0.25">
      <c r="A673" s="23" t="str">
        <f>Table57[[#This Row],[No.]]&amp;Table57[[#This Row],[Date]]</f>
        <v>00</v>
      </c>
      <c r="B673" s="22">
        <f>'Unique Dates'!A670</f>
        <v>0</v>
      </c>
      <c r="C673" s="22" t="e" cm="1">
        <f t="array" ref="C673">_xlfn.XLOOKUP(Table57[[#This Row],[No.]],Table2[[#All],[CODE]],Table2[[#All],[NAME]],,0,1)</f>
        <v>#N/A</v>
      </c>
      <c r="D673" s="6">
        <f>'Unique Dates'!B670</f>
        <v>0</v>
      </c>
      <c r="E673" t="str">
        <f>TEXT(Table57[[#This Row],[Date]],"dddd")</f>
        <v>Saturday</v>
      </c>
      <c r="F673" s="25" t="str" cm="1">
        <f t="array" ref="F673">IFERROR(_xlfn.XLOOKUP(Table57[[#This Row],[Code]],Table1[[#All],[Code]],Table1[[#All],[Time]],,0,1),"")</f>
        <v/>
      </c>
      <c r="G673" s="25" t="str" cm="1">
        <f t="array" ref="G673">IFERROR(_xlfn.XLOOKUP(Table57[[#This Row],[Code]],Table1[[#All],[Code]],Table1[[#All],[Time]],,0,-1),"")</f>
        <v/>
      </c>
      <c r="H673" s="23" t="str">
        <f>IFERROR(IF(Table57[[#This Row],[Out]]&gt;=Table57[[#This Row],[In]],Table57[[#This Row],[Out]]-Table57[[#This Row],[In]],(0.5+Table57[[#This Row],[Out]])-Table57[[#This Row],[In]]),"")</f>
        <v/>
      </c>
      <c r="I673" s="31" t="str">
        <f>IFERROR(IF(Table57[[#This Row],[In]]&gt;$C$2,Table57[[#This Row],[In]]-$C$2,""),"")</f>
        <v/>
      </c>
      <c r="J673" s="31" t="str">
        <f>IF(Table57[[#This Row],[Work_Hours]]=0,"",(IF(Table57[[#This Row],[Out]]&lt;$C$3,$C$3-Table57[[#This Row],[Out]],"")))</f>
        <v/>
      </c>
      <c r="K673" s="32" t="str">
        <f>IFERROR(Table57[[#This Row],[In]]+$C$1,"")</f>
        <v/>
      </c>
      <c r="L673" s="29"/>
      <c r="M673" s="31" t="str">
        <f>IF($C$2&gt;Table57[[#This Row],[In]],$C$2-Table57[[#This Row],[In]],"")</f>
        <v/>
      </c>
      <c r="N673" s="29" t="str">
        <f>IFERROR(IF(Table57[[#This Row],[Out]]&gt;$C$3,(Table57[[#This Row],[Out]])-($C$3),""),"")</f>
        <v/>
      </c>
    </row>
    <row r="674" spans="1:14" hidden="1" x14ac:dyDescent="0.25">
      <c r="A674" s="23" t="str">
        <f>Table57[[#This Row],[No.]]&amp;Table57[[#This Row],[Date]]</f>
        <v>00</v>
      </c>
      <c r="B674" s="22">
        <f>'Unique Dates'!A671</f>
        <v>0</v>
      </c>
      <c r="C674" s="22" t="e" cm="1">
        <f t="array" ref="C674">_xlfn.XLOOKUP(Table57[[#This Row],[No.]],Table2[[#All],[CODE]],Table2[[#All],[NAME]],,0,1)</f>
        <v>#N/A</v>
      </c>
      <c r="D674" s="6">
        <f>'Unique Dates'!B671</f>
        <v>0</v>
      </c>
      <c r="E674" t="str">
        <f>TEXT(Table57[[#This Row],[Date]],"dddd")</f>
        <v>Saturday</v>
      </c>
      <c r="F674" s="25" t="str" cm="1">
        <f t="array" ref="F674">IFERROR(_xlfn.XLOOKUP(Table57[[#This Row],[Code]],Table1[[#All],[Code]],Table1[[#All],[Time]],,0,1),"")</f>
        <v/>
      </c>
      <c r="G674" s="25" t="str" cm="1">
        <f t="array" ref="G674">IFERROR(_xlfn.XLOOKUP(Table57[[#This Row],[Code]],Table1[[#All],[Code]],Table1[[#All],[Time]],,0,-1),"")</f>
        <v/>
      </c>
      <c r="H674" s="23" t="str">
        <f>IFERROR(IF(Table57[[#This Row],[Out]]&gt;=Table57[[#This Row],[In]],Table57[[#This Row],[Out]]-Table57[[#This Row],[In]],(0.5+Table57[[#This Row],[Out]])-Table57[[#This Row],[In]]),"")</f>
        <v/>
      </c>
      <c r="I674" s="31" t="str">
        <f>IFERROR(IF(Table57[[#This Row],[In]]&gt;$C$2,Table57[[#This Row],[In]]-$C$2,""),"")</f>
        <v/>
      </c>
      <c r="J674" s="31" t="str">
        <f>IF(Table57[[#This Row],[Work_Hours]]=0,"",(IF(Table57[[#This Row],[Out]]&lt;$C$3,$C$3-Table57[[#This Row],[Out]],"")))</f>
        <v/>
      </c>
      <c r="K674" s="32" t="str">
        <f>IFERROR(Table57[[#This Row],[In]]+$C$1,"")</f>
        <v/>
      </c>
      <c r="L674" s="29"/>
      <c r="M674" s="31" t="str">
        <f>IF($C$2&gt;Table57[[#This Row],[In]],$C$2-Table57[[#This Row],[In]],"")</f>
        <v/>
      </c>
      <c r="N674" s="29" t="str">
        <f>IFERROR(IF(Table57[[#This Row],[Out]]&gt;$C$3,(Table57[[#This Row],[Out]])-($C$3),""),"")</f>
        <v/>
      </c>
    </row>
    <row r="675" spans="1:14" hidden="1" x14ac:dyDescent="0.25">
      <c r="A675" s="23" t="str">
        <f>Table57[[#This Row],[No.]]&amp;Table57[[#This Row],[Date]]</f>
        <v>00</v>
      </c>
      <c r="B675" s="22">
        <f>'Unique Dates'!A672</f>
        <v>0</v>
      </c>
      <c r="C675" s="22" t="e" cm="1">
        <f t="array" ref="C675">_xlfn.XLOOKUP(Table57[[#This Row],[No.]],Table2[[#All],[CODE]],Table2[[#All],[NAME]],,0,1)</f>
        <v>#N/A</v>
      </c>
      <c r="D675" s="6">
        <f>'Unique Dates'!B672</f>
        <v>0</v>
      </c>
      <c r="E675" t="str">
        <f>TEXT(Table57[[#This Row],[Date]],"dddd")</f>
        <v>Saturday</v>
      </c>
      <c r="F675" s="25" t="str" cm="1">
        <f t="array" ref="F675">IFERROR(_xlfn.XLOOKUP(Table57[[#This Row],[Code]],Table1[[#All],[Code]],Table1[[#All],[Time]],,0,1),"")</f>
        <v/>
      </c>
      <c r="G675" s="25" t="str" cm="1">
        <f t="array" ref="G675">IFERROR(_xlfn.XLOOKUP(Table57[[#This Row],[Code]],Table1[[#All],[Code]],Table1[[#All],[Time]],,0,-1),"")</f>
        <v/>
      </c>
      <c r="H675" s="23" t="str">
        <f>IFERROR(IF(Table57[[#This Row],[Out]]&gt;=Table57[[#This Row],[In]],Table57[[#This Row],[Out]]-Table57[[#This Row],[In]],(0.5+Table57[[#This Row],[Out]])-Table57[[#This Row],[In]]),"")</f>
        <v/>
      </c>
      <c r="I675" s="31" t="str">
        <f>IFERROR(IF(Table57[[#This Row],[In]]&gt;$C$2,Table57[[#This Row],[In]]-$C$2,""),"")</f>
        <v/>
      </c>
      <c r="J675" s="31" t="str">
        <f>IF(Table57[[#This Row],[Work_Hours]]=0,"",(IF(Table57[[#This Row],[Out]]&lt;$C$3,$C$3-Table57[[#This Row],[Out]],"")))</f>
        <v/>
      </c>
      <c r="K675" s="32" t="str">
        <f>IFERROR(Table57[[#This Row],[In]]+$C$1,"")</f>
        <v/>
      </c>
      <c r="L675" s="29"/>
      <c r="M675" s="31" t="str">
        <f>IF($C$2&gt;Table57[[#This Row],[In]],$C$2-Table57[[#This Row],[In]],"")</f>
        <v/>
      </c>
      <c r="N675" s="29" t="str">
        <f>IFERROR(IF(Table57[[#This Row],[Out]]&gt;$C$3,(Table57[[#This Row],[Out]])-($C$3),""),"")</f>
        <v/>
      </c>
    </row>
    <row r="676" spans="1:14" hidden="1" x14ac:dyDescent="0.25">
      <c r="A676" s="23" t="str">
        <f>Table57[[#This Row],[No.]]&amp;Table57[[#This Row],[Date]]</f>
        <v>00</v>
      </c>
      <c r="B676" s="22">
        <f>'Unique Dates'!A673</f>
        <v>0</v>
      </c>
      <c r="C676" s="22" t="e" cm="1">
        <f t="array" ref="C676">_xlfn.XLOOKUP(Table57[[#This Row],[No.]],Table2[[#All],[CODE]],Table2[[#All],[NAME]],,0,1)</f>
        <v>#N/A</v>
      </c>
      <c r="D676" s="6">
        <f>'Unique Dates'!B673</f>
        <v>0</v>
      </c>
      <c r="E676" t="str">
        <f>TEXT(Table57[[#This Row],[Date]],"dddd")</f>
        <v>Saturday</v>
      </c>
      <c r="F676" s="25" t="str" cm="1">
        <f t="array" ref="F676">IFERROR(_xlfn.XLOOKUP(Table57[[#This Row],[Code]],Table1[[#All],[Code]],Table1[[#All],[Time]],,0,1),"")</f>
        <v/>
      </c>
      <c r="G676" s="25" t="str" cm="1">
        <f t="array" ref="G676">IFERROR(_xlfn.XLOOKUP(Table57[[#This Row],[Code]],Table1[[#All],[Code]],Table1[[#All],[Time]],,0,-1),"")</f>
        <v/>
      </c>
      <c r="H676" s="23" t="str">
        <f>IFERROR(IF(Table57[[#This Row],[Out]]&gt;=Table57[[#This Row],[In]],Table57[[#This Row],[Out]]-Table57[[#This Row],[In]],(0.5+Table57[[#This Row],[Out]])-Table57[[#This Row],[In]]),"")</f>
        <v/>
      </c>
      <c r="I676" s="31" t="str">
        <f>IFERROR(IF(Table57[[#This Row],[In]]&gt;$C$2,Table57[[#This Row],[In]]-$C$2,""),"")</f>
        <v/>
      </c>
      <c r="J676" s="31" t="str">
        <f>IF(Table57[[#This Row],[Work_Hours]]=0,"",(IF(Table57[[#This Row],[Out]]&lt;$C$3,$C$3-Table57[[#This Row],[Out]],"")))</f>
        <v/>
      </c>
      <c r="K676" s="32" t="str">
        <f>IFERROR(Table57[[#This Row],[In]]+$C$1,"")</f>
        <v/>
      </c>
      <c r="L676" s="29"/>
      <c r="M676" s="31" t="str">
        <f>IF($C$2&gt;Table57[[#This Row],[In]],$C$2-Table57[[#This Row],[In]],"")</f>
        <v/>
      </c>
      <c r="N676" s="29" t="str">
        <f>IFERROR(IF(Table57[[#This Row],[Out]]&gt;$C$3,(Table57[[#This Row],[Out]])-($C$3),""),"")</f>
        <v/>
      </c>
    </row>
    <row r="677" spans="1:14" hidden="1" x14ac:dyDescent="0.25">
      <c r="A677" s="23" t="str">
        <f>Table57[[#This Row],[No.]]&amp;Table57[[#This Row],[Date]]</f>
        <v>00</v>
      </c>
      <c r="B677" s="22">
        <f>'Unique Dates'!A674</f>
        <v>0</v>
      </c>
      <c r="C677" s="22" t="e" cm="1">
        <f t="array" ref="C677">_xlfn.XLOOKUP(Table57[[#This Row],[No.]],Table2[[#All],[CODE]],Table2[[#All],[NAME]],,0,1)</f>
        <v>#N/A</v>
      </c>
      <c r="D677" s="6">
        <f>'Unique Dates'!B674</f>
        <v>0</v>
      </c>
      <c r="E677" t="str">
        <f>TEXT(Table57[[#This Row],[Date]],"dddd")</f>
        <v>Saturday</v>
      </c>
      <c r="F677" s="25" t="str" cm="1">
        <f t="array" ref="F677">IFERROR(_xlfn.XLOOKUP(Table57[[#This Row],[Code]],Table1[[#All],[Code]],Table1[[#All],[Time]],,0,1),"")</f>
        <v/>
      </c>
      <c r="G677" s="25" t="str" cm="1">
        <f t="array" ref="G677">IFERROR(_xlfn.XLOOKUP(Table57[[#This Row],[Code]],Table1[[#All],[Code]],Table1[[#All],[Time]],,0,-1),"")</f>
        <v/>
      </c>
      <c r="H677" s="23" t="str">
        <f>IFERROR(IF(Table57[[#This Row],[Out]]&gt;=Table57[[#This Row],[In]],Table57[[#This Row],[Out]]-Table57[[#This Row],[In]],(0.5+Table57[[#This Row],[Out]])-Table57[[#This Row],[In]]),"")</f>
        <v/>
      </c>
      <c r="I677" s="31" t="str">
        <f>IFERROR(IF(Table57[[#This Row],[In]]&gt;$C$2,Table57[[#This Row],[In]]-$C$2,""),"")</f>
        <v/>
      </c>
      <c r="J677" s="31" t="str">
        <f>IF(Table57[[#This Row],[Work_Hours]]=0,"",(IF(Table57[[#This Row],[Out]]&lt;$C$3,$C$3-Table57[[#This Row],[Out]],"")))</f>
        <v/>
      </c>
      <c r="K677" s="32" t="str">
        <f>IFERROR(Table57[[#This Row],[In]]+$C$1,"")</f>
        <v/>
      </c>
      <c r="L677" s="29"/>
      <c r="M677" s="31" t="str">
        <f>IF($C$2&gt;Table57[[#This Row],[In]],$C$2-Table57[[#This Row],[In]],"")</f>
        <v/>
      </c>
      <c r="N677" s="29" t="str">
        <f>IFERROR(IF(Table57[[#This Row],[Out]]&gt;$C$3,(Table57[[#This Row],[Out]])-($C$3),""),"")</f>
        <v/>
      </c>
    </row>
    <row r="678" spans="1:14" hidden="1" x14ac:dyDescent="0.25">
      <c r="A678" s="23" t="str">
        <f>Table57[[#This Row],[No.]]&amp;Table57[[#This Row],[Date]]</f>
        <v>00</v>
      </c>
      <c r="B678" s="22">
        <f>'Unique Dates'!A675</f>
        <v>0</v>
      </c>
      <c r="C678" s="22" t="e" cm="1">
        <f t="array" ref="C678">_xlfn.XLOOKUP(Table57[[#This Row],[No.]],Table2[[#All],[CODE]],Table2[[#All],[NAME]],,0,1)</f>
        <v>#N/A</v>
      </c>
      <c r="D678" s="6">
        <f>'Unique Dates'!B675</f>
        <v>0</v>
      </c>
      <c r="E678" t="str">
        <f>TEXT(Table57[[#This Row],[Date]],"dddd")</f>
        <v>Saturday</v>
      </c>
      <c r="F678" s="25" t="str" cm="1">
        <f t="array" ref="F678">IFERROR(_xlfn.XLOOKUP(Table57[[#This Row],[Code]],Table1[[#All],[Code]],Table1[[#All],[Time]],,0,1),"")</f>
        <v/>
      </c>
      <c r="G678" s="25" t="str" cm="1">
        <f t="array" ref="G678">IFERROR(_xlfn.XLOOKUP(Table57[[#This Row],[Code]],Table1[[#All],[Code]],Table1[[#All],[Time]],,0,-1),"")</f>
        <v/>
      </c>
      <c r="H678" s="23" t="str">
        <f>IFERROR(IF(Table57[[#This Row],[Out]]&gt;=Table57[[#This Row],[In]],Table57[[#This Row],[Out]]-Table57[[#This Row],[In]],(0.5+Table57[[#This Row],[Out]])-Table57[[#This Row],[In]]),"")</f>
        <v/>
      </c>
      <c r="I678" s="31" t="str">
        <f>IFERROR(IF(Table57[[#This Row],[In]]&gt;$C$2,Table57[[#This Row],[In]]-$C$2,""),"")</f>
        <v/>
      </c>
      <c r="J678" s="31" t="str">
        <f>IF(Table57[[#This Row],[Work_Hours]]=0,"",(IF(Table57[[#This Row],[Out]]&lt;$C$3,$C$3-Table57[[#This Row],[Out]],"")))</f>
        <v/>
      </c>
      <c r="K678" s="32" t="str">
        <f>IFERROR(Table57[[#This Row],[In]]+$C$1,"")</f>
        <v/>
      </c>
      <c r="L678" s="29"/>
      <c r="M678" s="31" t="str">
        <f>IF($C$2&gt;Table57[[#This Row],[In]],$C$2-Table57[[#This Row],[In]],"")</f>
        <v/>
      </c>
      <c r="N678" s="29" t="str">
        <f>IFERROR(IF(Table57[[#This Row],[Out]]&gt;$C$3,(Table57[[#This Row],[Out]])-($C$3),""),"")</f>
        <v/>
      </c>
    </row>
    <row r="679" spans="1:14" hidden="1" x14ac:dyDescent="0.25">
      <c r="A679" s="23" t="str">
        <f>Table57[[#This Row],[No.]]&amp;Table57[[#This Row],[Date]]</f>
        <v>00</v>
      </c>
      <c r="B679" s="22">
        <f>'Unique Dates'!A676</f>
        <v>0</v>
      </c>
      <c r="C679" s="22" t="e" cm="1">
        <f t="array" ref="C679">_xlfn.XLOOKUP(Table57[[#This Row],[No.]],Table2[[#All],[CODE]],Table2[[#All],[NAME]],,0,1)</f>
        <v>#N/A</v>
      </c>
      <c r="D679" s="6">
        <f>'Unique Dates'!B676</f>
        <v>0</v>
      </c>
      <c r="E679" t="str">
        <f>TEXT(Table57[[#This Row],[Date]],"dddd")</f>
        <v>Saturday</v>
      </c>
      <c r="F679" s="25" t="str" cm="1">
        <f t="array" ref="F679">IFERROR(_xlfn.XLOOKUP(Table57[[#This Row],[Code]],Table1[[#All],[Code]],Table1[[#All],[Time]],,0,1),"")</f>
        <v/>
      </c>
      <c r="G679" s="25" t="str" cm="1">
        <f t="array" ref="G679">IFERROR(_xlfn.XLOOKUP(Table57[[#This Row],[Code]],Table1[[#All],[Code]],Table1[[#All],[Time]],,0,-1),"")</f>
        <v/>
      </c>
      <c r="H679" s="23" t="str">
        <f>IFERROR(IF(Table57[[#This Row],[Out]]&gt;=Table57[[#This Row],[In]],Table57[[#This Row],[Out]]-Table57[[#This Row],[In]],(0.5+Table57[[#This Row],[Out]])-Table57[[#This Row],[In]]),"")</f>
        <v/>
      </c>
      <c r="I679" s="31" t="str">
        <f>IFERROR(IF(Table57[[#This Row],[In]]&gt;$C$2,Table57[[#This Row],[In]]-$C$2,""),"")</f>
        <v/>
      </c>
      <c r="J679" s="31" t="str">
        <f>IF(Table57[[#This Row],[Work_Hours]]=0,"",(IF(Table57[[#This Row],[Out]]&lt;$C$3,$C$3-Table57[[#This Row],[Out]],"")))</f>
        <v/>
      </c>
      <c r="K679" s="32" t="str">
        <f>IFERROR(Table57[[#This Row],[In]]+$C$1,"")</f>
        <v/>
      </c>
      <c r="L679" s="29"/>
      <c r="M679" s="31" t="str">
        <f>IF($C$2&gt;Table57[[#This Row],[In]],$C$2-Table57[[#This Row],[In]],"")</f>
        <v/>
      </c>
      <c r="N679" s="29" t="str">
        <f>IFERROR(IF(Table57[[#This Row],[Out]]&gt;$C$3,(Table57[[#This Row],[Out]])-($C$3),""),"")</f>
        <v/>
      </c>
    </row>
    <row r="680" spans="1:14" hidden="1" x14ac:dyDescent="0.25">
      <c r="A680" s="23" t="str">
        <f>Table57[[#This Row],[No.]]&amp;Table57[[#This Row],[Date]]</f>
        <v>00</v>
      </c>
      <c r="B680" s="22">
        <f>'Unique Dates'!A677</f>
        <v>0</v>
      </c>
      <c r="C680" s="22" t="e" cm="1">
        <f t="array" ref="C680">_xlfn.XLOOKUP(Table57[[#This Row],[No.]],Table2[[#All],[CODE]],Table2[[#All],[NAME]],,0,1)</f>
        <v>#N/A</v>
      </c>
      <c r="D680" s="6">
        <f>'Unique Dates'!B677</f>
        <v>0</v>
      </c>
      <c r="E680" t="str">
        <f>TEXT(Table57[[#This Row],[Date]],"dddd")</f>
        <v>Saturday</v>
      </c>
      <c r="F680" s="25" t="str" cm="1">
        <f t="array" ref="F680">IFERROR(_xlfn.XLOOKUP(Table57[[#This Row],[Code]],Table1[[#All],[Code]],Table1[[#All],[Time]],,0,1),"")</f>
        <v/>
      </c>
      <c r="G680" s="25" t="str" cm="1">
        <f t="array" ref="G680">IFERROR(_xlfn.XLOOKUP(Table57[[#This Row],[Code]],Table1[[#All],[Code]],Table1[[#All],[Time]],,0,-1),"")</f>
        <v/>
      </c>
      <c r="H680" s="23" t="str">
        <f>IFERROR(IF(Table57[[#This Row],[Out]]&gt;=Table57[[#This Row],[In]],Table57[[#This Row],[Out]]-Table57[[#This Row],[In]],(0.5+Table57[[#This Row],[Out]])-Table57[[#This Row],[In]]),"")</f>
        <v/>
      </c>
      <c r="I680" s="31" t="str">
        <f>IFERROR(IF(Table57[[#This Row],[In]]&gt;$C$2,Table57[[#This Row],[In]]-$C$2,""),"")</f>
        <v/>
      </c>
      <c r="J680" s="31" t="str">
        <f>IF(Table57[[#This Row],[Work_Hours]]=0,"",(IF(Table57[[#This Row],[Out]]&lt;$C$3,$C$3-Table57[[#This Row],[Out]],"")))</f>
        <v/>
      </c>
      <c r="K680" s="32" t="str">
        <f>IFERROR(Table57[[#This Row],[In]]+$C$1,"")</f>
        <v/>
      </c>
      <c r="L680" s="29"/>
      <c r="M680" s="31" t="str">
        <f>IF($C$2&gt;Table57[[#This Row],[In]],$C$2-Table57[[#This Row],[In]],"")</f>
        <v/>
      </c>
      <c r="N680" s="29" t="str">
        <f>IFERROR(IF(Table57[[#This Row],[Out]]&gt;$C$3,(Table57[[#This Row],[Out]])-($C$3),""),"")</f>
        <v/>
      </c>
    </row>
    <row r="681" spans="1:14" hidden="1" x14ac:dyDescent="0.25">
      <c r="A681" s="23" t="str">
        <f>Table57[[#This Row],[No.]]&amp;Table57[[#This Row],[Date]]</f>
        <v>00</v>
      </c>
      <c r="B681" s="22">
        <f>'Unique Dates'!A678</f>
        <v>0</v>
      </c>
      <c r="C681" s="22" t="e" cm="1">
        <f t="array" ref="C681">_xlfn.XLOOKUP(Table57[[#This Row],[No.]],Table2[[#All],[CODE]],Table2[[#All],[NAME]],,0,1)</f>
        <v>#N/A</v>
      </c>
      <c r="D681" s="6">
        <f>'Unique Dates'!B678</f>
        <v>0</v>
      </c>
      <c r="E681" t="str">
        <f>TEXT(Table57[[#This Row],[Date]],"dddd")</f>
        <v>Saturday</v>
      </c>
      <c r="F681" s="25" t="str" cm="1">
        <f t="array" ref="F681">IFERROR(_xlfn.XLOOKUP(Table57[[#This Row],[Code]],Table1[[#All],[Code]],Table1[[#All],[Time]],,0,1),"")</f>
        <v/>
      </c>
      <c r="G681" s="25" t="str" cm="1">
        <f t="array" ref="G681">IFERROR(_xlfn.XLOOKUP(Table57[[#This Row],[Code]],Table1[[#All],[Code]],Table1[[#All],[Time]],,0,-1),"")</f>
        <v/>
      </c>
      <c r="H681" s="23" t="str">
        <f>IFERROR(IF(Table57[[#This Row],[Out]]&gt;=Table57[[#This Row],[In]],Table57[[#This Row],[Out]]-Table57[[#This Row],[In]],(0.5+Table57[[#This Row],[Out]])-Table57[[#This Row],[In]]),"")</f>
        <v/>
      </c>
      <c r="I681" s="31" t="str">
        <f>IFERROR(IF(Table57[[#This Row],[In]]&gt;$C$2,Table57[[#This Row],[In]]-$C$2,""),"")</f>
        <v/>
      </c>
      <c r="J681" s="31" t="str">
        <f>IF(Table57[[#This Row],[Work_Hours]]=0,"",(IF(Table57[[#This Row],[Out]]&lt;$C$3,$C$3-Table57[[#This Row],[Out]],"")))</f>
        <v/>
      </c>
      <c r="K681" s="32" t="str">
        <f>IFERROR(Table57[[#This Row],[In]]+$C$1,"")</f>
        <v/>
      </c>
      <c r="L681" s="29"/>
      <c r="M681" s="31" t="str">
        <f>IF($C$2&gt;Table57[[#This Row],[In]],$C$2-Table57[[#This Row],[In]],"")</f>
        <v/>
      </c>
      <c r="N681" s="29" t="str">
        <f>IFERROR(IF(Table57[[#This Row],[Out]]&gt;$C$3,(Table57[[#This Row],[Out]])-($C$3),""),"")</f>
        <v/>
      </c>
    </row>
    <row r="682" spans="1:14" hidden="1" x14ac:dyDescent="0.25">
      <c r="A682" s="23" t="str">
        <f>Table57[[#This Row],[No.]]&amp;Table57[[#This Row],[Date]]</f>
        <v>00</v>
      </c>
      <c r="B682" s="22">
        <f>'Unique Dates'!A679</f>
        <v>0</v>
      </c>
      <c r="C682" s="22" t="e" cm="1">
        <f t="array" ref="C682">_xlfn.XLOOKUP(Table57[[#This Row],[No.]],Table2[[#All],[CODE]],Table2[[#All],[NAME]],,0,1)</f>
        <v>#N/A</v>
      </c>
      <c r="D682" s="6">
        <f>'Unique Dates'!B679</f>
        <v>0</v>
      </c>
      <c r="E682" t="str">
        <f>TEXT(Table57[[#This Row],[Date]],"dddd")</f>
        <v>Saturday</v>
      </c>
      <c r="F682" s="25" t="str" cm="1">
        <f t="array" ref="F682">IFERROR(_xlfn.XLOOKUP(Table57[[#This Row],[Code]],Table1[[#All],[Code]],Table1[[#All],[Time]],,0,1),"")</f>
        <v/>
      </c>
      <c r="G682" s="25" t="str" cm="1">
        <f t="array" ref="G682">IFERROR(_xlfn.XLOOKUP(Table57[[#This Row],[Code]],Table1[[#All],[Code]],Table1[[#All],[Time]],,0,-1),"")</f>
        <v/>
      </c>
      <c r="H682" s="23" t="str">
        <f>IFERROR(IF(Table57[[#This Row],[Out]]&gt;=Table57[[#This Row],[In]],Table57[[#This Row],[Out]]-Table57[[#This Row],[In]],(0.5+Table57[[#This Row],[Out]])-Table57[[#This Row],[In]]),"")</f>
        <v/>
      </c>
      <c r="I682" s="31" t="str">
        <f>IFERROR(IF(Table57[[#This Row],[In]]&gt;$C$2,Table57[[#This Row],[In]]-$C$2,""),"")</f>
        <v/>
      </c>
      <c r="J682" s="31" t="str">
        <f>IF(Table57[[#This Row],[Work_Hours]]=0,"",(IF(Table57[[#This Row],[Out]]&lt;$C$3,$C$3-Table57[[#This Row],[Out]],"")))</f>
        <v/>
      </c>
      <c r="K682" s="32" t="str">
        <f>IFERROR(Table57[[#This Row],[In]]+$C$1,"")</f>
        <v/>
      </c>
      <c r="L682" s="29"/>
      <c r="M682" s="31" t="str">
        <f>IF($C$2&gt;Table57[[#This Row],[In]],$C$2-Table57[[#This Row],[In]],"")</f>
        <v/>
      </c>
      <c r="N682" s="29" t="str">
        <f>IFERROR(IF(Table57[[#This Row],[Out]]&gt;$C$3,(Table57[[#This Row],[Out]])-($C$3),""),"")</f>
        <v/>
      </c>
    </row>
    <row r="683" spans="1:14" hidden="1" x14ac:dyDescent="0.25">
      <c r="A683" s="23" t="str">
        <f>Table57[[#This Row],[No.]]&amp;Table57[[#This Row],[Date]]</f>
        <v>00</v>
      </c>
      <c r="B683" s="22">
        <f>'Unique Dates'!A680</f>
        <v>0</v>
      </c>
      <c r="C683" s="22" t="e" cm="1">
        <f t="array" ref="C683">_xlfn.XLOOKUP(Table57[[#This Row],[No.]],Table2[[#All],[CODE]],Table2[[#All],[NAME]],,0,1)</f>
        <v>#N/A</v>
      </c>
      <c r="D683" s="6">
        <f>'Unique Dates'!B680</f>
        <v>0</v>
      </c>
      <c r="E683" t="str">
        <f>TEXT(Table57[[#This Row],[Date]],"dddd")</f>
        <v>Saturday</v>
      </c>
      <c r="F683" s="25" t="str" cm="1">
        <f t="array" ref="F683">IFERROR(_xlfn.XLOOKUP(Table57[[#This Row],[Code]],Table1[[#All],[Code]],Table1[[#All],[Time]],,0,1),"")</f>
        <v/>
      </c>
      <c r="G683" s="25" t="str" cm="1">
        <f t="array" ref="G683">IFERROR(_xlfn.XLOOKUP(Table57[[#This Row],[Code]],Table1[[#All],[Code]],Table1[[#All],[Time]],,0,-1),"")</f>
        <v/>
      </c>
      <c r="H683" s="23" t="str">
        <f>IFERROR(IF(Table57[[#This Row],[Out]]&gt;=Table57[[#This Row],[In]],Table57[[#This Row],[Out]]-Table57[[#This Row],[In]],(0.5+Table57[[#This Row],[Out]])-Table57[[#This Row],[In]]),"")</f>
        <v/>
      </c>
      <c r="I683" s="31" t="str">
        <f>IFERROR(IF(Table57[[#This Row],[In]]&gt;$C$2,Table57[[#This Row],[In]]-$C$2,""),"")</f>
        <v/>
      </c>
      <c r="J683" s="31" t="str">
        <f>IF(Table57[[#This Row],[Work_Hours]]=0,"",(IF(Table57[[#This Row],[Out]]&lt;$C$3,$C$3-Table57[[#This Row],[Out]],"")))</f>
        <v/>
      </c>
      <c r="K683" s="32" t="str">
        <f>IFERROR(Table57[[#This Row],[In]]+$C$1,"")</f>
        <v/>
      </c>
      <c r="L683" s="29"/>
      <c r="M683" s="31" t="str">
        <f>IF($C$2&gt;Table57[[#This Row],[In]],$C$2-Table57[[#This Row],[In]],"")</f>
        <v/>
      </c>
      <c r="N683" s="29" t="str">
        <f>IFERROR(IF(Table57[[#This Row],[Out]]&gt;$C$3,(Table57[[#This Row],[Out]])-($C$3),""),"")</f>
        <v/>
      </c>
    </row>
    <row r="684" spans="1:14" hidden="1" x14ac:dyDescent="0.25">
      <c r="A684" s="23" t="str">
        <f>Table57[[#This Row],[No.]]&amp;Table57[[#This Row],[Date]]</f>
        <v>00</v>
      </c>
      <c r="B684" s="22">
        <f>'Unique Dates'!A681</f>
        <v>0</v>
      </c>
      <c r="C684" s="22" t="e" cm="1">
        <f t="array" ref="C684">_xlfn.XLOOKUP(Table57[[#This Row],[No.]],Table2[[#All],[CODE]],Table2[[#All],[NAME]],,0,1)</f>
        <v>#N/A</v>
      </c>
      <c r="D684" s="6">
        <f>'Unique Dates'!B681</f>
        <v>0</v>
      </c>
      <c r="E684" t="str">
        <f>TEXT(Table57[[#This Row],[Date]],"dddd")</f>
        <v>Saturday</v>
      </c>
      <c r="F684" s="25" t="str" cm="1">
        <f t="array" ref="F684">IFERROR(_xlfn.XLOOKUP(Table57[[#This Row],[Code]],Table1[[#All],[Code]],Table1[[#All],[Time]],,0,1),"")</f>
        <v/>
      </c>
      <c r="G684" s="25" t="str" cm="1">
        <f t="array" ref="G684">IFERROR(_xlfn.XLOOKUP(Table57[[#This Row],[Code]],Table1[[#All],[Code]],Table1[[#All],[Time]],,0,-1),"")</f>
        <v/>
      </c>
      <c r="H684" s="23" t="str">
        <f>IFERROR(IF(Table57[[#This Row],[Out]]&gt;=Table57[[#This Row],[In]],Table57[[#This Row],[Out]]-Table57[[#This Row],[In]],(0.5+Table57[[#This Row],[Out]])-Table57[[#This Row],[In]]),"")</f>
        <v/>
      </c>
      <c r="I684" s="31" t="str">
        <f>IFERROR(IF(Table57[[#This Row],[In]]&gt;$C$2,Table57[[#This Row],[In]]-$C$2,""),"")</f>
        <v/>
      </c>
      <c r="J684" s="31" t="str">
        <f>IF(Table57[[#This Row],[Work_Hours]]=0,"",(IF(Table57[[#This Row],[Out]]&lt;$C$3,$C$3-Table57[[#This Row],[Out]],"")))</f>
        <v/>
      </c>
      <c r="K684" s="32" t="str">
        <f>IFERROR(Table57[[#This Row],[In]]+$C$1,"")</f>
        <v/>
      </c>
      <c r="L684" s="29"/>
      <c r="M684" s="31" t="str">
        <f>IF($C$2&gt;Table57[[#This Row],[In]],$C$2-Table57[[#This Row],[In]],"")</f>
        <v/>
      </c>
      <c r="N684" s="29" t="str">
        <f>IFERROR(IF(Table57[[#This Row],[Out]]&gt;$C$3,(Table57[[#This Row],[Out]])-($C$3),""),"")</f>
        <v/>
      </c>
    </row>
    <row r="685" spans="1:14" hidden="1" x14ac:dyDescent="0.25">
      <c r="A685" s="23" t="str">
        <f>Table57[[#This Row],[No.]]&amp;Table57[[#This Row],[Date]]</f>
        <v>00</v>
      </c>
      <c r="B685" s="22">
        <f>'Unique Dates'!A682</f>
        <v>0</v>
      </c>
      <c r="C685" s="22" t="e" cm="1">
        <f t="array" ref="C685">_xlfn.XLOOKUP(Table57[[#This Row],[No.]],Table2[[#All],[CODE]],Table2[[#All],[NAME]],,0,1)</f>
        <v>#N/A</v>
      </c>
      <c r="D685" s="6">
        <f>'Unique Dates'!B682</f>
        <v>0</v>
      </c>
      <c r="E685" t="str">
        <f>TEXT(Table57[[#This Row],[Date]],"dddd")</f>
        <v>Saturday</v>
      </c>
      <c r="F685" s="25" t="str" cm="1">
        <f t="array" ref="F685">IFERROR(_xlfn.XLOOKUP(Table57[[#This Row],[Code]],Table1[[#All],[Code]],Table1[[#All],[Time]],,0,1),"")</f>
        <v/>
      </c>
      <c r="G685" s="25" t="str" cm="1">
        <f t="array" ref="G685">IFERROR(_xlfn.XLOOKUP(Table57[[#This Row],[Code]],Table1[[#All],[Code]],Table1[[#All],[Time]],,0,-1),"")</f>
        <v/>
      </c>
      <c r="H685" s="23" t="str">
        <f>IFERROR(IF(Table57[[#This Row],[Out]]&gt;=Table57[[#This Row],[In]],Table57[[#This Row],[Out]]-Table57[[#This Row],[In]],(0.5+Table57[[#This Row],[Out]])-Table57[[#This Row],[In]]),"")</f>
        <v/>
      </c>
      <c r="I685" s="31" t="str">
        <f>IFERROR(IF(Table57[[#This Row],[In]]&gt;$C$2,Table57[[#This Row],[In]]-$C$2,""),"")</f>
        <v/>
      </c>
      <c r="J685" s="31" t="str">
        <f>IF(Table57[[#This Row],[Work_Hours]]=0,"",(IF(Table57[[#This Row],[Out]]&lt;$C$3,$C$3-Table57[[#This Row],[Out]],"")))</f>
        <v/>
      </c>
      <c r="K685" s="32" t="str">
        <f>IFERROR(Table57[[#This Row],[In]]+$C$1,"")</f>
        <v/>
      </c>
      <c r="L685" s="29"/>
      <c r="M685" s="31" t="str">
        <f>IF($C$2&gt;Table57[[#This Row],[In]],$C$2-Table57[[#This Row],[In]],"")</f>
        <v/>
      </c>
      <c r="N685" s="29" t="str">
        <f>IFERROR(IF(Table57[[#This Row],[Out]]&gt;$C$3,(Table57[[#This Row],[Out]])-($C$3),""),"")</f>
        <v/>
      </c>
    </row>
    <row r="686" spans="1:14" hidden="1" x14ac:dyDescent="0.25">
      <c r="A686" s="23" t="str">
        <f>Table57[[#This Row],[No.]]&amp;Table57[[#This Row],[Date]]</f>
        <v>00</v>
      </c>
      <c r="B686" s="22">
        <f>'Unique Dates'!A683</f>
        <v>0</v>
      </c>
      <c r="C686" s="22" t="e" cm="1">
        <f t="array" ref="C686">_xlfn.XLOOKUP(Table57[[#This Row],[No.]],Table2[[#All],[CODE]],Table2[[#All],[NAME]],,0,1)</f>
        <v>#N/A</v>
      </c>
      <c r="D686" s="6">
        <f>'Unique Dates'!B683</f>
        <v>0</v>
      </c>
      <c r="E686" t="str">
        <f>TEXT(Table57[[#This Row],[Date]],"dddd")</f>
        <v>Saturday</v>
      </c>
      <c r="F686" s="25" t="str" cm="1">
        <f t="array" ref="F686">IFERROR(_xlfn.XLOOKUP(Table57[[#This Row],[Code]],Table1[[#All],[Code]],Table1[[#All],[Time]],,0,1),"")</f>
        <v/>
      </c>
      <c r="G686" s="25" t="str" cm="1">
        <f t="array" ref="G686">IFERROR(_xlfn.XLOOKUP(Table57[[#This Row],[Code]],Table1[[#All],[Code]],Table1[[#All],[Time]],,0,-1),"")</f>
        <v/>
      </c>
      <c r="H686" s="23" t="str">
        <f>IFERROR(IF(Table57[[#This Row],[Out]]&gt;=Table57[[#This Row],[In]],Table57[[#This Row],[Out]]-Table57[[#This Row],[In]],(0.5+Table57[[#This Row],[Out]])-Table57[[#This Row],[In]]),"")</f>
        <v/>
      </c>
      <c r="I686" s="31" t="str">
        <f>IFERROR(IF(Table57[[#This Row],[In]]&gt;$C$2,Table57[[#This Row],[In]]-$C$2,""),"")</f>
        <v/>
      </c>
      <c r="J686" s="31" t="str">
        <f>IF(Table57[[#This Row],[Work_Hours]]=0,"",(IF(Table57[[#This Row],[Out]]&lt;$C$3,$C$3-Table57[[#This Row],[Out]],"")))</f>
        <v/>
      </c>
      <c r="K686" s="32" t="str">
        <f>IFERROR(Table57[[#This Row],[In]]+$C$1,"")</f>
        <v/>
      </c>
      <c r="L686" s="29"/>
      <c r="M686" s="31" t="str">
        <f>IF($C$2&gt;Table57[[#This Row],[In]],$C$2-Table57[[#This Row],[In]],"")</f>
        <v/>
      </c>
      <c r="N686" s="29" t="str">
        <f>IFERROR(IF(Table57[[#This Row],[Out]]&gt;$C$3,(Table57[[#This Row],[Out]])-($C$3),""),"")</f>
        <v/>
      </c>
    </row>
    <row r="687" spans="1:14" hidden="1" x14ac:dyDescent="0.25">
      <c r="A687" s="23" t="str">
        <f>Table57[[#This Row],[No.]]&amp;Table57[[#This Row],[Date]]</f>
        <v>00</v>
      </c>
      <c r="B687" s="22">
        <f>'Unique Dates'!A684</f>
        <v>0</v>
      </c>
      <c r="C687" s="22" t="e" cm="1">
        <f t="array" ref="C687">_xlfn.XLOOKUP(Table57[[#This Row],[No.]],Table2[[#All],[CODE]],Table2[[#All],[NAME]],,0,1)</f>
        <v>#N/A</v>
      </c>
      <c r="D687" s="6">
        <f>'Unique Dates'!B684</f>
        <v>0</v>
      </c>
      <c r="E687" t="str">
        <f>TEXT(Table57[[#This Row],[Date]],"dddd")</f>
        <v>Saturday</v>
      </c>
      <c r="F687" s="25" t="str" cm="1">
        <f t="array" ref="F687">IFERROR(_xlfn.XLOOKUP(Table57[[#This Row],[Code]],Table1[[#All],[Code]],Table1[[#All],[Time]],,0,1),"")</f>
        <v/>
      </c>
      <c r="G687" s="25" t="str" cm="1">
        <f t="array" ref="G687">IFERROR(_xlfn.XLOOKUP(Table57[[#This Row],[Code]],Table1[[#All],[Code]],Table1[[#All],[Time]],,0,-1),"")</f>
        <v/>
      </c>
      <c r="H687" s="23" t="str">
        <f>IFERROR(IF(Table57[[#This Row],[Out]]&gt;=Table57[[#This Row],[In]],Table57[[#This Row],[Out]]-Table57[[#This Row],[In]],(0.5+Table57[[#This Row],[Out]])-Table57[[#This Row],[In]]),"")</f>
        <v/>
      </c>
      <c r="I687" s="31" t="str">
        <f>IFERROR(IF(Table57[[#This Row],[In]]&gt;$C$2,Table57[[#This Row],[In]]-$C$2,""),"")</f>
        <v/>
      </c>
      <c r="J687" s="31" t="str">
        <f>IF(Table57[[#This Row],[Work_Hours]]=0,"",(IF(Table57[[#This Row],[Out]]&lt;$C$3,$C$3-Table57[[#This Row],[Out]],"")))</f>
        <v/>
      </c>
      <c r="K687" s="32" t="str">
        <f>IFERROR(Table57[[#This Row],[In]]+$C$1,"")</f>
        <v/>
      </c>
      <c r="L687" s="29"/>
      <c r="M687" s="31" t="str">
        <f>IF($C$2&gt;Table57[[#This Row],[In]],$C$2-Table57[[#This Row],[In]],"")</f>
        <v/>
      </c>
      <c r="N687" s="29" t="str">
        <f>IFERROR(IF(Table57[[#This Row],[Out]]&gt;$C$3,(Table57[[#This Row],[Out]])-($C$3),""),"")</f>
        <v/>
      </c>
    </row>
    <row r="688" spans="1:14" hidden="1" x14ac:dyDescent="0.25">
      <c r="A688" s="23" t="str">
        <f>Table57[[#This Row],[No.]]&amp;Table57[[#This Row],[Date]]</f>
        <v>00</v>
      </c>
      <c r="B688" s="22">
        <f>'Unique Dates'!A685</f>
        <v>0</v>
      </c>
      <c r="C688" s="22" t="e" cm="1">
        <f t="array" ref="C688">_xlfn.XLOOKUP(Table57[[#This Row],[No.]],Table2[[#All],[CODE]],Table2[[#All],[NAME]],,0,1)</f>
        <v>#N/A</v>
      </c>
      <c r="D688" s="6">
        <f>'Unique Dates'!B685</f>
        <v>0</v>
      </c>
      <c r="E688" t="str">
        <f>TEXT(Table57[[#This Row],[Date]],"dddd")</f>
        <v>Saturday</v>
      </c>
      <c r="F688" s="25" t="str" cm="1">
        <f t="array" ref="F688">IFERROR(_xlfn.XLOOKUP(Table57[[#This Row],[Code]],Table1[[#All],[Code]],Table1[[#All],[Time]],,0,1),"")</f>
        <v/>
      </c>
      <c r="G688" s="25" t="str" cm="1">
        <f t="array" ref="G688">IFERROR(_xlfn.XLOOKUP(Table57[[#This Row],[Code]],Table1[[#All],[Code]],Table1[[#All],[Time]],,0,-1),"")</f>
        <v/>
      </c>
      <c r="H688" s="23" t="str">
        <f>IFERROR(IF(Table57[[#This Row],[Out]]&gt;=Table57[[#This Row],[In]],Table57[[#This Row],[Out]]-Table57[[#This Row],[In]],(0.5+Table57[[#This Row],[Out]])-Table57[[#This Row],[In]]),"")</f>
        <v/>
      </c>
      <c r="I688" s="31" t="str">
        <f>IFERROR(IF(Table57[[#This Row],[In]]&gt;$C$2,Table57[[#This Row],[In]]-$C$2,""),"")</f>
        <v/>
      </c>
      <c r="J688" s="31" t="str">
        <f>IF(Table57[[#This Row],[Work_Hours]]=0,"",(IF(Table57[[#This Row],[Out]]&lt;$C$3,$C$3-Table57[[#This Row],[Out]],"")))</f>
        <v/>
      </c>
      <c r="K688" s="32" t="str">
        <f>IFERROR(Table57[[#This Row],[In]]+$C$1,"")</f>
        <v/>
      </c>
      <c r="L688" s="29"/>
      <c r="M688" s="31" t="str">
        <f>IF($C$2&gt;Table57[[#This Row],[In]],$C$2-Table57[[#This Row],[In]],"")</f>
        <v/>
      </c>
      <c r="N688" s="29" t="str">
        <f>IFERROR(IF(Table57[[#This Row],[Out]]&gt;$C$3,(Table57[[#This Row],[Out]])-($C$3),""),"")</f>
        <v/>
      </c>
    </row>
    <row r="689" spans="1:14" hidden="1" x14ac:dyDescent="0.25">
      <c r="A689" s="23" t="str">
        <f>Table57[[#This Row],[No.]]&amp;Table57[[#This Row],[Date]]</f>
        <v>00</v>
      </c>
      <c r="B689" s="22">
        <f>'Unique Dates'!A686</f>
        <v>0</v>
      </c>
      <c r="C689" s="22" t="e" cm="1">
        <f t="array" ref="C689">_xlfn.XLOOKUP(Table57[[#This Row],[No.]],Table2[[#All],[CODE]],Table2[[#All],[NAME]],,0,1)</f>
        <v>#N/A</v>
      </c>
      <c r="D689" s="6">
        <f>'Unique Dates'!B686</f>
        <v>0</v>
      </c>
      <c r="E689" t="str">
        <f>TEXT(Table57[[#This Row],[Date]],"dddd")</f>
        <v>Saturday</v>
      </c>
      <c r="F689" s="25" t="str" cm="1">
        <f t="array" ref="F689">IFERROR(_xlfn.XLOOKUP(Table57[[#This Row],[Code]],Table1[[#All],[Code]],Table1[[#All],[Time]],,0,1),"")</f>
        <v/>
      </c>
      <c r="G689" s="25" t="str" cm="1">
        <f t="array" ref="G689">IFERROR(_xlfn.XLOOKUP(Table57[[#This Row],[Code]],Table1[[#All],[Code]],Table1[[#All],[Time]],,0,-1),"")</f>
        <v/>
      </c>
      <c r="H689" s="23" t="str">
        <f>IFERROR(IF(Table57[[#This Row],[Out]]&gt;=Table57[[#This Row],[In]],Table57[[#This Row],[Out]]-Table57[[#This Row],[In]],(0.5+Table57[[#This Row],[Out]])-Table57[[#This Row],[In]]),"")</f>
        <v/>
      </c>
      <c r="I689" s="31" t="str">
        <f>IFERROR(IF(Table57[[#This Row],[In]]&gt;$C$2,Table57[[#This Row],[In]]-$C$2,""),"")</f>
        <v/>
      </c>
      <c r="J689" s="31" t="str">
        <f>IF(Table57[[#This Row],[Work_Hours]]=0,"",(IF(Table57[[#This Row],[Out]]&lt;$C$3,$C$3-Table57[[#This Row],[Out]],"")))</f>
        <v/>
      </c>
      <c r="K689" s="32" t="str">
        <f>IFERROR(Table57[[#This Row],[In]]+$C$1,"")</f>
        <v/>
      </c>
      <c r="L689" s="29"/>
      <c r="M689" s="31" t="str">
        <f>IF($C$2&gt;Table57[[#This Row],[In]],$C$2-Table57[[#This Row],[In]],"")</f>
        <v/>
      </c>
      <c r="N689" s="29" t="str">
        <f>IFERROR(IF(Table57[[#This Row],[Out]]&gt;$C$3,(Table57[[#This Row],[Out]])-($C$3),""),"")</f>
        <v/>
      </c>
    </row>
    <row r="690" spans="1:14" hidden="1" x14ac:dyDescent="0.25">
      <c r="A690" s="23" t="str">
        <f>Table57[[#This Row],[No.]]&amp;Table57[[#This Row],[Date]]</f>
        <v>00</v>
      </c>
      <c r="B690" s="22">
        <f>'Unique Dates'!A687</f>
        <v>0</v>
      </c>
      <c r="C690" s="22" t="e" cm="1">
        <f t="array" ref="C690">_xlfn.XLOOKUP(Table57[[#This Row],[No.]],Table2[[#All],[CODE]],Table2[[#All],[NAME]],,0,1)</f>
        <v>#N/A</v>
      </c>
      <c r="D690" s="6">
        <f>'Unique Dates'!B687</f>
        <v>0</v>
      </c>
      <c r="E690" t="str">
        <f>TEXT(Table57[[#This Row],[Date]],"dddd")</f>
        <v>Saturday</v>
      </c>
      <c r="F690" s="25" t="str" cm="1">
        <f t="array" ref="F690">IFERROR(_xlfn.XLOOKUP(Table57[[#This Row],[Code]],Table1[[#All],[Code]],Table1[[#All],[Time]],,0,1),"")</f>
        <v/>
      </c>
      <c r="G690" s="25" t="str" cm="1">
        <f t="array" ref="G690">IFERROR(_xlfn.XLOOKUP(Table57[[#This Row],[Code]],Table1[[#All],[Code]],Table1[[#All],[Time]],,0,-1),"")</f>
        <v/>
      </c>
      <c r="H690" s="23" t="str">
        <f>IFERROR(IF(Table57[[#This Row],[Out]]&gt;=Table57[[#This Row],[In]],Table57[[#This Row],[Out]]-Table57[[#This Row],[In]],(0.5+Table57[[#This Row],[Out]])-Table57[[#This Row],[In]]),"")</f>
        <v/>
      </c>
      <c r="I690" s="31" t="str">
        <f>IFERROR(IF(Table57[[#This Row],[In]]&gt;$C$2,Table57[[#This Row],[In]]-$C$2,""),"")</f>
        <v/>
      </c>
      <c r="J690" s="31" t="str">
        <f>IF(Table57[[#This Row],[Work_Hours]]=0,"",(IF(Table57[[#This Row],[Out]]&lt;$C$3,$C$3-Table57[[#This Row],[Out]],"")))</f>
        <v/>
      </c>
      <c r="K690" s="32" t="str">
        <f>IFERROR(Table57[[#This Row],[In]]+$C$1,"")</f>
        <v/>
      </c>
      <c r="L690" s="29"/>
      <c r="M690" s="31" t="str">
        <f>IF($C$2&gt;Table57[[#This Row],[In]],$C$2-Table57[[#This Row],[In]],"")</f>
        <v/>
      </c>
      <c r="N690" s="29" t="str">
        <f>IFERROR(IF(Table57[[#This Row],[Out]]&gt;$C$3,(Table57[[#This Row],[Out]])-($C$3),""),"")</f>
        <v/>
      </c>
    </row>
    <row r="691" spans="1:14" hidden="1" x14ac:dyDescent="0.25">
      <c r="A691" s="23" t="str">
        <f>Table57[[#This Row],[No.]]&amp;Table57[[#This Row],[Date]]</f>
        <v>00</v>
      </c>
      <c r="B691" s="22">
        <f>'Unique Dates'!A688</f>
        <v>0</v>
      </c>
      <c r="C691" s="22" t="e" cm="1">
        <f t="array" ref="C691">_xlfn.XLOOKUP(Table57[[#This Row],[No.]],Table2[[#All],[CODE]],Table2[[#All],[NAME]],,0,1)</f>
        <v>#N/A</v>
      </c>
      <c r="D691" s="6">
        <f>'Unique Dates'!B688</f>
        <v>0</v>
      </c>
      <c r="E691" t="str">
        <f>TEXT(Table57[[#This Row],[Date]],"dddd")</f>
        <v>Saturday</v>
      </c>
      <c r="F691" s="25" t="str" cm="1">
        <f t="array" ref="F691">IFERROR(_xlfn.XLOOKUP(Table57[[#This Row],[Code]],Table1[[#All],[Code]],Table1[[#All],[Time]],,0,1),"")</f>
        <v/>
      </c>
      <c r="G691" s="25" t="str" cm="1">
        <f t="array" ref="G691">IFERROR(_xlfn.XLOOKUP(Table57[[#This Row],[Code]],Table1[[#All],[Code]],Table1[[#All],[Time]],,0,-1),"")</f>
        <v/>
      </c>
      <c r="H691" s="23" t="str">
        <f>IFERROR(IF(Table57[[#This Row],[Out]]&gt;=Table57[[#This Row],[In]],Table57[[#This Row],[Out]]-Table57[[#This Row],[In]],(0.5+Table57[[#This Row],[Out]])-Table57[[#This Row],[In]]),"")</f>
        <v/>
      </c>
      <c r="I691" s="31" t="str">
        <f>IFERROR(IF(Table57[[#This Row],[In]]&gt;$C$2,Table57[[#This Row],[In]]-$C$2,""),"")</f>
        <v/>
      </c>
      <c r="J691" s="31" t="str">
        <f>IF(Table57[[#This Row],[Work_Hours]]=0,"",(IF(Table57[[#This Row],[Out]]&lt;$C$3,$C$3-Table57[[#This Row],[Out]],"")))</f>
        <v/>
      </c>
      <c r="K691" s="32" t="str">
        <f>IFERROR(Table57[[#This Row],[In]]+$C$1,"")</f>
        <v/>
      </c>
      <c r="L691" s="29"/>
      <c r="M691" s="31" t="str">
        <f>IF($C$2&gt;Table57[[#This Row],[In]],$C$2-Table57[[#This Row],[In]],"")</f>
        <v/>
      </c>
      <c r="N691" s="29" t="str">
        <f>IFERROR(IF(Table57[[#This Row],[Out]]&gt;$C$3,(Table57[[#This Row],[Out]])-($C$3),""),"")</f>
        <v/>
      </c>
    </row>
    <row r="692" spans="1:14" hidden="1" x14ac:dyDescent="0.25">
      <c r="A692" s="23" t="str">
        <f>Table57[[#This Row],[No.]]&amp;Table57[[#This Row],[Date]]</f>
        <v>00</v>
      </c>
      <c r="B692" s="22">
        <f>'Unique Dates'!A689</f>
        <v>0</v>
      </c>
      <c r="C692" s="22" t="e" cm="1">
        <f t="array" ref="C692">_xlfn.XLOOKUP(Table57[[#This Row],[No.]],Table2[[#All],[CODE]],Table2[[#All],[NAME]],,0,1)</f>
        <v>#N/A</v>
      </c>
      <c r="D692" s="6">
        <f>'Unique Dates'!B689</f>
        <v>0</v>
      </c>
      <c r="E692" t="str">
        <f>TEXT(Table57[[#This Row],[Date]],"dddd")</f>
        <v>Saturday</v>
      </c>
      <c r="F692" s="25" t="str" cm="1">
        <f t="array" ref="F692">IFERROR(_xlfn.XLOOKUP(Table57[[#This Row],[Code]],Table1[[#All],[Code]],Table1[[#All],[Time]],,0,1),"")</f>
        <v/>
      </c>
      <c r="G692" s="25" t="str" cm="1">
        <f t="array" ref="G692">IFERROR(_xlfn.XLOOKUP(Table57[[#This Row],[Code]],Table1[[#All],[Code]],Table1[[#All],[Time]],,0,-1),"")</f>
        <v/>
      </c>
      <c r="H692" s="23" t="str">
        <f>IFERROR(IF(Table57[[#This Row],[Out]]&gt;=Table57[[#This Row],[In]],Table57[[#This Row],[Out]]-Table57[[#This Row],[In]],(0.5+Table57[[#This Row],[Out]])-Table57[[#This Row],[In]]),"")</f>
        <v/>
      </c>
      <c r="I692" s="31" t="str">
        <f>IFERROR(IF(Table57[[#This Row],[In]]&gt;$C$2,Table57[[#This Row],[In]]-$C$2,""),"")</f>
        <v/>
      </c>
      <c r="J692" s="31" t="str">
        <f>IF(Table57[[#This Row],[Work_Hours]]=0,"",(IF(Table57[[#This Row],[Out]]&lt;$C$3,$C$3-Table57[[#This Row],[Out]],"")))</f>
        <v/>
      </c>
      <c r="K692" s="32" t="str">
        <f>IFERROR(Table57[[#This Row],[In]]+$C$1,"")</f>
        <v/>
      </c>
      <c r="L692" s="29"/>
      <c r="M692" s="31" t="str">
        <f>IF($C$2&gt;Table57[[#This Row],[In]],$C$2-Table57[[#This Row],[In]],"")</f>
        <v/>
      </c>
      <c r="N692" s="29" t="str">
        <f>IFERROR(IF(Table57[[#This Row],[Out]]&gt;$C$3,(Table57[[#This Row],[Out]])-($C$3),""),"")</f>
        <v/>
      </c>
    </row>
    <row r="693" spans="1:14" hidden="1" x14ac:dyDescent="0.25">
      <c r="A693" s="23" t="str">
        <f>Table57[[#This Row],[No.]]&amp;Table57[[#This Row],[Date]]</f>
        <v>00</v>
      </c>
      <c r="B693" s="22">
        <f>'Unique Dates'!A690</f>
        <v>0</v>
      </c>
      <c r="C693" s="22" t="e" cm="1">
        <f t="array" ref="C693">_xlfn.XLOOKUP(Table57[[#This Row],[No.]],Table2[[#All],[CODE]],Table2[[#All],[NAME]],,0,1)</f>
        <v>#N/A</v>
      </c>
      <c r="D693" s="6">
        <f>'Unique Dates'!B690</f>
        <v>0</v>
      </c>
      <c r="E693" t="str">
        <f>TEXT(Table57[[#This Row],[Date]],"dddd")</f>
        <v>Saturday</v>
      </c>
      <c r="F693" s="25" t="str" cm="1">
        <f t="array" ref="F693">IFERROR(_xlfn.XLOOKUP(Table57[[#This Row],[Code]],Table1[[#All],[Code]],Table1[[#All],[Time]],,0,1),"")</f>
        <v/>
      </c>
      <c r="G693" s="25" t="str" cm="1">
        <f t="array" ref="G693">IFERROR(_xlfn.XLOOKUP(Table57[[#This Row],[Code]],Table1[[#All],[Code]],Table1[[#All],[Time]],,0,-1),"")</f>
        <v/>
      </c>
      <c r="H693" s="23" t="str">
        <f>IFERROR(IF(Table57[[#This Row],[Out]]&gt;=Table57[[#This Row],[In]],Table57[[#This Row],[Out]]-Table57[[#This Row],[In]],(0.5+Table57[[#This Row],[Out]])-Table57[[#This Row],[In]]),"")</f>
        <v/>
      </c>
      <c r="I693" s="31" t="str">
        <f>IFERROR(IF(Table57[[#This Row],[In]]&gt;$C$2,Table57[[#This Row],[In]]-$C$2,""),"")</f>
        <v/>
      </c>
      <c r="J693" s="31" t="str">
        <f>IF(Table57[[#This Row],[Work_Hours]]=0,"",(IF(Table57[[#This Row],[Out]]&lt;$C$3,$C$3-Table57[[#This Row],[Out]],"")))</f>
        <v/>
      </c>
      <c r="K693" s="32" t="str">
        <f>IFERROR(Table57[[#This Row],[In]]+$C$1,"")</f>
        <v/>
      </c>
      <c r="L693" s="29"/>
      <c r="M693" s="31" t="str">
        <f>IF($C$2&gt;Table57[[#This Row],[In]],$C$2-Table57[[#This Row],[In]],"")</f>
        <v/>
      </c>
      <c r="N693" s="29" t="str">
        <f>IFERROR(IF(Table57[[#This Row],[Out]]&gt;$C$3,(Table57[[#This Row],[Out]])-($C$3),""),"")</f>
        <v/>
      </c>
    </row>
    <row r="694" spans="1:14" hidden="1" x14ac:dyDescent="0.25">
      <c r="A694" s="23" t="str">
        <f>Table57[[#This Row],[No.]]&amp;Table57[[#This Row],[Date]]</f>
        <v>00</v>
      </c>
      <c r="B694" s="22">
        <f>'Unique Dates'!A691</f>
        <v>0</v>
      </c>
      <c r="C694" s="22" t="e" cm="1">
        <f t="array" ref="C694">_xlfn.XLOOKUP(Table57[[#This Row],[No.]],Table2[[#All],[CODE]],Table2[[#All],[NAME]],,0,1)</f>
        <v>#N/A</v>
      </c>
      <c r="D694" s="6">
        <f>'Unique Dates'!B691</f>
        <v>0</v>
      </c>
      <c r="E694" t="str">
        <f>TEXT(Table57[[#This Row],[Date]],"dddd")</f>
        <v>Saturday</v>
      </c>
      <c r="F694" s="25" t="str" cm="1">
        <f t="array" ref="F694">IFERROR(_xlfn.XLOOKUP(Table57[[#This Row],[Code]],Table1[[#All],[Code]],Table1[[#All],[Time]],,0,1),"")</f>
        <v/>
      </c>
      <c r="G694" s="25" t="str" cm="1">
        <f t="array" ref="G694">IFERROR(_xlfn.XLOOKUP(Table57[[#This Row],[Code]],Table1[[#All],[Code]],Table1[[#All],[Time]],,0,-1),"")</f>
        <v/>
      </c>
      <c r="H694" s="23" t="str">
        <f>IFERROR(IF(Table57[[#This Row],[Out]]&gt;=Table57[[#This Row],[In]],Table57[[#This Row],[Out]]-Table57[[#This Row],[In]],(0.5+Table57[[#This Row],[Out]])-Table57[[#This Row],[In]]),"")</f>
        <v/>
      </c>
      <c r="I694" s="31" t="str">
        <f>IFERROR(IF(Table57[[#This Row],[In]]&gt;$C$2,Table57[[#This Row],[In]]-$C$2,""),"")</f>
        <v/>
      </c>
      <c r="J694" s="31" t="str">
        <f>IF(Table57[[#This Row],[Work_Hours]]=0,"",(IF(Table57[[#This Row],[Out]]&lt;$C$3,$C$3-Table57[[#This Row],[Out]],"")))</f>
        <v/>
      </c>
      <c r="K694" s="32" t="str">
        <f>IFERROR(Table57[[#This Row],[In]]+$C$1,"")</f>
        <v/>
      </c>
      <c r="L694" s="29"/>
      <c r="M694" s="31" t="str">
        <f>IF($C$2&gt;Table57[[#This Row],[In]],$C$2-Table57[[#This Row],[In]],"")</f>
        <v/>
      </c>
      <c r="N694" s="29" t="str">
        <f>IFERROR(IF(Table57[[#This Row],[Out]]&gt;$C$3,(Table57[[#This Row],[Out]])-($C$3),""),"")</f>
        <v/>
      </c>
    </row>
    <row r="695" spans="1:14" hidden="1" x14ac:dyDescent="0.25">
      <c r="A695" s="23" t="str">
        <f>Table57[[#This Row],[No.]]&amp;Table57[[#This Row],[Date]]</f>
        <v>00</v>
      </c>
      <c r="B695" s="22">
        <f>'Unique Dates'!A692</f>
        <v>0</v>
      </c>
      <c r="C695" s="22" t="e" cm="1">
        <f t="array" ref="C695">_xlfn.XLOOKUP(Table57[[#This Row],[No.]],Table2[[#All],[CODE]],Table2[[#All],[NAME]],,0,1)</f>
        <v>#N/A</v>
      </c>
      <c r="D695" s="6">
        <f>'Unique Dates'!B692</f>
        <v>0</v>
      </c>
      <c r="E695" t="str">
        <f>TEXT(Table57[[#This Row],[Date]],"dddd")</f>
        <v>Saturday</v>
      </c>
      <c r="F695" s="25" t="str" cm="1">
        <f t="array" ref="F695">IFERROR(_xlfn.XLOOKUP(Table57[[#This Row],[Code]],Table1[[#All],[Code]],Table1[[#All],[Time]],,0,1),"")</f>
        <v/>
      </c>
      <c r="G695" s="25" t="str" cm="1">
        <f t="array" ref="G695">IFERROR(_xlfn.XLOOKUP(Table57[[#This Row],[Code]],Table1[[#All],[Code]],Table1[[#All],[Time]],,0,-1),"")</f>
        <v/>
      </c>
      <c r="H695" s="23" t="str">
        <f>IFERROR(IF(Table57[[#This Row],[Out]]&gt;=Table57[[#This Row],[In]],Table57[[#This Row],[Out]]-Table57[[#This Row],[In]],(0.5+Table57[[#This Row],[Out]])-Table57[[#This Row],[In]]),"")</f>
        <v/>
      </c>
      <c r="I695" s="31" t="str">
        <f>IFERROR(IF(Table57[[#This Row],[In]]&gt;$C$2,Table57[[#This Row],[In]]-$C$2,""),"")</f>
        <v/>
      </c>
      <c r="J695" s="31" t="str">
        <f>IF(Table57[[#This Row],[Work_Hours]]=0,"",(IF(Table57[[#This Row],[Out]]&lt;$C$3,$C$3-Table57[[#This Row],[Out]],"")))</f>
        <v/>
      </c>
      <c r="K695" s="32" t="str">
        <f>IFERROR(Table57[[#This Row],[In]]+$C$1,"")</f>
        <v/>
      </c>
      <c r="L695" s="29"/>
      <c r="M695" s="31" t="str">
        <f>IF($C$2&gt;Table57[[#This Row],[In]],$C$2-Table57[[#This Row],[In]],"")</f>
        <v/>
      </c>
      <c r="N695" s="29" t="str">
        <f>IFERROR(IF(Table57[[#This Row],[Out]]&gt;$C$3,(Table57[[#This Row],[Out]])-($C$3),""),"")</f>
        <v/>
      </c>
    </row>
    <row r="696" spans="1:14" hidden="1" x14ac:dyDescent="0.25">
      <c r="A696" s="23" t="str">
        <f>Table57[[#This Row],[No.]]&amp;Table57[[#This Row],[Date]]</f>
        <v>00</v>
      </c>
      <c r="B696" s="22">
        <f>'Unique Dates'!A693</f>
        <v>0</v>
      </c>
      <c r="C696" s="22" t="e" cm="1">
        <f t="array" ref="C696">_xlfn.XLOOKUP(Table57[[#This Row],[No.]],Table2[[#All],[CODE]],Table2[[#All],[NAME]],,0,1)</f>
        <v>#N/A</v>
      </c>
      <c r="D696" s="6">
        <f>'Unique Dates'!B693</f>
        <v>0</v>
      </c>
      <c r="E696" t="str">
        <f>TEXT(Table57[[#This Row],[Date]],"dddd")</f>
        <v>Saturday</v>
      </c>
      <c r="F696" s="25" t="str" cm="1">
        <f t="array" ref="F696">IFERROR(_xlfn.XLOOKUP(Table57[[#This Row],[Code]],Table1[[#All],[Code]],Table1[[#All],[Time]],,0,1),"")</f>
        <v/>
      </c>
      <c r="G696" s="25" t="str" cm="1">
        <f t="array" ref="G696">IFERROR(_xlfn.XLOOKUP(Table57[[#This Row],[Code]],Table1[[#All],[Code]],Table1[[#All],[Time]],,0,-1),"")</f>
        <v/>
      </c>
      <c r="H696" s="23" t="str">
        <f>IFERROR(IF(Table57[[#This Row],[Out]]&gt;=Table57[[#This Row],[In]],Table57[[#This Row],[Out]]-Table57[[#This Row],[In]],(0.5+Table57[[#This Row],[Out]])-Table57[[#This Row],[In]]),"")</f>
        <v/>
      </c>
      <c r="I696" s="31" t="str">
        <f>IFERROR(IF(Table57[[#This Row],[In]]&gt;$C$2,Table57[[#This Row],[In]]-$C$2,""),"")</f>
        <v/>
      </c>
      <c r="J696" s="31" t="str">
        <f>IF(Table57[[#This Row],[Work_Hours]]=0,"",(IF(Table57[[#This Row],[Out]]&lt;$C$3,$C$3-Table57[[#This Row],[Out]],"")))</f>
        <v/>
      </c>
      <c r="K696" s="32" t="str">
        <f>IFERROR(Table57[[#This Row],[In]]+$C$1,"")</f>
        <v/>
      </c>
      <c r="L696" s="29"/>
      <c r="M696" s="31" t="str">
        <f>IF($C$2&gt;Table57[[#This Row],[In]],$C$2-Table57[[#This Row],[In]],"")</f>
        <v/>
      </c>
      <c r="N696" s="29" t="str">
        <f>IFERROR(IF(Table57[[#This Row],[Out]]&gt;$C$3,(Table57[[#This Row],[Out]])-($C$3),""),"")</f>
        <v/>
      </c>
    </row>
    <row r="697" spans="1:14" hidden="1" x14ac:dyDescent="0.25">
      <c r="A697" s="23" t="str">
        <f>Table57[[#This Row],[No.]]&amp;Table57[[#This Row],[Date]]</f>
        <v>00</v>
      </c>
      <c r="B697" s="22">
        <f>'Unique Dates'!A694</f>
        <v>0</v>
      </c>
      <c r="C697" s="22" t="e" cm="1">
        <f t="array" ref="C697">_xlfn.XLOOKUP(Table57[[#This Row],[No.]],Table2[[#All],[CODE]],Table2[[#All],[NAME]],,0,1)</f>
        <v>#N/A</v>
      </c>
      <c r="D697" s="6">
        <f>'Unique Dates'!B694</f>
        <v>0</v>
      </c>
      <c r="E697" t="str">
        <f>TEXT(Table57[[#This Row],[Date]],"dddd")</f>
        <v>Saturday</v>
      </c>
      <c r="F697" s="25" t="str" cm="1">
        <f t="array" ref="F697">IFERROR(_xlfn.XLOOKUP(Table57[[#This Row],[Code]],Table1[[#All],[Code]],Table1[[#All],[Time]],,0,1),"")</f>
        <v/>
      </c>
      <c r="G697" s="25" t="str" cm="1">
        <f t="array" ref="G697">IFERROR(_xlfn.XLOOKUP(Table57[[#This Row],[Code]],Table1[[#All],[Code]],Table1[[#All],[Time]],,0,-1),"")</f>
        <v/>
      </c>
      <c r="H697" s="23" t="str">
        <f>IFERROR(IF(Table57[[#This Row],[Out]]&gt;=Table57[[#This Row],[In]],Table57[[#This Row],[Out]]-Table57[[#This Row],[In]],(0.5+Table57[[#This Row],[Out]])-Table57[[#This Row],[In]]),"")</f>
        <v/>
      </c>
      <c r="I697" s="31" t="str">
        <f>IFERROR(IF(Table57[[#This Row],[In]]&gt;$C$2,Table57[[#This Row],[In]]-$C$2,""),"")</f>
        <v/>
      </c>
      <c r="J697" s="31" t="str">
        <f>IF(Table57[[#This Row],[Work_Hours]]=0,"",(IF(Table57[[#This Row],[Out]]&lt;$C$3,$C$3-Table57[[#This Row],[Out]],"")))</f>
        <v/>
      </c>
      <c r="K697" s="32" t="str">
        <f>IFERROR(Table57[[#This Row],[In]]+$C$1,"")</f>
        <v/>
      </c>
      <c r="L697" s="29"/>
      <c r="M697" s="31" t="str">
        <f>IF($C$2&gt;Table57[[#This Row],[In]],$C$2-Table57[[#This Row],[In]],"")</f>
        <v/>
      </c>
      <c r="N697" s="29" t="str">
        <f>IFERROR(IF(Table57[[#This Row],[Out]]&gt;$C$3,(Table57[[#This Row],[Out]])-($C$3),""),"")</f>
        <v/>
      </c>
    </row>
    <row r="698" spans="1:14" hidden="1" x14ac:dyDescent="0.25">
      <c r="A698" s="23" t="str">
        <f>Table57[[#This Row],[No.]]&amp;Table57[[#This Row],[Date]]</f>
        <v>00</v>
      </c>
      <c r="B698" s="22">
        <f>'Unique Dates'!A695</f>
        <v>0</v>
      </c>
      <c r="C698" s="22" t="e" cm="1">
        <f t="array" ref="C698">_xlfn.XLOOKUP(Table57[[#This Row],[No.]],Table2[[#All],[CODE]],Table2[[#All],[NAME]],,0,1)</f>
        <v>#N/A</v>
      </c>
      <c r="D698" s="6">
        <f>'Unique Dates'!B695</f>
        <v>0</v>
      </c>
      <c r="E698" t="str">
        <f>TEXT(Table57[[#This Row],[Date]],"dddd")</f>
        <v>Saturday</v>
      </c>
      <c r="F698" s="25" t="str" cm="1">
        <f t="array" ref="F698">IFERROR(_xlfn.XLOOKUP(Table57[[#This Row],[Code]],Table1[[#All],[Code]],Table1[[#All],[Time]],,0,1),"")</f>
        <v/>
      </c>
      <c r="G698" s="25" t="str" cm="1">
        <f t="array" ref="G698">IFERROR(_xlfn.XLOOKUP(Table57[[#This Row],[Code]],Table1[[#All],[Code]],Table1[[#All],[Time]],,0,-1),"")</f>
        <v/>
      </c>
      <c r="H698" s="23" t="str">
        <f>IFERROR(IF(Table57[[#This Row],[Out]]&gt;=Table57[[#This Row],[In]],Table57[[#This Row],[Out]]-Table57[[#This Row],[In]],(0.5+Table57[[#This Row],[Out]])-Table57[[#This Row],[In]]),"")</f>
        <v/>
      </c>
      <c r="I698" s="31" t="str">
        <f>IFERROR(IF(Table57[[#This Row],[In]]&gt;$C$2,Table57[[#This Row],[In]]-$C$2,""),"")</f>
        <v/>
      </c>
      <c r="J698" s="31" t="str">
        <f>IF(Table57[[#This Row],[Work_Hours]]=0,"",(IF(Table57[[#This Row],[Out]]&lt;$C$3,$C$3-Table57[[#This Row],[Out]],"")))</f>
        <v/>
      </c>
      <c r="K698" s="32" t="str">
        <f>IFERROR(Table57[[#This Row],[In]]+$C$1,"")</f>
        <v/>
      </c>
      <c r="L698" s="29"/>
      <c r="M698" s="31" t="str">
        <f>IF($C$2&gt;Table57[[#This Row],[In]],$C$2-Table57[[#This Row],[In]],"")</f>
        <v/>
      </c>
      <c r="N698" s="29" t="str">
        <f>IFERROR(IF(Table57[[#This Row],[Out]]&gt;$C$3,(Table57[[#This Row],[Out]])-($C$3),""),"")</f>
        <v/>
      </c>
    </row>
    <row r="699" spans="1:14" hidden="1" x14ac:dyDescent="0.25">
      <c r="A699" s="23" t="str">
        <f>Table57[[#This Row],[No.]]&amp;Table57[[#This Row],[Date]]</f>
        <v>00</v>
      </c>
      <c r="B699" s="22">
        <f>'Unique Dates'!A696</f>
        <v>0</v>
      </c>
      <c r="C699" s="22" t="e" cm="1">
        <f t="array" ref="C699">_xlfn.XLOOKUP(Table57[[#This Row],[No.]],Table2[[#All],[CODE]],Table2[[#All],[NAME]],,0,1)</f>
        <v>#N/A</v>
      </c>
      <c r="D699" s="6">
        <f>'Unique Dates'!B696</f>
        <v>0</v>
      </c>
      <c r="E699" t="str">
        <f>TEXT(Table57[[#This Row],[Date]],"dddd")</f>
        <v>Saturday</v>
      </c>
      <c r="F699" s="25" t="str" cm="1">
        <f t="array" ref="F699">IFERROR(_xlfn.XLOOKUP(Table57[[#This Row],[Code]],Table1[[#All],[Code]],Table1[[#All],[Time]],,0,1),"")</f>
        <v/>
      </c>
      <c r="G699" s="25" t="str" cm="1">
        <f t="array" ref="G699">IFERROR(_xlfn.XLOOKUP(Table57[[#This Row],[Code]],Table1[[#All],[Code]],Table1[[#All],[Time]],,0,-1),"")</f>
        <v/>
      </c>
      <c r="H699" s="23" t="str">
        <f>IFERROR(IF(Table57[[#This Row],[Out]]&gt;=Table57[[#This Row],[In]],Table57[[#This Row],[Out]]-Table57[[#This Row],[In]],(0.5+Table57[[#This Row],[Out]])-Table57[[#This Row],[In]]),"")</f>
        <v/>
      </c>
      <c r="I699" s="31" t="str">
        <f>IFERROR(IF(Table57[[#This Row],[In]]&gt;$C$2,Table57[[#This Row],[In]]-$C$2,""),"")</f>
        <v/>
      </c>
      <c r="J699" s="31" t="str">
        <f>IF(Table57[[#This Row],[Work_Hours]]=0,"",(IF(Table57[[#This Row],[Out]]&lt;$C$3,$C$3-Table57[[#This Row],[Out]],"")))</f>
        <v/>
      </c>
      <c r="K699" s="32" t="str">
        <f>IFERROR(Table57[[#This Row],[In]]+$C$1,"")</f>
        <v/>
      </c>
      <c r="L699" s="29"/>
      <c r="M699" s="31" t="str">
        <f>IF($C$2&gt;Table57[[#This Row],[In]],$C$2-Table57[[#This Row],[In]],"")</f>
        <v/>
      </c>
      <c r="N699" s="29" t="str">
        <f>IFERROR(IF(Table57[[#This Row],[Out]]&gt;$C$3,(Table57[[#This Row],[Out]])-($C$3),""),"")</f>
        <v/>
      </c>
    </row>
    <row r="700" spans="1:14" hidden="1" x14ac:dyDescent="0.25">
      <c r="A700" s="23" t="str">
        <f>Table57[[#This Row],[No.]]&amp;Table57[[#This Row],[Date]]</f>
        <v>00</v>
      </c>
      <c r="B700" s="22">
        <f>'Unique Dates'!A697</f>
        <v>0</v>
      </c>
      <c r="C700" s="22" t="e" cm="1">
        <f t="array" ref="C700">_xlfn.XLOOKUP(Table57[[#This Row],[No.]],Table2[[#All],[CODE]],Table2[[#All],[NAME]],,0,1)</f>
        <v>#N/A</v>
      </c>
      <c r="D700" s="6">
        <f>'Unique Dates'!B697</f>
        <v>0</v>
      </c>
      <c r="E700" t="str">
        <f>TEXT(Table57[[#This Row],[Date]],"dddd")</f>
        <v>Saturday</v>
      </c>
      <c r="F700" s="25" t="str" cm="1">
        <f t="array" ref="F700">IFERROR(_xlfn.XLOOKUP(Table57[[#This Row],[Code]],Table1[[#All],[Code]],Table1[[#All],[Time]],,0,1),"")</f>
        <v/>
      </c>
      <c r="G700" s="25" t="str" cm="1">
        <f t="array" ref="G700">IFERROR(_xlfn.XLOOKUP(Table57[[#This Row],[Code]],Table1[[#All],[Code]],Table1[[#All],[Time]],,0,-1),"")</f>
        <v/>
      </c>
      <c r="H700" s="23" t="str">
        <f>IFERROR(IF(Table57[[#This Row],[Out]]&gt;=Table57[[#This Row],[In]],Table57[[#This Row],[Out]]-Table57[[#This Row],[In]],(0.5+Table57[[#This Row],[Out]])-Table57[[#This Row],[In]]),"")</f>
        <v/>
      </c>
      <c r="I700" s="31" t="str">
        <f>IFERROR(IF(Table57[[#This Row],[In]]&gt;$C$2,Table57[[#This Row],[In]]-$C$2,""),"")</f>
        <v/>
      </c>
      <c r="J700" s="31" t="str">
        <f>IF(Table57[[#This Row],[Work_Hours]]=0,"",(IF(Table57[[#This Row],[Out]]&lt;$C$3,$C$3-Table57[[#This Row],[Out]],"")))</f>
        <v/>
      </c>
      <c r="K700" s="32" t="str">
        <f>IFERROR(Table57[[#This Row],[In]]+$C$1,"")</f>
        <v/>
      </c>
      <c r="L700" s="29"/>
      <c r="M700" s="31" t="str">
        <f>IF($C$2&gt;Table57[[#This Row],[In]],$C$2-Table57[[#This Row],[In]],"")</f>
        <v/>
      </c>
      <c r="N700" s="29" t="str">
        <f>IFERROR(IF(Table57[[#This Row],[Out]]&gt;$C$3,(Table57[[#This Row],[Out]])-($C$3),""),"")</f>
        <v/>
      </c>
    </row>
    <row r="701" spans="1:14" hidden="1" x14ac:dyDescent="0.25">
      <c r="A701" s="23" t="str">
        <f>Table57[[#This Row],[No.]]&amp;Table57[[#This Row],[Date]]</f>
        <v>00</v>
      </c>
      <c r="B701" s="22">
        <f>'Unique Dates'!A698</f>
        <v>0</v>
      </c>
      <c r="C701" s="22" t="e" cm="1">
        <f t="array" ref="C701">_xlfn.XLOOKUP(Table57[[#This Row],[No.]],Table2[[#All],[CODE]],Table2[[#All],[NAME]],,0,1)</f>
        <v>#N/A</v>
      </c>
      <c r="D701" s="6">
        <f>'Unique Dates'!B698</f>
        <v>0</v>
      </c>
      <c r="E701" t="str">
        <f>TEXT(Table57[[#This Row],[Date]],"dddd")</f>
        <v>Saturday</v>
      </c>
      <c r="F701" s="25" t="str" cm="1">
        <f t="array" ref="F701">IFERROR(_xlfn.XLOOKUP(Table57[[#This Row],[Code]],Table1[[#All],[Code]],Table1[[#All],[Time]],,0,1),"")</f>
        <v/>
      </c>
      <c r="G701" s="25" t="str" cm="1">
        <f t="array" ref="G701">IFERROR(_xlfn.XLOOKUP(Table57[[#This Row],[Code]],Table1[[#All],[Code]],Table1[[#All],[Time]],,0,-1),"")</f>
        <v/>
      </c>
      <c r="H701" s="23" t="str">
        <f>IFERROR(IF(Table57[[#This Row],[Out]]&gt;=Table57[[#This Row],[In]],Table57[[#This Row],[Out]]-Table57[[#This Row],[In]],(0.5+Table57[[#This Row],[Out]])-Table57[[#This Row],[In]]),"")</f>
        <v/>
      </c>
      <c r="I701" s="31" t="str">
        <f>IFERROR(IF(Table57[[#This Row],[In]]&gt;$C$2,Table57[[#This Row],[In]]-$C$2,""),"")</f>
        <v/>
      </c>
      <c r="J701" s="31" t="str">
        <f>IF(Table57[[#This Row],[Work_Hours]]=0,"",(IF(Table57[[#This Row],[Out]]&lt;$C$3,$C$3-Table57[[#This Row],[Out]],"")))</f>
        <v/>
      </c>
      <c r="K701" s="32" t="str">
        <f>IFERROR(Table57[[#This Row],[In]]+$C$1,"")</f>
        <v/>
      </c>
      <c r="L701" s="29"/>
      <c r="M701" s="31" t="str">
        <f>IF($C$2&gt;Table57[[#This Row],[In]],$C$2-Table57[[#This Row],[In]],"")</f>
        <v/>
      </c>
      <c r="N701" s="29" t="str">
        <f>IFERROR(IF(Table57[[#This Row],[Out]]&gt;$C$3,(Table57[[#This Row],[Out]])-($C$3),""),"")</f>
        <v/>
      </c>
    </row>
    <row r="702" spans="1:14" hidden="1" x14ac:dyDescent="0.25">
      <c r="A702" s="23" t="str">
        <f>Table57[[#This Row],[No.]]&amp;Table57[[#This Row],[Date]]</f>
        <v>00</v>
      </c>
      <c r="B702" s="22">
        <f>'Unique Dates'!A699</f>
        <v>0</v>
      </c>
      <c r="C702" s="22" t="e" cm="1">
        <f t="array" ref="C702">_xlfn.XLOOKUP(Table57[[#This Row],[No.]],Table2[[#All],[CODE]],Table2[[#All],[NAME]],,0,1)</f>
        <v>#N/A</v>
      </c>
      <c r="D702" s="6">
        <f>'Unique Dates'!B699</f>
        <v>0</v>
      </c>
      <c r="E702" t="str">
        <f>TEXT(Table57[[#This Row],[Date]],"dddd")</f>
        <v>Saturday</v>
      </c>
      <c r="F702" s="25" t="str" cm="1">
        <f t="array" ref="F702">IFERROR(_xlfn.XLOOKUP(Table57[[#This Row],[Code]],Table1[[#All],[Code]],Table1[[#All],[Time]],,0,1),"")</f>
        <v/>
      </c>
      <c r="G702" s="25" t="str" cm="1">
        <f t="array" ref="G702">IFERROR(_xlfn.XLOOKUP(Table57[[#This Row],[Code]],Table1[[#All],[Code]],Table1[[#All],[Time]],,0,-1),"")</f>
        <v/>
      </c>
      <c r="H702" s="23" t="str">
        <f>IFERROR(IF(Table57[[#This Row],[Out]]&gt;=Table57[[#This Row],[In]],Table57[[#This Row],[Out]]-Table57[[#This Row],[In]],(0.5+Table57[[#This Row],[Out]])-Table57[[#This Row],[In]]),"")</f>
        <v/>
      </c>
      <c r="I702" s="31" t="str">
        <f>IFERROR(IF(Table57[[#This Row],[In]]&gt;$C$2,Table57[[#This Row],[In]]-$C$2,""),"")</f>
        <v/>
      </c>
      <c r="J702" s="31" t="str">
        <f>IF(Table57[[#This Row],[Work_Hours]]=0,"",(IF(Table57[[#This Row],[Out]]&lt;$C$3,$C$3-Table57[[#This Row],[Out]],"")))</f>
        <v/>
      </c>
      <c r="K702" s="32" t="str">
        <f>IFERROR(Table57[[#This Row],[In]]+$C$1,"")</f>
        <v/>
      </c>
      <c r="L702" s="29"/>
      <c r="M702" s="31" t="str">
        <f>IF($C$2&gt;Table57[[#This Row],[In]],$C$2-Table57[[#This Row],[In]],"")</f>
        <v/>
      </c>
      <c r="N702" s="29" t="str">
        <f>IFERROR(IF(Table57[[#This Row],[Out]]&gt;$C$3,(Table57[[#This Row],[Out]])-($C$3),""),"")</f>
        <v/>
      </c>
    </row>
    <row r="703" spans="1:14" hidden="1" x14ac:dyDescent="0.25">
      <c r="A703" s="23" t="str">
        <f>Table57[[#This Row],[No.]]&amp;Table57[[#This Row],[Date]]</f>
        <v>00</v>
      </c>
      <c r="B703" s="22">
        <f>'Unique Dates'!A700</f>
        <v>0</v>
      </c>
      <c r="C703" s="22" t="e" cm="1">
        <f t="array" ref="C703">_xlfn.XLOOKUP(Table57[[#This Row],[No.]],Table2[[#All],[CODE]],Table2[[#All],[NAME]],,0,1)</f>
        <v>#N/A</v>
      </c>
      <c r="D703" s="6">
        <f>'Unique Dates'!B700</f>
        <v>0</v>
      </c>
      <c r="E703" t="str">
        <f>TEXT(Table57[[#This Row],[Date]],"dddd")</f>
        <v>Saturday</v>
      </c>
      <c r="F703" s="25" t="str" cm="1">
        <f t="array" ref="F703">IFERROR(_xlfn.XLOOKUP(Table57[[#This Row],[Code]],Table1[[#All],[Code]],Table1[[#All],[Time]],,0,1),"")</f>
        <v/>
      </c>
      <c r="G703" s="25" t="str" cm="1">
        <f t="array" ref="G703">IFERROR(_xlfn.XLOOKUP(Table57[[#This Row],[Code]],Table1[[#All],[Code]],Table1[[#All],[Time]],,0,-1),"")</f>
        <v/>
      </c>
      <c r="H703" s="23" t="str">
        <f>IFERROR(IF(Table57[[#This Row],[Out]]&gt;=Table57[[#This Row],[In]],Table57[[#This Row],[Out]]-Table57[[#This Row],[In]],(0.5+Table57[[#This Row],[Out]])-Table57[[#This Row],[In]]),"")</f>
        <v/>
      </c>
      <c r="I703" s="31" t="str">
        <f>IFERROR(IF(Table57[[#This Row],[In]]&gt;$C$2,Table57[[#This Row],[In]]-$C$2,""),"")</f>
        <v/>
      </c>
      <c r="J703" s="31" t="str">
        <f>IF(Table57[[#This Row],[Work_Hours]]=0,"",(IF(Table57[[#This Row],[Out]]&lt;$C$3,$C$3-Table57[[#This Row],[Out]],"")))</f>
        <v/>
      </c>
      <c r="K703" s="32" t="str">
        <f>IFERROR(Table57[[#This Row],[In]]+$C$1,"")</f>
        <v/>
      </c>
      <c r="L703" s="29"/>
      <c r="M703" s="31" t="str">
        <f>IF($C$2&gt;Table57[[#This Row],[In]],$C$2-Table57[[#This Row],[In]],"")</f>
        <v/>
      </c>
      <c r="N703" s="29" t="str">
        <f>IFERROR(IF(Table57[[#This Row],[Out]]&gt;$C$3,(Table57[[#This Row],[Out]])-($C$3),""),"")</f>
        <v/>
      </c>
    </row>
    <row r="704" spans="1:14" hidden="1" x14ac:dyDescent="0.25">
      <c r="A704" s="23" t="str">
        <f>Table57[[#This Row],[No.]]&amp;Table57[[#This Row],[Date]]</f>
        <v>00</v>
      </c>
      <c r="B704" s="22">
        <f>'Unique Dates'!A701</f>
        <v>0</v>
      </c>
      <c r="C704" s="22" t="e" cm="1">
        <f t="array" ref="C704">_xlfn.XLOOKUP(Table57[[#This Row],[No.]],Table2[[#All],[CODE]],Table2[[#All],[NAME]],,0,1)</f>
        <v>#N/A</v>
      </c>
      <c r="D704" s="6">
        <f>'Unique Dates'!B701</f>
        <v>0</v>
      </c>
      <c r="E704" t="str">
        <f>TEXT(Table57[[#This Row],[Date]],"dddd")</f>
        <v>Saturday</v>
      </c>
      <c r="F704" s="25" t="str" cm="1">
        <f t="array" ref="F704">IFERROR(_xlfn.XLOOKUP(Table57[[#This Row],[Code]],Table1[[#All],[Code]],Table1[[#All],[Time]],,0,1),"")</f>
        <v/>
      </c>
      <c r="G704" s="25" t="str" cm="1">
        <f t="array" ref="G704">IFERROR(_xlfn.XLOOKUP(Table57[[#This Row],[Code]],Table1[[#All],[Code]],Table1[[#All],[Time]],,0,-1),"")</f>
        <v/>
      </c>
      <c r="H704" s="23" t="str">
        <f>IFERROR(IF(Table57[[#This Row],[Out]]&gt;=Table57[[#This Row],[In]],Table57[[#This Row],[Out]]-Table57[[#This Row],[In]],(0.5+Table57[[#This Row],[Out]])-Table57[[#This Row],[In]]),"")</f>
        <v/>
      </c>
      <c r="I704" s="31" t="str">
        <f>IFERROR(IF(Table57[[#This Row],[In]]&gt;$C$2,Table57[[#This Row],[In]]-$C$2,""),"")</f>
        <v/>
      </c>
      <c r="J704" s="31" t="str">
        <f>IF(Table57[[#This Row],[Work_Hours]]=0,"",(IF(Table57[[#This Row],[Out]]&lt;$C$3,$C$3-Table57[[#This Row],[Out]],"")))</f>
        <v/>
      </c>
      <c r="K704" s="32" t="str">
        <f>IFERROR(Table57[[#This Row],[In]]+$C$1,"")</f>
        <v/>
      </c>
      <c r="L704" s="29"/>
      <c r="M704" s="31" t="str">
        <f>IF($C$2&gt;Table57[[#This Row],[In]],$C$2-Table57[[#This Row],[In]],"")</f>
        <v/>
      </c>
      <c r="N704" s="29" t="str">
        <f>IFERROR(IF(Table57[[#This Row],[Out]]&gt;$C$3,(Table57[[#This Row],[Out]])-($C$3),""),"")</f>
        <v/>
      </c>
    </row>
    <row r="705" spans="1:14" hidden="1" x14ac:dyDescent="0.25">
      <c r="A705" s="23" t="str">
        <f>Table57[[#This Row],[No.]]&amp;Table57[[#This Row],[Date]]</f>
        <v>00</v>
      </c>
      <c r="B705" s="22">
        <f>'Unique Dates'!A702</f>
        <v>0</v>
      </c>
      <c r="C705" s="22" t="e" cm="1">
        <f t="array" ref="C705">_xlfn.XLOOKUP(Table57[[#This Row],[No.]],Table2[[#All],[CODE]],Table2[[#All],[NAME]],,0,1)</f>
        <v>#N/A</v>
      </c>
      <c r="D705" s="6">
        <f>'Unique Dates'!B702</f>
        <v>0</v>
      </c>
      <c r="E705" t="str">
        <f>TEXT(Table57[[#This Row],[Date]],"dddd")</f>
        <v>Saturday</v>
      </c>
      <c r="F705" s="25" t="str" cm="1">
        <f t="array" ref="F705">IFERROR(_xlfn.XLOOKUP(Table57[[#This Row],[Code]],Table1[[#All],[Code]],Table1[[#All],[Time]],,0,1),"")</f>
        <v/>
      </c>
      <c r="G705" s="25" t="str" cm="1">
        <f t="array" ref="G705">IFERROR(_xlfn.XLOOKUP(Table57[[#This Row],[Code]],Table1[[#All],[Code]],Table1[[#All],[Time]],,0,-1),"")</f>
        <v/>
      </c>
      <c r="H705" s="23" t="str">
        <f>IFERROR(IF(Table57[[#This Row],[Out]]&gt;=Table57[[#This Row],[In]],Table57[[#This Row],[Out]]-Table57[[#This Row],[In]],(0.5+Table57[[#This Row],[Out]])-Table57[[#This Row],[In]]),"")</f>
        <v/>
      </c>
      <c r="I705" s="31" t="str">
        <f>IFERROR(IF(Table57[[#This Row],[In]]&gt;$C$2,Table57[[#This Row],[In]]-$C$2,""),"")</f>
        <v/>
      </c>
      <c r="J705" s="31" t="str">
        <f>IF(Table57[[#This Row],[Work_Hours]]=0,"",(IF(Table57[[#This Row],[Out]]&lt;$C$3,$C$3-Table57[[#This Row],[Out]],"")))</f>
        <v/>
      </c>
      <c r="K705" s="32" t="str">
        <f>IFERROR(Table57[[#This Row],[In]]+$C$1,"")</f>
        <v/>
      </c>
      <c r="L705" s="29"/>
      <c r="M705" s="31" t="str">
        <f>IF($C$2&gt;Table57[[#This Row],[In]],$C$2-Table57[[#This Row],[In]],"")</f>
        <v/>
      </c>
      <c r="N705" s="29" t="str">
        <f>IFERROR(IF(Table57[[#This Row],[Out]]&gt;$C$3,(Table57[[#This Row],[Out]])-($C$3),""),"")</f>
        <v/>
      </c>
    </row>
    <row r="706" spans="1:14" hidden="1" x14ac:dyDescent="0.25">
      <c r="A706" s="23" t="str">
        <f>Table57[[#This Row],[No.]]&amp;Table57[[#This Row],[Date]]</f>
        <v>00</v>
      </c>
      <c r="B706" s="22">
        <f>'Unique Dates'!A703</f>
        <v>0</v>
      </c>
      <c r="C706" s="22" t="e" cm="1">
        <f t="array" ref="C706">_xlfn.XLOOKUP(Table57[[#This Row],[No.]],Table2[[#All],[CODE]],Table2[[#All],[NAME]],,0,1)</f>
        <v>#N/A</v>
      </c>
      <c r="D706" s="6">
        <f>'Unique Dates'!B703</f>
        <v>0</v>
      </c>
      <c r="E706" t="str">
        <f>TEXT(Table57[[#This Row],[Date]],"dddd")</f>
        <v>Saturday</v>
      </c>
      <c r="F706" s="25" t="str" cm="1">
        <f t="array" ref="F706">IFERROR(_xlfn.XLOOKUP(Table57[[#This Row],[Code]],Table1[[#All],[Code]],Table1[[#All],[Time]],,0,1),"")</f>
        <v/>
      </c>
      <c r="G706" s="25" t="str" cm="1">
        <f t="array" ref="G706">IFERROR(_xlfn.XLOOKUP(Table57[[#This Row],[Code]],Table1[[#All],[Code]],Table1[[#All],[Time]],,0,-1),"")</f>
        <v/>
      </c>
      <c r="H706" s="23" t="str">
        <f>IFERROR(IF(Table57[[#This Row],[Out]]&gt;=Table57[[#This Row],[In]],Table57[[#This Row],[Out]]-Table57[[#This Row],[In]],(0.5+Table57[[#This Row],[Out]])-Table57[[#This Row],[In]]),"")</f>
        <v/>
      </c>
      <c r="I706" s="31" t="str">
        <f>IFERROR(IF(Table57[[#This Row],[In]]&gt;$C$2,Table57[[#This Row],[In]]-$C$2,""),"")</f>
        <v/>
      </c>
      <c r="J706" s="31" t="str">
        <f>IF(Table57[[#This Row],[Work_Hours]]=0,"",(IF(Table57[[#This Row],[Out]]&lt;$C$3,$C$3-Table57[[#This Row],[Out]],"")))</f>
        <v/>
      </c>
      <c r="K706" s="32" t="str">
        <f>IFERROR(Table57[[#This Row],[In]]+$C$1,"")</f>
        <v/>
      </c>
      <c r="L706" s="29"/>
      <c r="M706" s="31" t="str">
        <f>IF($C$2&gt;Table57[[#This Row],[In]],$C$2-Table57[[#This Row],[In]],"")</f>
        <v/>
      </c>
      <c r="N706" s="29" t="str">
        <f>IFERROR(IF(Table57[[#This Row],[Out]]&gt;$C$3,(Table57[[#This Row],[Out]])-($C$3),""),"")</f>
        <v/>
      </c>
    </row>
    <row r="707" spans="1:14" hidden="1" x14ac:dyDescent="0.25">
      <c r="A707" s="23" t="str">
        <f>Table57[[#This Row],[No.]]&amp;Table57[[#This Row],[Date]]</f>
        <v>00</v>
      </c>
      <c r="B707" s="22">
        <f>'Unique Dates'!A704</f>
        <v>0</v>
      </c>
      <c r="C707" s="22" t="e" cm="1">
        <f t="array" ref="C707">_xlfn.XLOOKUP(Table57[[#This Row],[No.]],Table2[[#All],[CODE]],Table2[[#All],[NAME]],,0,1)</f>
        <v>#N/A</v>
      </c>
      <c r="D707" s="6">
        <f>'Unique Dates'!B704</f>
        <v>0</v>
      </c>
      <c r="E707" t="str">
        <f>TEXT(Table57[[#This Row],[Date]],"dddd")</f>
        <v>Saturday</v>
      </c>
      <c r="F707" s="25" t="str" cm="1">
        <f t="array" ref="F707">IFERROR(_xlfn.XLOOKUP(Table57[[#This Row],[Code]],Table1[[#All],[Code]],Table1[[#All],[Time]],,0,1),"")</f>
        <v/>
      </c>
      <c r="G707" s="25" t="str" cm="1">
        <f t="array" ref="G707">IFERROR(_xlfn.XLOOKUP(Table57[[#This Row],[Code]],Table1[[#All],[Code]],Table1[[#All],[Time]],,0,-1),"")</f>
        <v/>
      </c>
      <c r="H707" s="23" t="str">
        <f>IFERROR(IF(Table57[[#This Row],[Out]]&gt;=Table57[[#This Row],[In]],Table57[[#This Row],[Out]]-Table57[[#This Row],[In]],(0.5+Table57[[#This Row],[Out]])-Table57[[#This Row],[In]]),"")</f>
        <v/>
      </c>
      <c r="I707" s="31" t="str">
        <f>IFERROR(IF(Table57[[#This Row],[In]]&gt;$C$2,Table57[[#This Row],[In]]-$C$2,""),"")</f>
        <v/>
      </c>
      <c r="J707" s="31" t="str">
        <f>IF(Table57[[#This Row],[Work_Hours]]=0,"",(IF(Table57[[#This Row],[Out]]&lt;$C$3,$C$3-Table57[[#This Row],[Out]],"")))</f>
        <v/>
      </c>
      <c r="K707" s="32" t="str">
        <f>IFERROR(Table57[[#This Row],[In]]+$C$1,"")</f>
        <v/>
      </c>
      <c r="L707" s="29"/>
      <c r="M707" s="31" t="str">
        <f>IF($C$2&gt;Table57[[#This Row],[In]],$C$2-Table57[[#This Row],[In]],"")</f>
        <v/>
      </c>
      <c r="N707" s="29" t="str">
        <f>IFERROR(IF(Table57[[#This Row],[Out]]&gt;$C$3,(Table57[[#This Row],[Out]])-($C$3),""),"")</f>
        <v/>
      </c>
    </row>
    <row r="708" spans="1:14" hidden="1" x14ac:dyDescent="0.25">
      <c r="A708" s="23" t="str">
        <f>Table57[[#This Row],[No.]]&amp;Table57[[#This Row],[Date]]</f>
        <v>00</v>
      </c>
      <c r="B708" s="22">
        <f>'Unique Dates'!A705</f>
        <v>0</v>
      </c>
      <c r="C708" s="22" t="e" cm="1">
        <f t="array" ref="C708">_xlfn.XLOOKUP(Table57[[#This Row],[No.]],Table2[[#All],[CODE]],Table2[[#All],[NAME]],,0,1)</f>
        <v>#N/A</v>
      </c>
      <c r="D708" s="6">
        <f>'Unique Dates'!B705</f>
        <v>0</v>
      </c>
      <c r="E708" t="str">
        <f>TEXT(Table57[[#This Row],[Date]],"dddd")</f>
        <v>Saturday</v>
      </c>
      <c r="F708" s="25" t="str" cm="1">
        <f t="array" ref="F708">IFERROR(_xlfn.XLOOKUP(Table57[[#This Row],[Code]],Table1[[#All],[Code]],Table1[[#All],[Time]],,0,1),"")</f>
        <v/>
      </c>
      <c r="G708" s="25" t="str" cm="1">
        <f t="array" ref="G708">IFERROR(_xlfn.XLOOKUP(Table57[[#This Row],[Code]],Table1[[#All],[Code]],Table1[[#All],[Time]],,0,-1),"")</f>
        <v/>
      </c>
      <c r="H708" s="23" t="str">
        <f>IFERROR(IF(Table57[[#This Row],[Out]]&gt;=Table57[[#This Row],[In]],Table57[[#This Row],[Out]]-Table57[[#This Row],[In]],(0.5+Table57[[#This Row],[Out]])-Table57[[#This Row],[In]]),"")</f>
        <v/>
      </c>
      <c r="I708" s="31" t="str">
        <f>IFERROR(IF(Table57[[#This Row],[In]]&gt;$C$2,Table57[[#This Row],[In]]-$C$2,""),"")</f>
        <v/>
      </c>
      <c r="J708" s="31" t="str">
        <f>IF(Table57[[#This Row],[Work_Hours]]=0,"",(IF(Table57[[#This Row],[Out]]&lt;$C$3,$C$3-Table57[[#This Row],[Out]],"")))</f>
        <v/>
      </c>
      <c r="K708" s="32" t="str">
        <f>IFERROR(Table57[[#This Row],[In]]+$C$1,"")</f>
        <v/>
      </c>
      <c r="L708" s="29"/>
      <c r="M708" s="31" t="str">
        <f>IF($C$2&gt;Table57[[#This Row],[In]],$C$2-Table57[[#This Row],[In]],"")</f>
        <v/>
      </c>
      <c r="N708" s="29" t="str">
        <f>IFERROR(IF(Table57[[#This Row],[Out]]&gt;$C$3,(Table57[[#This Row],[Out]])-($C$3),""),"")</f>
        <v/>
      </c>
    </row>
    <row r="709" spans="1:14" hidden="1" x14ac:dyDescent="0.25">
      <c r="A709" s="23" t="str">
        <f>Table57[[#This Row],[No.]]&amp;Table57[[#This Row],[Date]]</f>
        <v>00</v>
      </c>
      <c r="B709" s="22">
        <f>'Unique Dates'!A706</f>
        <v>0</v>
      </c>
      <c r="C709" s="22" t="e" cm="1">
        <f t="array" ref="C709">_xlfn.XLOOKUP(Table57[[#This Row],[No.]],Table2[[#All],[CODE]],Table2[[#All],[NAME]],,0,1)</f>
        <v>#N/A</v>
      </c>
      <c r="D709" s="6">
        <f>'Unique Dates'!B706</f>
        <v>0</v>
      </c>
      <c r="E709" t="str">
        <f>TEXT(Table57[[#This Row],[Date]],"dddd")</f>
        <v>Saturday</v>
      </c>
      <c r="F709" s="25" t="str" cm="1">
        <f t="array" ref="F709">IFERROR(_xlfn.XLOOKUP(Table57[[#This Row],[Code]],Table1[[#All],[Code]],Table1[[#All],[Time]],,0,1),"")</f>
        <v/>
      </c>
      <c r="G709" s="25" t="str" cm="1">
        <f t="array" ref="G709">IFERROR(_xlfn.XLOOKUP(Table57[[#This Row],[Code]],Table1[[#All],[Code]],Table1[[#All],[Time]],,0,-1),"")</f>
        <v/>
      </c>
      <c r="H709" s="23" t="str">
        <f>IFERROR(IF(Table57[[#This Row],[Out]]&gt;=Table57[[#This Row],[In]],Table57[[#This Row],[Out]]-Table57[[#This Row],[In]],(0.5+Table57[[#This Row],[Out]])-Table57[[#This Row],[In]]),"")</f>
        <v/>
      </c>
      <c r="I709" s="31" t="str">
        <f>IFERROR(IF(Table57[[#This Row],[In]]&gt;$C$2,Table57[[#This Row],[In]]-$C$2,""),"")</f>
        <v/>
      </c>
      <c r="J709" s="31" t="str">
        <f>IF(Table57[[#This Row],[Work_Hours]]=0,"",(IF(Table57[[#This Row],[Out]]&lt;$C$3,$C$3-Table57[[#This Row],[Out]],"")))</f>
        <v/>
      </c>
      <c r="K709" s="32" t="str">
        <f>IFERROR(Table57[[#This Row],[In]]+$C$1,"")</f>
        <v/>
      </c>
      <c r="L709" s="29"/>
      <c r="M709" s="31" t="str">
        <f>IF($C$2&gt;Table57[[#This Row],[In]],$C$2-Table57[[#This Row],[In]],"")</f>
        <v/>
      </c>
      <c r="N709" s="29" t="str">
        <f>IFERROR(IF(Table57[[#This Row],[Out]]&gt;$C$3,(Table57[[#This Row],[Out]])-($C$3),""),"")</f>
        <v/>
      </c>
    </row>
    <row r="710" spans="1:14" hidden="1" x14ac:dyDescent="0.25">
      <c r="A710" s="23" t="str">
        <f>Table57[[#This Row],[No.]]&amp;Table57[[#This Row],[Date]]</f>
        <v>00</v>
      </c>
      <c r="B710" s="22">
        <f>'Unique Dates'!A707</f>
        <v>0</v>
      </c>
      <c r="C710" s="22" t="e" cm="1">
        <f t="array" ref="C710">_xlfn.XLOOKUP(Table57[[#This Row],[No.]],Table2[[#All],[CODE]],Table2[[#All],[NAME]],,0,1)</f>
        <v>#N/A</v>
      </c>
      <c r="D710" s="6">
        <f>'Unique Dates'!B707</f>
        <v>0</v>
      </c>
      <c r="E710" t="str">
        <f>TEXT(Table57[[#This Row],[Date]],"dddd")</f>
        <v>Saturday</v>
      </c>
      <c r="F710" s="25" t="str" cm="1">
        <f t="array" ref="F710">IFERROR(_xlfn.XLOOKUP(Table57[[#This Row],[Code]],Table1[[#All],[Code]],Table1[[#All],[Time]],,0,1),"")</f>
        <v/>
      </c>
      <c r="G710" s="25" t="str" cm="1">
        <f t="array" ref="G710">IFERROR(_xlfn.XLOOKUP(Table57[[#This Row],[Code]],Table1[[#All],[Code]],Table1[[#All],[Time]],,0,-1),"")</f>
        <v/>
      </c>
      <c r="H710" s="23" t="str">
        <f>IFERROR(IF(Table57[[#This Row],[Out]]&gt;=Table57[[#This Row],[In]],Table57[[#This Row],[Out]]-Table57[[#This Row],[In]],(0.5+Table57[[#This Row],[Out]])-Table57[[#This Row],[In]]),"")</f>
        <v/>
      </c>
      <c r="I710" s="31" t="str">
        <f>IFERROR(IF(Table57[[#This Row],[In]]&gt;$C$2,Table57[[#This Row],[In]]-$C$2,""),"")</f>
        <v/>
      </c>
      <c r="J710" s="31" t="str">
        <f>IF(Table57[[#This Row],[Work_Hours]]=0,"",(IF(Table57[[#This Row],[Out]]&lt;$C$3,$C$3-Table57[[#This Row],[Out]],"")))</f>
        <v/>
      </c>
      <c r="K710" s="32" t="str">
        <f>IFERROR(Table57[[#This Row],[In]]+$C$1,"")</f>
        <v/>
      </c>
      <c r="L710" s="29"/>
      <c r="M710" s="31" t="str">
        <f>IF($C$2&gt;Table57[[#This Row],[In]],$C$2-Table57[[#This Row],[In]],"")</f>
        <v/>
      </c>
      <c r="N710" s="29" t="str">
        <f>IFERROR(IF(Table57[[#This Row],[Out]]&gt;$C$3,(Table57[[#This Row],[Out]])-($C$3),""),"")</f>
        <v/>
      </c>
    </row>
    <row r="711" spans="1:14" hidden="1" x14ac:dyDescent="0.25">
      <c r="A711" s="23" t="str">
        <f>Table57[[#This Row],[No.]]&amp;Table57[[#This Row],[Date]]</f>
        <v>00</v>
      </c>
      <c r="B711" s="22">
        <f>'Unique Dates'!A708</f>
        <v>0</v>
      </c>
      <c r="C711" s="22" t="e" cm="1">
        <f t="array" ref="C711">_xlfn.XLOOKUP(Table57[[#This Row],[No.]],Table2[[#All],[CODE]],Table2[[#All],[NAME]],,0,1)</f>
        <v>#N/A</v>
      </c>
      <c r="D711" s="6">
        <f>'Unique Dates'!B708</f>
        <v>0</v>
      </c>
      <c r="E711" t="str">
        <f>TEXT(Table57[[#This Row],[Date]],"dddd")</f>
        <v>Saturday</v>
      </c>
      <c r="F711" s="25" t="str" cm="1">
        <f t="array" ref="F711">IFERROR(_xlfn.XLOOKUP(Table57[[#This Row],[Code]],Table1[[#All],[Code]],Table1[[#All],[Time]],,0,1),"")</f>
        <v/>
      </c>
      <c r="G711" s="25" t="str" cm="1">
        <f t="array" ref="G711">IFERROR(_xlfn.XLOOKUP(Table57[[#This Row],[Code]],Table1[[#All],[Code]],Table1[[#All],[Time]],,0,-1),"")</f>
        <v/>
      </c>
      <c r="H711" s="23" t="str">
        <f>IFERROR(IF(Table57[[#This Row],[Out]]&gt;=Table57[[#This Row],[In]],Table57[[#This Row],[Out]]-Table57[[#This Row],[In]],(0.5+Table57[[#This Row],[Out]])-Table57[[#This Row],[In]]),"")</f>
        <v/>
      </c>
      <c r="I711" s="31" t="str">
        <f>IFERROR(IF(Table57[[#This Row],[In]]&gt;$C$2,Table57[[#This Row],[In]]-$C$2,""),"")</f>
        <v/>
      </c>
      <c r="J711" s="31" t="str">
        <f>IF(Table57[[#This Row],[Work_Hours]]=0,"",(IF(Table57[[#This Row],[Out]]&lt;$C$3,$C$3-Table57[[#This Row],[Out]],"")))</f>
        <v/>
      </c>
      <c r="K711" s="32" t="str">
        <f>IFERROR(Table57[[#This Row],[In]]+$C$1,"")</f>
        <v/>
      </c>
      <c r="L711" s="29"/>
      <c r="M711" s="31" t="str">
        <f>IF($C$2&gt;Table57[[#This Row],[In]],$C$2-Table57[[#This Row],[In]],"")</f>
        <v/>
      </c>
      <c r="N711" s="29" t="str">
        <f>IFERROR(IF(Table57[[#This Row],[Out]]&gt;$C$3,(Table57[[#This Row],[Out]])-($C$3),""),"")</f>
        <v/>
      </c>
    </row>
    <row r="712" spans="1:14" hidden="1" x14ac:dyDescent="0.25">
      <c r="A712" s="23" t="str">
        <f>Table57[[#This Row],[No.]]&amp;Table57[[#This Row],[Date]]</f>
        <v>00</v>
      </c>
      <c r="B712" s="22">
        <f>'Unique Dates'!A709</f>
        <v>0</v>
      </c>
      <c r="C712" s="22" t="e" cm="1">
        <f t="array" ref="C712">_xlfn.XLOOKUP(Table57[[#This Row],[No.]],Table2[[#All],[CODE]],Table2[[#All],[NAME]],,0,1)</f>
        <v>#N/A</v>
      </c>
      <c r="D712" s="6">
        <f>'Unique Dates'!B709</f>
        <v>0</v>
      </c>
      <c r="E712" t="str">
        <f>TEXT(Table57[[#This Row],[Date]],"dddd")</f>
        <v>Saturday</v>
      </c>
      <c r="F712" s="25" t="str" cm="1">
        <f t="array" ref="F712">IFERROR(_xlfn.XLOOKUP(Table57[[#This Row],[Code]],Table1[[#All],[Code]],Table1[[#All],[Time]],,0,1),"")</f>
        <v/>
      </c>
      <c r="G712" s="25" t="str" cm="1">
        <f t="array" ref="G712">IFERROR(_xlfn.XLOOKUP(Table57[[#This Row],[Code]],Table1[[#All],[Code]],Table1[[#All],[Time]],,0,-1),"")</f>
        <v/>
      </c>
      <c r="H712" s="23" t="str">
        <f>IFERROR(IF(Table57[[#This Row],[Out]]&gt;=Table57[[#This Row],[In]],Table57[[#This Row],[Out]]-Table57[[#This Row],[In]],(0.5+Table57[[#This Row],[Out]])-Table57[[#This Row],[In]]),"")</f>
        <v/>
      </c>
      <c r="I712" s="31" t="str">
        <f>IFERROR(IF(Table57[[#This Row],[In]]&gt;$C$2,Table57[[#This Row],[In]]-$C$2,""),"")</f>
        <v/>
      </c>
      <c r="J712" s="31" t="str">
        <f>IF(Table57[[#This Row],[Work_Hours]]=0,"",(IF(Table57[[#This Row],[Out]]&lt;$C$3,$C$3-Table57[[#This Row],[Out]],"")))</f>
        <v/>
      </c>
      <c r="K712" s="32" t="str">
        <f>IFERROR(Table57[[#This Row],[In]]+$C$1,"")</f>
        <v/>
      </c>
      <c r="L712" s="29"/>
      <c r="M712" s="31" t="str">
        <f>IF($C$2&gt;Table57[[#This Row],[In]],$C$2-Table57[[#This Row],[In]],"")</f>
        <v/>
      </c>
      <c r="N712" s="29" t="str">
        <f>IFERROR(IF(Table57[[#This Row],[Out]]&gt;$C$3,(Table57[[#This Row],[Out]])-($C$3),""),"")</f>
        <v/>
      </c>
    </row>
    <row r="713" spans="1:14" hidden="1" x14ac:dyDescent="0.25">
      <c r="A713" s="23" t="str">
        <f>Table57[[#This Row],[No.]]&amp;Table57[[#This Row],[Date]]</f>
        <v>00</v>
      </c>
      <c r="B713" s="22">
        <f>'Unique Dates'!A710</f>
        <v>0</v>
      </c>
      <c r="C713" s="22" t="e" cm="1">
        <f t="array" ref="C713">_xlfn.XLOOKUP(Table57[[#This Row],[No.]],Table2[[#All],[CODE]],Table2[[#All],[NAME]],,0,1)</f>
        <v>#N/A</v>
      </c>
      <c r="D713" s="6">
        <f>'Unique Dates'!B710</f>
        <v>0</v>
      </c>
      <c r="E713" t="str">
        <f>TEXT(Table57[[#This Row],[Date]],"dddd")</f>
        <v>Saturday</v>
      </c>
      <c r="F713" s="25" t="str" cm="1">
        <f t="array" ref="F713">IFERROR(_xlfn.XLOOKUP(Table57[[#This Row],[Code]],Table1[[#All],[Code]],Table1[[#All],[Time]],,0,1),"")</f>
        <v/>
      </c>
      <c r="G713" s="25" t="str" cm="1">
        <f t="array" ref="G713">IFERROR(_xlfn.XLOOKUP(Table57[[#This Row],[Code]],Table1[[#All],[Code]],Table1[[#All],[Time]],,0,-1),"")</f>
        <v/>
      </c>
      <c r="H713" s="23" t="str">
        <f>IFERROR(IF(Table57[[#This Row],[Out]]&gt;=Table57[[#This Row],[In]],Table57[[#This Row],[Out]]-Table57[[#This Row],[In]],(0.5+Table57[[#This Row],[Out]])-Table57[[#This Row],[In]]),"")</f>
        <v/>
      </c>
      <c r="I713" s="31" t="str">
        <f>IFERROR(IF(Table57[[#This Row],[In]]&gt;$C$2,Table57[[#This Row],[In]]-$C$2,""),"")</f>
        <v/>
      </c>
      <c r="J713" s="31" t="str">
        <f>IF(Table57[[#This Row],[Work_Hours]]=0,"",(IF(Table57[[#This Row],[Out]]&lt;$C$3,$C$3-Table57[[#This Row],[Out]],"")))</f>
        <v/>
      </c>
      <c r="K713" s="32" t="str">
        <f>IFERROR(Table57[[#This Row],[In]]+$C$1,"")</f>
        <v/>
      </c>
      <c r="L713" s="29"/>
      <c r="M713" s="31" t="str">
        <f>IF($C$2&gt;Table57[[#This Row],[In]],$C$2-Table57[[#This Row],[In]],"")</f>
        <v/>
      </c>
      <c r="N713" s="29" t="str">
        <f>IFERROR(IF(Table57[[#This Row],[Out]]&gt;$C$3,(Table57[[#This Row],[Out]])-($C$3),""),"")</f>
        <v/>
      </c>
    </row>
    <row r="714" spans="1:14" hidden="1" x14ac:dyDescent="0.25">
      <c r="A714" s="23" t="str">
        <f>Table57[[#This Row],[No.]]&amp;Table57[[#This Row],[Date]]</f>
        <v>00</v>
      </c>
      <c r="B714" s="22">
        <f>'Unique Dates'!A711</f>
        <v>0</v>
      </c>
      <c r="C714" s="22" t="e" cm="1">
        <f t="array" ref="C714">_xlfn.XLOOKUP(Table57[[#This Row],[No.]],Table2[[#All],[CODE]],Table2[[#All],[NAME]],,0,1)</f>
        <v>#N/A</v>
      </c>
      <c r="D714" s="6">
        <f>'Unique Dates'!B711</f>
        <v>0</v>
      </c>
      <c r="E714" t="str">
        <f>TEXT(Table57[[#This Row],[Date]],"dddd")</f>
        <v>Saturday</v>
      </c>
      <c r="F714" s="25" t="str" cm="1">
        <f t="array" ref="F714">IFERROR(_xlfn.XLOOKUP(Table57[[#This Row],[Code]],Table1[[#All],[Code]],Table1[[#All],[Time]],,0,1),"")</f>
        <v/>
      </c>
      <c r="G714" s="25" t="str" cm="1">
        <f t="array" ref="G714">IFERROR(_xlfn.XLOOKUP(Table57[[#This Row],[Code]],Table1[[#All],[Code]],Table1[[#All],[Time]],,0,-1),"")</f>
        <v/>
      </c>
      <c r="H714" s="23" t="str">
        <f>IFERROR(IF(Table57[[#This Row],[Out]]&gt;=Table57[[#This Row],[In]],Table57[[#This Row],[Out]]-Table57[[#This Row],[In]],(0.5+Table57[[#This Row],[Out]])-Table57[[#This Row],[In]]),"")</f>
        <v/>
      </c>
      <c r="I714" s="31" t="str">
        <f>IFERROR(IF(Table57[[#This Row],[In]]&gt;$C$2,Table57[[#This Row],[In]]-$C$2,""),"")</f>
        <v/>
      </c>
      <c r="J714" s="31" t="str">
        <f>IF(Table57[[#This Row],[Work_Hours]]=0,"",(IF(Table57[[#This Row],[Out]]&lt;$C$3,$C$3-Table57[[#This Row],[Out]],"")))</f>
        <v/>
      </c>
      <c r="K714" s="32" t="str">
        <f>IFERROR(Table57[[#This Row],[In]]+$C$1,"")</f>
        <v/>
      </c>
      <c r="L714" s="29"/>
      <c r="M714" s="31" t="str">
        <f>IF($C$2&gt;Table57[[#This Row],[In]],$C$2-Table57[[#This Row],[In]],"")</f>
        <v/>
      </c>
      <c r="N714" s="29" t="str">
        <f>IFERROR(IF(Table57[[#This Row],[Out]]&gt;$C$3,(Table57[[#This Row],[Out]])-($C$3),""),"")</f>
        <v/>
      </c>
    </row>
    <row r="715" spans="1:14" hidden="1" x14ac:dyDescent="0.25">
      <c r="A715" s="23" t="str">
        <f>Table57[[#This Row],[No.]]&amp;Table57[[#This Row],[Date]]</f>
        <v>00</v>
      </c>
      <c r="B715" s="22">
        <f>'Unique Dates'!A712</f>
        <v>0</v>
      </c>
      <c r="C715" s="22" t="e" cm="1">
        <f t="array" ref="C715">_xlfn.XLOOKUP(Table57[[#This Row],[No.]],Table2[[#All],[CODE]],Table2[[#All],[NAME]],,0,1)</f>
        <v>#N/A</v>
      </c>
      <c r="D715" s="6">
        <f>'Unique Dates'!B712</f>
        <v>0</v>
      </c>
      <c r="E715" t="str">
        <f>TEXT(Table57[[#This Row],[Date]],"dddd")</f>
        <v>Saturday</v>
      </c>
      <c r="F715" s="25" t="str" cm="1">
        <f t="array" ref="F715">IFERROR(_xlfn.XLOOKUP(Table57[[#This Row],[Code]],Table1[[#All],[Code]],Table1[[#All],[Time]],,0,1),"")</f>
        <v/>
      </c>
      <c r="G715" s="25" t="str" cm="1">
        <f t="array" ref="G715">IFERROR(_xlfn.XLOOKUP(Table57[[#This Row],[Code]],Table1[[#All],[Code]],Table1[[#All],[Time]],,0,-1),"")</f>
        <v/>
      </c>
      <c r="H715" s="23" t="str">
        <f>IFERROR(IF(Table57[[#This Row],[Out]]&gt;=Table57[[#This Row],[In]],Table57[[#This Row],[Out]]-Table57[[#This Row],[In]],(0.5+Table57[[#This Row],[Out]])-Table57[[#This Row],[In]]),"")</f>
        <v/>
      </c>
      <c r="I715" s="31" t="str">
        <f>IFERROR(IF(Table57[[#This Row],[In]]&gt;$C$2,Table57[[#This Row],[In]]-$C$2,""),"")</f>
        <v/>
      </c>
      <c r="J715" s="31" t="str">
        <f>IF(Table57[[#This Row],[Work_Hours]]=0,"",(IF(Table57[[#This Row],[Out]]&lt;$C$3,$C$3-Table57[[#This Row],[Out]],"")))</f>
        <v/>
      </c>
      <c r="K715" s="32" t="str">
        <f>IFERROR(Table57[[#This Row],[In]]+$C$1,"")</f>
        <v/>
      </c>
      <c r="L715" s="29"/>
      <c r="M715" s="31" t="str">
        <f>IF($C$2&gt;Table57[[#This Row],[In]],$C$2-Table57[[#This Row],[In]],"")</f>
        <v/>
      </c>
      <c r="N715" s="29" t="str">
        <f>IFERROR(IF(Table57[[#This Row],[Out]]&gt;$C$3,(Table57[[#This Row],[Out]])-($C$3),""),"")</f>
        <v/>
      </c>
    </row>
    <row r="716" spans="1:14" hidden="1" x14ac:dyDescent="0.25">
      <c r="A716" s="23" t="str">
        <f>Table57[[#This Row],[No.]]&amp;Table57[[#This Row],[Date]]</f>
        <v>00</v>
      </c>
      <c r="B716" s="22">
        <f>'Unique Dates'!A713</f>
        <v>0</v>
      </c>
      <c r="C716" s="22" t="e" cm="1">
        <f t="array" ref="C716">_xlfn.XLOOKUP(Table57[[#This Row],[No.]],Table2[[#All],[CODE]],Table2[[#All],[NAME]],,0,1)</f>
        <v>#N/A</v>
      </c>
      <c r="D716" s="6">
        <f>'Unique Dates'!B713</f>
        <v>0</v>
      </c>
      <c r="E716" t="str">
        <f>TEXT(Table57[[#This Row],[Date]],"dddd")</f>
        <v>Saturday</v>
      </c>
      <c r="F716" s="25" t="str" cm="1">
        <f t="array" ref="F716">IFERROR(_xlfn.XLOOKUP(Table57[[#This Row],[Code]],Table1[[#All],[Code]],Table1[[#All],[Time]],,0,1),"")</f>
        <v/>
      </c>
      <c r="G716" s="25" t="str" cm="1">
        <f t="array" ref="G716">IFERROR(_xlfn.XLOOKUP(Table57[[#This Row],[Code]],Table1[[#All],[Code]],Table1[[#All],[Time]],,0,-1),"")</f>
        <v/>
      </c>
      <c r="H716" s="23" t="str">
        <f>IFERROR(IF(Table57[[#This Row],[Out]]&gt;=Table57[[#This Row],[In]],Table57[[#This Row],[Out]]-Table57[[#This Row],[In]],(0.5+Table57[[#This Row],[Out]])-Table57[[#This Row],[In]]),"")</f>
        <v/>
      </c>
      <c r="I716" s="31" t="str">
        <f>IFERROR(IF(Table57[[#This Row],[In]]&gt;$C$2,Table57[[#This Row],[In]]-$C$2,""),"")</f>
        <v/>
      </c>
      <c r="J716" s="31" t="str">
        <f>IF(Table57[[#This Row],[Work_Hours]]=0,"",(IF(Table57[[#This Row],[Out]]&lt;$C$3,$C$3-Table57[[#This Row],[Out]],"")))</f>
        <v/>
      </c>
      <c r="K716" s="32" t="str">
        <f>IFERROR(Table57[[#This Row],[In]]+$C$1,"")</f>
        <v/>
      </c>
      <c r="L716" s="29"/>
      <c r="M716" s="31" t="str">
        <f>IF($C$2&gt;Table57[[#This Row],[In]],$C$2-Table57[[#This Row],[In]],"")</f>
        <v/>
      </c>
      <c r="N716" s="29" t="str">
        <f>IFERROR(IF(Table57[[#This Row],[Out]]&gt;$C$3,(Table57[[#This Row],[Out]])-($C$3),""),"")</f>
        <v/>
      </c>
    </row>
    <row r="717" spans="1:14" hidden="1" x14ac:dyDescent="0.25">
      <c r="A717" s="23" t="str">
        <f>Table57[[#This Row],[No.]]&amp;Table57[[#This Row],[Date]]</f>
        <v>00</v>
      </c>
      <c r="B717" s="22">
        <f>'Unique Dates'!A714</f>
        <v>0</v>
      </c>
      <c r="C717" s="22" t="e" cm="1">
        <f t="array" ref="C717">_xlfn.XLOOKUP(Table57[[#This Row],[No.]],Table2[[#All],[CODE]],Table2[[#All],[NAME]],,0,1)</f>
        <v>#N/A</v>
      </c>
      <c r="D717" s="6">
        <f>'Unique Dates'!B714</f>
        <v>0</v>
      </c>
      <c r="E717" t="str">
        <f>TEXT(Table57[[#This Row],[Date]],"dddd")</f>
        <v>Saturday</v>
      </c>
      <c r="F717" s="25" t="str" cm="1">
        <f t="array" ref="F717">IFERROR(_xlfn.XLOOKUP(Table57[[#This Row],[Code]],Table1[[#All],[Code]],Table1[[#All],[Time]],,0,1),"")</f>
        <v/>
      </c>
      <c r="G717" s="25" t="str" cm="1">
        <f t="array" ref="G717">IFERROR(_xlfn.XLOOKUP(Table57[[#This Row],[Code]],Table1[[#All],[Code]],Table1[[#All],[Time]],,0,-1),"")</f>
        <v/>
      </c>
      <c r="H717" s="23" t="str">
        <f>IFERROR(IF(Table57[[#This Row],[Out]]&gt;=Table57[[#This Row],[In]],Table57[[#This Row],[Out]]-Table57[[#This Row],[In]],(0.5+Table57[[#This Row],[Out]])-Table57[[#This Row],[In]]),"")</f>
        <v/>
      </c>
      <c r="I717" s="31" t="str">
        <f>IFERROR(IF(Table57[[#This Row],[In]]&gt;$C$2,Table57[[#This Row],[In]]-$C$2,""),"")</f>
        <v/>
      </c>
      <c r="J717" s="31" t="str">
        <f>IF(Table57[[#This Row],[Work_Hours]]=0,"",(IF(Table57[[#This Row],[Out]]&lt;$C$3,$C$3-Table57[[#This Row],[Out]],"")))</f>
        <v/>
      </c>
      <c r="K717" s="32" t="str">
        <f>IFERROR(Table57[[#This Row],[In]]+$C$1,"")</f>
        <v/>
      </c>
      <c r="L717" s="29"/>
      <c r="M717" s="31" t="str">
        <f>IF($C$2&gt;Table57[[#This Row],[In]],$C$2-Table57[[#This Row],[In]],"")</f>
        <v/>
      </c>
      <c r="N717" s="29" t="str">
        <f>IFERROR(IF(Table57[[#This Row],[Out]]&gt;$C$3,(Table57[[#This Row],[Out]])-($C$3),""),"")</f>
        <v/>
      </c>
    </row>
    <row r="718" spans="1:14" hidden="1" x14ac:dyDescent="0.25">
      <c r="A718" s="23" t="str">
        <f>Table57[[#This Row],[No.]]&amp;Table57[[#This Row],[Date]]</f>
        <v>00</v>
      </c>
      <c r="B718" s="22">
        <f>'Unique Dates'!A715</f>
        <v>0</v>
      </c>
      <c r="C718" s="22" t="e" cm="1">
        <f t="array" ref="C718">_xlfn.XLOOKUP(Table57[[#This Row],[No.]],Table2[[#All],[CODE]],Table2[[#All],[NAME]],,0,1)</f>
        <v>#N/A</v>
      </c>
      <c r="D718" s="6">
        <f>'Unique Dates'!B715</f>
        <v>0</v>
      </c>
      <c r="E718" t="str">
        <f>TEXT(Table57[[#This Row],[Date]],"dddd")</f>
        <v>Saturday</v>
      </c>
      <c r="F718" s="25" t="str" cm="1">
        <f t="array" ref="F718">IFERROR(_xlfn.XLOOKUP(Table57[[#This Row],[Code]],Table1[[#All],[Code]],Table1[[#All],[Time]],,0,1),"")</f>
        <v/>
      </c>
      <c r="G718" s="25" t="str" cm="1">
        <f t="array" ref="G718">IFERROR(_xlfn.XLOOKUP(Table57[[#This Row],[Code]],Table1[[#All],[Code]],Table1[[#All],[Time]],,0,-1),"")</f>
        <v/>
      </c>
      <c r="H718" s="23" t="str">
        <f>IFERROR(IF(Table57[[#This Row],[Out]]&gt;=Table57[[#This Row],[In]],Table57[[#This Row],[Out]]-Table57[[#This Row],[In]],(0.5+Table57[[#This Row],[Out]])-Table57[[#This Row],[In]]),"")</f>
        <v/>
      </c>
      <c r="I718" s="31" t="str">
        <f>IFERROR(IF(Table57[[#This Row],[In]]&gt;$C$2,Table57[[#This Row],[In]]-$C$2,""),"")</f>
        <v/>
      </c>
      <c r="J718" s="31" t="str">
        <f>IF(Table57[[#This Row],[Work_Hours]]=0,"",(IF(Table57[[#This Row],[Out]]&lt;$C$3,$C$3-Table57[[#This Row],[Out]],"")))</f>
        <v/>
      </c>
      <c r="K718" s="32" t="str">
        <f>IFERROR(Table57[[#This Row],[In]]+$C$1,"")</f>
        <v/>
      </c>
      <c r="L718" s="29"/>
      <c r="M718" s="31" t="str">
        <f>IF($C$2&gt;Table57[[#This Row],[In]],$C$2-Table57[[#This Row],[In]],"")</f>
        <v/>
      </c>
      <c r="N718" s="29" t="str">
        <f>IFERROR(IF(Table57[[#This Row],[Out]]&gt;$C$3,(Table57[[#This Row],[Out]])-($C$3),""),"")</f>
        <v/>
      </c>
    </row>
    <row r="719" spans="1:14" hidden="1" x14ac:dyDescent="0.25">
      <c r="A719" s="23" t="str">
        <f>Table57[[#This Row],[No.]]&amp;Table57[[#This Row],[Date]]</f>
        <v>00</v>
      </c>
      <c r="B719" s="22">
        <f>'Unique Dates'!A716</f>
        <v>0</v>
      </c>
      <c r="C719" s="22" t="e" cm="1">
        <f t="array" ref="C719">_xlfn.XLOOKUP(Table57[[#This Row],[No.]],Table2[[#All],[CODE]],Table2[[#All],[NAME]],,0,1)</f>
        <v>#N/A</v>
      </c>
      <c r="D719" s="6">
        <f>'Unique Dates'!B716</f>
        <v>0</v>
      </c>
      <c r="E719" t="str">
        <f>TEXT(Table57[[#This Row],[Date]],"dddd")</f>
        <v>Saturday</v>
      </c>
      <c r="F719" s="25" t="str" cm="1">
        <f t="array" ref="F719">IFERROR(_xlfn.XLOOKUP(Table57[[#This Row],[Code]],Table1[[#All],[Code]],Table1[[#All],[Time]],,0,1),"")</f>
        <v/>
      </c>
      <c r="G719" s="25" t="str" cm="1">
        <f t="array" ref="G719">IFERROR(_xlfn.XLOOKUP(Table57[[#This Row],[Code]],Table1[[#All],[Code]],Table1[[#All],[Time]],,0,-1),"")</f>
        <v/>
      </c>
      <c r="H719" s="23" t="str">
        <f>IFERROR(IF(Table57[[#This Row],[Out]]&gt;=Table57[[#This Row],[In]],Table57[[#This Row],[Out]]-Table57[[#This Row],[In]],(0.5+Table57[[#This Row],[Out]])-Table57[[#This Row],[In]]),"")</f>
        <v/>
      </c>
      <c r="I719" s="31" t="str">
        <f>IFERROR(IF(Table57[[#This Row],[In]]&gt;$C$2,Table57[[#This Row],[In]]-$C$2,""),"")</f>
        <v/>
      </c>
      <c r="J719" s="31" t="str">
        <f>IF(Table57[[#This Row],[Work_Hours]]=0,"",(IF(Table57[[#This Row],[Out]]&lt;$C$3,$C$3-Table57[[#This Row],[Out]],"")))</f>
        <v/>
      </c>
      <c r="K719" s="32" t="str">
        <f>IFERROR(Table57[[#This Row],[In]]+$C$1,"")</f>
        <v/>
      </c>
      <c r="L719" s="29"/>
      <c r="M719" s="31" t="str">
        <f>IF($C$2&gt;Table57[[#This Row],[In]],$C$2-Table57[[#This Row],[In]],"")</f>
        <v/>
      </c>
      <c r="N719" s="29" t="str">
        <f>IFERROR(IF(Table57[[#This Row],[Out]]&gt;$C$3,(Table57[[#This Row],[Out]])-($C$3),""),"")</f>
        <v/>
      </c>
    </row>
    <row r="720" spans="1:14" hidden="1" x14ac:dyDescent="0.25">
      <c r="A720" s="23" t="str">
        <f>Table57[[#This Row],[No.]]&amp;Table57[[#This Row],[Date]]</f>
        <v>00</v>
      </c>
      <c r="B720" s="22">
        <f>'Unique Dates'!A717</f>
        <v>0</v>
      </c>
      <c r="C720" s="22" t="e" cm="1">
        <f t="array" ref="C720">_xlfn.XLOOKUP(Table57[[#This Row],[No.]],Table2[[#All],[CODE]],Table2[[#All],[NAME]],,0,1)</f>
        <v>#N/A</v>
      </c>
      <c r="D720" s="6">
        <f>'Unique Dates'!B717</f>
        <v>0</v>
      </c>
      <c r="E720" t="str">
        <f>TEXT(Table57[[#This Row],[Date]],"dddd")</f>
        <v>Saturday</v>
      </c>
      <c r="F720" s="25" t="str" cm="1">
        <f t="array" ref="F720">IFERROR(_xlfn.XLOOKUP(Table57[[#This Row],[Code]],Table1[[#All],[Code]],Table1[[#All],[Time]],,0,1),"")</f>
        <v/>
      </c>
      <c r="G720" s="25" t="str" cm="1">
        <f t="array" ref="G720">IFERROR(_xlfn.XLOOKUP(Table57[[#This Row],[Code]],Table1[[#All],[Code]],Table1[[#All],[Time]],,0,-1),"")</f>
        <v/>
      </c>
      <c r="H720" s="23" t="str">
        <f>IFERROR(IF(Table57[[#This Row],[Out]]&gt;=Table57[[#This Row],[In]],Table57[[#This Row],[Out]]-Table57[[#This Row],[In]],(0.5+Table57[[#This Row],[Out]])-Table57[[#This Row],[In]]),"")</f>
        <v/>
      </c>
      <c r="I720" s="31" t="str">
        <f>IFERROR(IF(Table57[[#This Row],[In]]&gt;$C$2,Table57[[#This Row],[In]]-$C$2,""),"")</f>
        <v/>
      </c>
      <c r="J720" s="31" t="str">
        <f>IF(Table57[[#This Row],[Work_Hours]]=0,"",(IF(Table57[[#This Row],[Out]]&lt;$C$3,$C$3-Table57[[#This Row],[Out]],"")))</f>
        <v/>
      </c>
      <c r="K720" s="32" t="str">
        <f>IFERROR(Table57[[#This Row],[In]]+$C$1,"")</f>
        <v/>
      </c>
      <c r="L720" s="29"/>
      <c r="M720" s="31" t="str">
        <f>IF($C$2&gt;Table57[[#This Row],[In]],$C$2-Table57[[#This Row],[In]],"")</f>
        <v/>
      </c>
      <c r="N720" s="29" t="str">
        <f>IFERROR(IF(Table57[[#This Row],[Out]]&gt;$C$3,(Table57[[#This Row],[Out]])-($C$3),""),"")</f>
        <v/>
      </c>
    </row>
    <row r="721" spans="1:14" hidden="1" x14ac:dyDescent="0.25">
      <c r="A721" s="23" t="str">
        <f>Table57[[#This Row],[No.]]&amp;Table57[[#This Row],[Date]]</f>
        <v>00</v>
      </c>
      <c r="B721" s="22">
        <f>'Unique Dates'!A718</f>
        <v>0</v>
      </c>
      <c r="C721" s="22" t="e" cm="1">
        <f t="array" ref="C721">_xlfn.XLOOKUP(Table57[[#This Row],[No.]],Table2[[#All],[CODE]],Table2[[#All],[NAME]],,0,1)</f>
        <v>#N/A</v>
      </c>
      <c r="D721" s="6">
        <f>'Unique Dates'!B718</f>
        <v>0</v>
      </c>
      <c r="E721" t="str">
        <f>TEXT(Table57[[#This Row],[Date]],"dddd")</f>
        <v>Saturday</v>
      </c>
      <c r="F721" s="25" t="str" cm="1">
        <f t="array" ref="F721">IFERROR(_xlfn.XLOOKUP(Table57[[#This Row],[Code]],Table1[[#All],[Code]],Table1[[#All],[Time]],,0,1),"")</f>
        <v/>
      </c>
      <c r="G721" s="25" t="str" cm="1">
        <f t="array" ref="G721">IFERROR(_xlfn.XLOOKUP(Table57[[#This Row],[Code]],Table1[[#All],[Code]],Table1[[#All],[Time]],,0,-1),"")</f>
        <v/>
      </c>
      <c r="H721" s="23" t="str">
        <f>IFERROR(IF(Table57[[#This Row],[Out]]&gt;=Table57[[#This Row],[In]],Table57[[#This Row],[Out]]-Table57[[#This Row],[In]],(0.5+Table57[[#This Row],[Out]])-Table57[[#This Row],[In]]),"")</f>
        <v/>
      </c>
      <c r="I721" s="31" t="str">
        <f>IFERROR(IF(Table57[[#This Row],[In]]&gt;$C$2,Table57[[#This Row],[In]]-$C$2,""),"")</f>
        <v/>
      </c>
      <c r="J721" s="31" t="str">
        <f>IF(Table57[[#This Row],[Work_Hours]]=0,"",(IF(Table57[[#This Row],[Out]]&lt;$C$3,$C$3-Table57[[#This Row],[Out]],"")))</f>
        <v/>
      </c>
      <c r="K721" s="32" t="str">
        <f>IFERROR(Table57[[#This Row],[In]]+$C$1,"")</f>
        <v/>
      </c>
      <c r="L721" s="29"/>
      <c r="M721" s="31" t="str">
        <f>IF($C$2&gt;Table57[[#This Row],[In]],$C$2-Table57[[#This Row],[In]],"")</f>
        <v/>
      </c>
      <c r="N721" s="29" t="str">
        <f>IFERROR(IF(Table57[[#This Row],[Out]]&gt;$C$3,(Table57[[#This Row],[Out]])-($C$3),""),"")</f>
        <v/>
      </c>
    </row>
    <row r="722" spans="1:14" hidden="1" x14ac:dyDescent="0.25">
      <c r="A722" s="23" t="str">
        <f>Table57[[#This Row],[No.]]&amp;Table57[[#This Row],[Date]]</f>
        <v>00</v>
      </c>
      <c r="B722" s="22">
        <f>'Unique Dates'!A719</f>
        <v>0</v>
      </c>
      <c r="C722" s="22" t="e" cm="1">
        <f t="array" ref="C722">_xlfn.XLOOKUP(Table57[[#This Row],[No.]],Table2[[#All],[CODE]],Table2[[#All],[NAME]],,0,1)</f>
        <v>#N/A</v>
      </c>
      <c r="D722" s="6">
        <f>'Unique Dates'!B719</f>
        <v>0</v>
      </c>
      <c r="E722" t="str">
        <f>TEXT(Table57[[#This Row],[Date]],"dddd")</f>
        <v>Saturday</v>
      </c>
      <c r="F722" s="25" t="str" cm="1">
        <f t="array" ref="F722">IFERROR(_xlfn.XLOOKUP(Table57[[#This Row],[Code]],Table1[[#All],[Code]],Table1[[#All],[Time]],,0,1),"")</f>
        <v/>
      </c>
      <c r="G722" s="25" t="str" cm="1">
        <f t="array" ref="G722">IFERROR(_xlfn.XLOOKUP(Table57[[#This Row],[Code]],Table1[[#All],[Code]],Table1[[#All],[Time]],,0,-1),"")</f>
        <v/>
      </c>
      <c r="H722" s="23" t="str">
        <f>IFERROR(IF(Table57[[#This Row],[Out]]&gt;=Table57[[#This Row],[In]],Table57[[#This Row],[Out]]-Table57[[#This Row],[In]],(0.5+Table57[[#This Row],[Out]])-Table57[[#This Row],[In]]),"")</f>
        <v/>
      </c>
      <c r="I722" s="31" t="str">
        <f>IFERROR(IF(Table57[[#This Row],[In]]&gt;$C$2,Table57[[#This Row],[In]]-$C$2,""),"")</f>
        <v/>
      </c>
      <c r="J722" s="31" t="str">
        <f>IF(Table57[[#This Row],[Work_Hours]]=0,"",(IF(Table57[[#This Row],[Out]]&lt;$C$3,$C$3-Table57[[#This Row],[Out]],"")))</f>
        <v/>
      </c>
      <c r="K722" s="32" t="str">
        <f>IFERROR(Table57[[#This Row],[In]]+$C$1,"")</f>
        <v/>
      </c>
      <c r="L722" s="29"/>
      <c r="M722" s="31" t="str">
        <f>IF($C$2&gt;Table57[[#This Row],[In]],$C$2-Table57[[#This Row],[In]],"")</f>
        <v/>
      </c>
      <c r="N722" s="29" t="str">
        <f>IFERROR(IF(Table57[[#This Row],[Out]]&gt;$C$3,(Table57[[#This Row],[Out]])-($C$3),""),"")</f>
        <v/>
      </c>
    </row>
    <row r="723" spans="1:14" hidden="1" x14ac:dyDescent="0.25">
      <c r="A723" s="23" t="str">
        <f>Table57[[#This Row],[No.]]&amp;Table57[[#This Row],[Date]]</f>
        <v>00</v>
      </c>
      <c r="B723" s="22">
        <f>'Unique Dates'!A720</f>
        <v>0</v>
      </c>
      <c r="C723" s="22" t="e" cm="1">
        <f t="array" ref="C723">_xlfn.XLOOKUP(Table57[[#This Row],[No.]],Table2[[#All],[CODE]],Table2[[#All],[NAME]],,0,1)</f>
        <v>#N/A</v>
      </c>
      <c r="D723" s="6">
        <f>'Unique Dates'!B720</f>
        <v>0</v>
      </c>
      <c r="E723" t="str">
        <f>TEXT(Table57[[#This Row],[Date]],"dddd")</f>
        <v>Saturday</v>
      </c>
      <c r="F723" s="25" t="str" cm="1">
        <f t="array" ref="F723">IFERROR(_xlfn.XLOOKUP(Table57[[#This Row],[Code]],Table1[[#All],[Code]],Table1[[#All],[Time]],,0,1),"")</f>
        <v/>
      </c>
      <c r="G723" s="25" t="str" cm="1">
        <f t="array" ref="G723">IFERROR(_xlfn.XLOOKUP(Table57[[#This Row],[Code]],Table1[[#All],[Code]],Table1[[#All],[Time]],,0,-1),"")</f>
        <v/>
      </c>
      <c r="H723" s="23" t="str">
        <f>IFERROR(IF(Table57[[#This Row],[Out]]&gt;=Table57[[#This Row],[In]],Table57[[#This Row],[Out]]-Table57[[#This Row],[In]],(0.5+Table57[[#This Row],[Out]])-Table57[[#This Row],[In]]),"")</f>
        <v/>
      </c>
      <c r="I723" s="31" t="str">
        <f>IFERROR(IF(Table57[[#This Row],[In]]&gt;$C$2,Table57[[#This Row],[In]]-$C$2,""),"")</f>
        <v/>
      </c>
      <c r="J723" s="31" t="str">
        <f>IF(Table57[[#This Row],[Work_Hours]]=0,"",(IF(Table57[[#This Row],[Out]]&lt;$C$3,$C$3-Table57[[#This Row],[Out]],"")))</f>
        <v/>
      </c>
      <c r="K723" s="32" t="str">
        <f>IFERROR(Table57[[#This Row],[In]]+$C$1,"")</f>
        <v/>
      </c>
      <c r="L723" s="29"/>
      <c r="M723" s="31" t="str">
        <f>IF($C$2&gt;Table57[[#This Row],[In]],$C$2-Table57[[#This Row],[In]],"")</f>
        <v/>
      </c>
      <c r="N723" s="29" t="str">
        <f>IFERROR(IF(Table57[[#This Row],[Out]]&gt;$C$3,(Table57[[#This Row],[Out]])-($C$3),""),"")</f>
        <v/>
      </c>
    </row>
    <row r="724" spans="1:14" hidden="1" x14ac:dyDescent="0.25">
      <c r="A724" s="23" t="str">
        <f>Table57[[#This Row],[No.]]&amp;Table57[[#This Row],[Date]]</f>
        <v>00</v>
      </c>
      <c r="B724" s="22">
        <f>'Unique Dates'!A721</f>
        <v>0</v>
      </c>
      <c r="C724" s="22" t="e" cm="1">
        <f t="array" ref="C724">_xlfn.XLOOKUP(Table57[[#This Row],[No.]],Table2[[#All],[CODE]],Table2[[#All],[NAME]],,0,1)</f>
        <v>#N/A</v>
      </c>
      <c r="D724" s="6">
        <f>'Unique Dates'!B721</f>
        <v>0</v>
      </c>
      <c r="E724" t="str">
        <f>TEXT(Table57[[#This Row],[Date]],"dddd")</f>
        <v>Saturday</v>
      </c>
      <c r="F724" s="25" t="str" cm="1">
        <f t="array" ref="F724">IFERROR(_xlfn.XLOOKUP(Table57[[#This Row],[Code]],Table1[[#All],[Code]],Table1[[#All],[Time]],,0,1),"")</f>
        <v/>
      </c>
      <c r="G724" s="25" t="str" cm="1">
        <f t="array" ref="G724">IFERROR(_xlfn.XLOOKUP(Table57[[#This Row],[Code]],Table1[[#All],[Code]],Table1[[#All],[Time]],,0,-1),"")</f>
        <v/>
      </c>
      <c r="H724" s="23" t="str">
        <f>IFERROR(IF(Table57[[#This Row],[Out]]&gt;=Table57[[#This Row],[In]],Table57[[#This Row],[Out]]-Table57[[#This Row],[In]],(0.5+Table57[[#This Row],[Out]])-Table57[[#This Row],[In]]),"")</f>
        <v/>
      </c>
      <c r="I724" s="31" t="str">
        <f>IFERROR(IF(Table57[[#This Row],[In]]&gt;$C$2,Table57[[#This Row],[In]]-$C$2,""),"")</f>
        <v/>
      </c>
      <c r="J724" s="31" t="str">
        <f>IF(Table57[[#This Row],[Work_Hours]]=0,"",(IF(Table57[[#This Row],[Out]]&lt;$C$3,$C$3-Table57[[#This Row],[Out]],"")))</f>
        <v/>
      </c>
      <c r="K724" s="32" t="str">
        <f>IFERROR(Table57[[#This Row],[In]]+$C$1,"")</f>
        <v/>
      </c>
      <c r="L724" s="29"/>
      <c r="M724" s="31" t="str">
        <f>IF($C$2&gt;Table57[[#This Row],[In]],$C$2-Table57[[#This Row],[In]],"")</f>
        <v/>
      </c>
      <c r="N724" s="29" t="str">
        <f>IFERROR(IF(Table57[[#This Row],[Out]]&gt;$C$3,(Table57[[#This Row],[Out]])-($C$3),""),"")</f>
        <v/>
      </c>
    </row>
    <row r="725" spans="1:14" hidden="1" x14ac:dyDescent="0.25">
      <c r="A725" s="23" t="str">
        <f>Table57[[#This Row],[No.]]&amp;Table57[[#This Row],[Date]]</f>
        <v>00</v>
      </c>
      <c r="B725" s="22">
        <f>'Unique Dates'!A722</f>
        <v>0</v>
      </c>
      <c r="C725" s="22" t="e" cm="1">
        <f t="array" ref="C725">_xlfn.XLOOKUP(Table57[[#This Row],[No.]],Table2[[#All],[CODE]],Table2[[#All],[NAME]],,0,1)</f>
        <v>#N/A</v>
      </c>
      <c r="D725" s="6">
        <f>'Unique Dates'!B722</f>
        <v>0</v>
      </c>
      <c r="E725" t="str">
        <f>TEXT(Table57[[#This Row],[Date]],"dddd")</f>
        <v>Saturday</v>
      </c>
      <c r="F725" s="25" t="str" cm="1">
        <f t="array" ref="F725">IFERROR(_xlfn.XLOOKUP(Table57[[#This Row],[Code]],Table1[[#All],[Code]],Table1[[#All],[Time]],,0,1),"")</f>
        <v/>
      </c>
      <c r="G725" s="25" t="str" cm="1">
        <f t="array" ref="G725">IFERROR(_xlfn.XLOOKUP(Table57[[#This Row],[Code]],Table1[[#All],[Code]],Table1[[#All],[Time]],,0,-1),"")</f>
        <v/>
      </c>
      <c r="H725" s="23" t="str">
        <f>IFERROR(IF(Table57[[#This Row],[Out]]&gt;=Table57[[#This Row],[In]],Table57[[#This Row],[Out]]-Table57[[#This Row],[In]],(0.5+Table57[[#This Row],[Out]])-Table57[[#This Row],[In]]),"")</f>
        <v/>
      </c>
      <c r="I725" s="31" t="str">
        <f>IFERROR(IF(Table57[[#This Row],[In]]&gt;$C$2,Table57[[#This Row],[In]]-$C$2,""),"")</f>
        <v/>
      </c>
      <c r="J725" s="31" t="str">
        <f>IF(Table57[[#This Row],[Work_Hours]]=0,"",(IF(Table57[[#This Row],[Out]]&lt;$C$3,$C$3-Table57[[#This Row],[Out]],"")))</f>
        <v/>
      </c>
      <c r="K725" s="32" t="str">
        <f>IFERROR(Table57[[#This Row],[In]]+$C$1,"")</f>
        <v/>
      </c>
      <c r="L725" s="29"/>
      <c r="M725" s="31" t="str">
        <f>IF($C$2&gt;Table57[[#This Row],[In]],$C$2-Table57[[#This Row],[In]],"")</f>
        <v/>
      </c>
      <c r="N725" s="29" t="str">
        <f>IFERROR(IF(Table57[[#This Row],[Out]]&gt;$C$3,(Table57[[#This Row],[Out]])-($C$3),""),"")</f>
        <v/>
      </c>
    </row>
    <row r="726" spans="1:14" hidden="1" x14ac:dyDescent="0.25">
      <c r="A726" s="23" t="str">
        <f>Table57[[#This Row],[No.]]&amp;Table57[[#This Row],[Date]]</f>
        <v>00</v>
      </c>
      <c r="B726" s="22">
        <f>'Unique Dates'!A723</f>
        <v>0</v>
      </c>
      <c r="C726" s="22" t="e" cm="1">
        <f t="array" ref="C726">_xlfn.XLOOKUP(Table57[[#This Row],[No.]],Table2[[#All],[CODE]],Table2[[#All],[NAME]],,0,1)</f>
        <v>#N/A</v>
      </c>
      <c r="D726" s="6">
        <f>'Unique Dates'!B723</f>
        <v>0</v>
      </c>
      <c r="E726" t="str">
        <f>TEXT(Table57[[#This Row],[Date]],"dddd")</f>
        <v>Saturday</v>
      </c>
      <c r="F726" s="25" t="str" cm="1">
        <f t="array" ref="F726">IFERROR(_xlfn.XLOOKUP(Table57[[#This Row],[Code]],Table1[[#All],[Code]],Table1[[#All],[Time]],,0,1),"")</f>
        <v/>
      </c>
      <c r="G726" s="25" t="str" cm="1">
        <f t="array" ref="G726">IFERROR(_xlfn.XLOOKUP(Table57[[#This Row],[Code]],Table1[[#All],[Code]],Table1[[#All],[Time]],,0,-1),"")</f>
        <v/>
      </c>
      <c r="H726" s="23" t="str">
        <f>IFERROR(IF(Table57[[#This Row],[Out]]&gt;=Table57[[#This Row],[In]],Table57[[#This Row],[Out]]-Table57[[#This Row],[In]],(0.5+Table57[[#This Row],[Out]])-Table57[[#This Row],[In]]),"")</f>
        <v/>
      </c>
      <c r="I726" s="31" t="str">
        <f>IFERROR(IF(Table57[[#This Row],[In]]&gt;$C$2,Table57[[#This Row],[In]]-$C$2,""),"")</f>
        <v/>
      </c>
      <c r="J726" s="31" t="str">
        <f>IF(Table57[[#This Row],[Work_Hours]]=0,"",(IF(Table57[[#This Row],[Out]]&lt;$C$3,$C$3-Table57[[#This Row],[Out]],"")))</f>
        <v/>
      </c>
      <c r="K726" s="32" t="str">
        <f>IFERROR(Table57[[#This Row],[In]]+$C$1,"")</f>
        <v/>
      </c>
      <c r="L726" s="29"/>
      <c r="M726" s="31" t="str">
        <f>IF($C$2&gt;Table57[[#This Row],[In]],$C$2-Table57[[#This Row],[In]],"")</f>
        <v/>
      </c>
      <c r="N726" s="29" t="str">
        <f>IFERROR(IF(Table57[[#This Row],[Out]]&gt;$C$3,(Table57[[#This Row],[Out]])-($C$3),""),"")</f>
        <v/>
      </c>
    </row>
    <row r="727" spans="1:14" hidden="1" x14ac:dyDescent="0.25">
      <c r="A727" s="23" t="str">
        <f>Table57[[#This Row],[No.]]&amp;Table57[[#This Row],[Date]]</f>
        <v>00</v>
      </c>
      <c r="B727" s="22">
        <f>'Unique Dates'!A724</f>
        <v>0</v>
      </c>
      <c r="C727" s="22" t="e" cm="1">
        <f t="array" ref="C727">_xlfn.XLOOKUP(Table57[[#This Row],[No.]],Table2[[#All],[CODE]],Table2[[#All],[NAME]],,0,1)</f>
        <v>#N/A</v>
      </c>
      <c r="D727" s="6">
        <f>'Unique Dates'!B724</f>
        <v>0</v>
      </c>
      <c r="E727" t="str">
        <f>TEXT(Table57[[#This Row],[Date]],"dddd")</f>
        <v>Saturday</v>
      </c>
      <c r="F727" s="25" t="str" cm="1">
        <f t="array" ref="F727">IFERROR(_xlfn.XLOOKUP(Table57[[#This Row],[Code]],Table1[[#All],[Code]],Table1[[#All],[Time]],,0,1),"")</f>
        <v/>
      </c>
      <c r="G727" s="25" t="str" cm="1">
        <f t="array" ref="G727">IFERROR(_xlfn.XLOOKUP(Table57[[#This Row],[Code]],Table1[[#All],[Code]],Table1[[#All],[Time]],,0,-1),"")</f>
        <v/>
      </c>
      <c r="H727" s="23" t="str">
        <f>IFERROR(IF(Table57[[#This Row],[Out]]&gt;=Table57[[#This Row],[In]],Table57[[#This Row],[Out]]-Table57[[#This Row],[In]],(0.5+Table57[[#This Row],[Out]])-Table57[[#This Row],[In]]),"")</f>
        <v/>
      </c>
      <c r="I727" s="31" t="str">
        <f>IFERROR(IF(Table57[[#This Row],[In]]&gt;$C$2,Table57[[#This Row],[In]]-$C$2,""),"")</f>
        <v/>
      </c>
      <c r="J727" s="31" t="str">
        <f>IF(Table57[[#This Row],[Work_Hours]]=0,"",(IF(Table57[[#This Row],[Out]]&lt;$C$3,$C$3-Table57[[#This Row],[Out]],"")))</f>
        <v/>
      </c>
      <c r="K727" s="32" t="str">
        <f>IFERROR(Table57[[#This Row],[In]]+$C$1,"")</f>
        <v/>
      </c>
      <c r="L727" s="29"/>
      <c r="M727" s="31" t="str">
        <f>IF($C$2&gt;Table57[[#This Row],[In]],$C$2-Table57[[#This Row],[In]],"")</f>
        <v/>
      </c>
      <c r="N727" s="29" t="str">
        <f>IFERROR(IF(Table57[[#This Row],[Out]]&gt;$C$3,(Table57[[#This Row],[Out]])-($C$3),""),"")</f>
        <v/>
      </c>
    </row>
    <row r="728" spans="1:14" hidden="1" x14ac:dyDescent="0.25">
      <c r="A728" s="23" t="str">
        <f>Table57[[#This Row],[No.]]&amp;Table57[[#This Row],[Date]]</f>
        <v>00</v>
      </c>
      <c r="B728" s="22">
        <f>'Unique Dates'!A725</f>
        <v>0</v>
      </c>
      <c r="C728" s="22" t="e" cm="1">
        <f t="array" ref="C728">_xlfn.XLOOKUP(Table57[[#This Row],[No.]],Table2[[#All],[CODE]],Table2[[#All],[NAME]],,0,1)</f>
        <v>#N/A</v>
      </c>
      <c r="D728" s="6">
        <f>'Unique Dates'!B725</f>
        <v>0</v>
      </c>
      <c r="E728" t="str">
        <f>TEXT(Table57[[#This Row],[Date]],"dddd")</f>
        <v>Saturday</v>
      </c>
      <c r="F728" s="25" t="str" cm="1">
        <f t="array" ref="F728">IFERROR(_xlfn.XLOOKUP(Table57[[#This Row],[Code]],Table1[[#All],[Code]],Table1[[#All],[Time]],,0,1),"")</f>
        <v/>
      </c>
      <c r="G728" s="25" t="str" cm="1">
        <f t="array" ref="G728">IFERROR(_xlfn.XLOOKUP(Table57[[#This Row],[Code]],Table1[[#All],[Code]],Table1[[#All],[Time]],,0,-1),"")</f>
        <v/>
      </c>
      <c r="H728" s="23" t="str">
        <f>IFERROR(IF(Table57[[#This Row],[Out]]&gt;=Table57[[#This Row],[In]],Table57[[#This Row],[Out]]-Table57[[#This Row],[In]],(0.5+Table57[[#This Row],[Out]])-Table57[[#This Row],[In]]),"")</f>
        <v/>
      </c>
      <c r="I728" s="31" t="str">
        <f>IFERROR(IF(Table57[[#This Row],[In]]&gt;$C$2,Table57[[#This Row],[In]]-$C$2,""),"")</f>
        <v/>
      </c>
      <c r="J728" s="31" t="str">
        <f>IF(Table57[[#This Row],[Work_Hours]]=0,"",(IF(Table57[[#This Row],[Out]]&lt;$C$3,$C$3-Table57[[#This Row],[Out]],"")))</f>
        <v/>
      </c>
      <c r="K728" s="32" t="str">
        <f>IFERROR(Table57[[#This Row],[In]]+$C$1,"")</f>
        <v/>
      </c>
      <c r="L728" s="29"/>
      <c r="M728" s="31" t="str">
        <f>IF($C$2&gt;Table57[[#This Row],[In]],$C$2-Table57[[#This Row],[In]],"")</f>
        <v/>
      </c>
      <c r="N728" s="29" t="str">
        <f>IFERROR(IF(Table57[[#This Row],[Out]]&gt;$C$3,(Table57[[#This Row],[Out]])-($C$3),""),"")</f>
        <v/>
      </c>
    </row>
    <row r="729" spans="1:14" hidden="1" x14ac:dyDescent="0.25">
      <c r="A729" s="23" t="str">
        <f>Table57[[#This Row],[No.]]&amp;Table57[[#This Row],[Date]]</f>
        <v>00</v>
      </c>
      <c r="B729" s="22">
        <f>'Unique Dates'!A726</f>
        <v>0</v>
      </c>
      <c r="C729" s="22" t="e" cm="1">
        <f t="array" ref="C729">_xlfn.XLOOKUP(Table57[[#This Row],[No.]],Table2[[#All],[CODE]],Table2[[#All],[NAME]],,0,1)</f>
        <v>#N/A</v>
      </c>
      <c r="D729" s="6">
        <f>'Unique Dates'!B726</f>
        <v>0</v>
      </c>
      <c r="E729" t="str">
        <f>TEXT(Table57[[#This Row],[Date]],"dddd")</f>
        <v>Saturday</v>
      </c>
      <c r="F729" s="25" t="str" cm="1">
        <f t="array" ref="F729">IFERROR(_xlfn.XLOOKUP(Table57[[#This Row],[Code]],Table1[[#All],[Code]],Table1[[#All],[Time]],,0,1),"")</f>
        <v/>
      </c>
      <c r="G729" s="25" t="str" cm="1">
        <f t="array" ref="G729">IFERROR(_xlfn.XLOOKUP(Table57[[#This Row],[Code]],Table1[[#All],[Code]],Table1[[#All],[Time]],,0,-1),"")</f>
        <v/>
      </c>
      <c r="H729" s="23" t="str">
        <f>IFERROR(IF(Table57[[#This Row],[Out]]&gt;=Table57[[#This Row],[In]],Table57[[#This Row],[Out]]-Table57[[#This Row],[In]],(0.5+Table57[[#This Row],[Out]])-Table57[[#This Row],[In]]),"")</f>
        <v/>
      </c>
      <c r="I729" s="31" t="str">
        <f>IFERROR(IF(Table57[[#This Row],[In]]&gt;$C$2,Table57[[#This Row],[In]]-$C$2,""),"")</f>
        <v/>
      </c>
      <c r="J729" s="31" t="str">
        <f>IF(Table57[[#This Row],[Work_Hours]]=0,"",(IF(Table57[[#This Row],[Out]]&lt;$C$3,$C$3-Table57[[#This Row],[Out]],"")))</f>
        <v/>
      </c>
      <c r="K729" s="32" t="str">
        <f>IFERROR(Table57[[#This Row],[In]]+$C$1,"")</f>
        <v/>
      </c>
      <c r="L729" s="29"/>
      <c r="M729" s="31" t="str">
        <f>IF($C$2&gt;Table57[[#This Row],[In]],$C$2-Table57[[#This Row],[In]],"")</f>
        <v/>
      </c>
      <c r="N729" s="29" t="str">
        <f>IFERROR(IF(Table57[[#This Row],[Out]]&gt;$C$3,(Table57[[#This Row],[Out]])-($C$3),""),"")</f>
        <v/>
      </c>
    </row>
    <row r="730" spans="1:14" hidden="1" x14ac:dyDescent="0.25">
      <c r="A730" s="23" t="str">
        <f>Table57[[#This Row],[No.]]&amp;Table57[[#This Row],[Date]]</f>
        <v>00</v>
      </c>
      <c r="B730" s="22">
        <f>'Unique Dates'!A727</f>
        <v>0</v>
      </c>
      <c r="C730" s="22" t="e" cm="1">
        <f t="array" ref="C730">_xlfn.XLOOKUP(Table57[[#This Row],[No.]],Table2[[#All],[CODE]],Table2[[#All],[NAME]],,0,1)</f>
        <v>#N/A</v>
      </c>
      <c r="D730" s="6">
        <f>'Unique Dates'!B727</f>
        <v>0</v>
      </c>
      <c r="E730" t="str">
        <f>TEXT(Table57[[#This Row],[Date]],"dddd")</f>
        <v>Saturday</v>
      </c>
      <c r="F730" s="25" t="str" cm="1">
        <f t="array" ref="F730">IFERROR(_xlfn.XLOOKUP(Table57[[#This Row],[Code]],Table1[[#All],[Code]],Table1[[#All],[Time]],,0,1),"")</f>
        <v/>
      </c>
      <c r="G730" s="25" t="str" cm="1">
        <f t="array" ref="G730">IFERROR(_xlfn.XLOOKUP(Table57[[#This Row],[Code]],Table1[[#All],[Code]],Table1[[#All],[Time]],,0,-1),"")</f>
        <v/>
      </c>
      <c r="H730" s="23" t="str">
        <f>IFERROR(IF(Table57[[#This Row],[Out]]&gt;=Table57[[#This Row],[In]],Table57[[#This Row],[Out]]-Table57[[#This Row],[In]],(0.5+Table57[[#This Row],[Out]])-Table57[[#This Row],[In]]),"")</f>
        <v/>
      </c>
      <c r="I730" s="31" t="str">
        <f>IFERROR(IF(Table57[[#This Row],[In]]&gt;$C$2,Table57[[#This Row],[In]]-$C$2,""),"")</f>
        <v/>
      </c>
      <c r="J730" s="31" t="str">
        <f>IF(Table57[[#This Row],[Work_Hours]]=0,"",(IF(Table57[[#This Row],[Out]]&lt;$C$3,$C$3-Table57[[#This Row],[Out]],"")))</f>
        <v/>
      </c>
      <c r="K730" s="32" t="str">
        <f>IFERROR(Table57[[#This Row],[In]]+$C$1,"")</f>
        <v/>
      </c>
      <c r="L730" s="29"/>
      <c r="M730" s="31" t="str">
        <f>IF($C$2&gt;Table57[[#This Row],[In]],$C$2-Table57[[#This Row],[In]],"")</f>
        <v/>
      </c>
      <c r="N730" s="29" t="str">
        <f>IFERROR(IF(Table57[[#This Row],[Out]]&gt;$C$3,(Table57[[#This Row],[Out]])-($C$3),""),"")</f>
        <v/>
      </c>
    </row>
    <row r="731" spans="1:14" hidden="1" x14ac:dyDescent="0.25">
      <c r="A731" s="23" t="str">
        <f>Table57[[#This Row],[No.]]&amp;Table57[[#This Row],[Date]]</f>
        <v>00</v>
      </c>
      <c r="B731" s="22">
        <f>'Unique Dates'!A728</f>
        <v>0</v>
      </c>
      <c r="C731" s="22" t="e" cm="1">
        <f t="array" ref="C731">_xlfn.XLOOKUP(Table57[[#This Row],[No.]],Table2[[#All],[CODE]],Table2[[#All],[NAME]],,0,1)</f>
        <v>#N/A</v>
      </c>
      <c r="D731" s="6">
        <f>'Unique Dates'!B728</f>
        <v>0</v>
      </c>
      <c r="E731" t="str">
        <f>TEXT(Table57[[#This Row],[Date]],"dddd")</f>
        <v>Saturday</v>
      </c>
      <c r="F731" s="25" t="str" cm="1">
        <f t="array" ref="F731">IFERROR(_xlfn.XLOOKUP(Table57[[#This Row],[Code]],Table1[[#All],[Code]],Table1[[#All],[Time]],,0,1),"")</f>
        <v/>
      </c>
      <c r="G731" s="25" t="str" cm="1">
        <f t="array" ref="G731">IFERROR(_xlfn.XLOOKUP(Table57[[#This Row],[Code]],Table1[[#All],[Code]],Table1[[#All],[Time]],,0,-1),"")</f>
        <v/>
      </c>
      <c r="H731" s="23" t="str">
        <f>IFERROR(IF(Table57[[#This Row],[Out]]&gt;=Table57[[#This Row],[In]],Table57[[#This Row],[Out]]-Table57[[#This Row],[In]],(0.5+Table57[[#This Row],[Out]])-Table57[[#This Row],[In]]),"")</f>
        <v/>
      </c>
      <c r="I731" s="31" t="str">
        <f>IFERROR(IF(Table57[[#This Row],[In]]&gt;$C$2,Table57[[#This Row],[In]]-$C$2,""),"")</f>
        <v/>
      </c>
      <c r="J731" s="31" t="str">
        <f>IF(Table57[[#This Row],[Work_Hours]]=0,"",(IF(Table57[[#This Row],[Out]]&lt;$C$3,$C$3-Table57[[#This Row],[Out]],"")))</f>
        <v/>
      </c>
      <c r="K731" s="32" t="str">
        <f>IFERROR(Table57[[#This Row],[In]]+$C$1,"")</f>
        <v/>
      </c>
      <c r="L731" s="29"/>
      <c r="M731" s="31" t="str">
        <f>IF($C$2&gt;Table57[[#This Row],[In]],$C$2-Table57[[#This Row],[In]],"")</f>
        <v/>
      </c>
      <c r="N731" s="29" t="str">
        <f>IFERROR(IF(Table57[[#This Row],[Out]]&gt;$C$3,(Table57[[#This Row],[Out]])-($C$3),""),"")</f>
        <v/>
      </c>
    </row>
    <row r="732" spans="1:14" hidden="1" x14ac:dyDescent="0.25">
      <c r="A732" s="23" t="str">
        <f>Table57[[#This Row],[No.]]&amp;Table57[[#This Row],[Date]]</f>
        <v>00</v>
      </c>
      <c r="B732" s="22">
        <f>'Unique Dates'!A729</f>
        <v>0</v>
      </c>
      <c r="C732" s="22" t="e" cm="1">
        <f t="array" ref="C732">_xlfn.XLOOKUP(Table57[[#This Row],[No.]],Table2[[#All],[CODE]],Table2[[#All],[NAME]],,0,1)</f>
        <v>#N/A</v>
      </c>
      <c r="D732" s="6">
        <f>'Unique Dates'!B729</f>
        <v>0</v>
      </c>
      <c r="E732" t="str">
        <f>TEXT(Table57[[#This Row],[Date]],"dddd")</f>
        <v>Saturday</v>
      </c>
      <c r="F732" s="25" t="str" cm="1">
        <f t="array" ref="F732">IFERROR(_xlfn.XLOOKUP(Table57[[#This Row],[Code]],Table1[[#All],[Code]],Table1[[#All],[Time]],,0,1),"")</f>
        <v/>
      </c>
      <c r="G732" s="25" t="str" cm="1">
        <f t="array" ref="G732">IFERROR(_xlfn.XLOOKUP(Table57[[#This Row],[Code]],Table1[[#All],[Code]],Table1[[#All],[Time]],,0,-1),"")</f>
        <v/>
      </c>
      <c r="H732" s="23" t="str">
        <f>IFERROR(IF(Table57[[#This Row],[Out]]&gt;=Table57[[#This Row],[In]],Table57[[#This Row],[Out]]-Table57[[#This Row],[In]],(0.5+Table57[[#This Row],[Out]])-Table57[[#This Row],[In]]),"")</f>
        <v/>
      </c>
      <c r="I732" s="31" t="str">
        <f>IFERROR(IF(Table57[[#This Row],[In]]&gt;$C$2,Table57[[#This Row],[In]]-$C$2,""),"")</f>
        <v/>
      </c>
      <c r="J732" s="31" t="str">
        <f>IF(Table57[[#This Row],[Work_Hours]]=0,"",(IF(Table57[[#This Row],[Out]]&lt;$C$3,$C$3-Table57[[#This Row],[Out]],"")))</f>
        <v/>
      </c>
      <c r="K732" s="32" t="str">
        <f>IFERROR(Table57[[#This Row],[In]]+$C$1,"")</f>
        <v/>
      </c>
      <c r="L732" s="29"/>
      <c r="M732" s="31" t="str">
        <f>IF($C$2&gt;Table57[[#This Row],[In]],$C$2-Table57[[#This Row],[In]],"")</f>
        <v/>
      </c>
      <c r="N732" s="29" t="str">
        <f>IFERROR(IF(Table57[[#This Row],[Out]]&gt;$C$3,(Table57[[#This Row],[Out]])-($C$3),""),"")</f>
        <v/>
      </c>
    </row>
    <row r="733" spans="1:14" hidden="1" x14ac:dyDescent="0.25">
      <c r="A733" s="23" t="str">
        <f>Table57[[#This Row],[No.]]&amp;Table57[[#This Row],[Date]]</f>
        <v>00</v>
      </c>
      <c r="B733" s="22">
        <f>'Unique Dates'!A730</f>
        <v>0</v>
      </c>
      <c r="C733" s="22" t="e" cm="1">
        <f t="array" ref="C733">_xlfn.XLOOKUP(Table57[[#This Row],[No.]],Table2[[#All],[CODE]],Table2[[#All],[NAME]],,0,1)</f>
        <v>#N/A</v>
      </c>
      <c r="D733" s="6">
        <f>'Unique Dates'!B730</f>
        <v>0</v>
      </c>
      <c r="E733" t="str">
        <f>TEXT(Table57[[#This Row],[Date]],"dddd")</f>
        <v>Saturday</v>
      </c>
      <c r="F733" s="25" t="str" cm="1">
        <f t="array" ref="F733">IFERROR(_xlfn.XLOOKUP(Table57[[#This Row],[Code]],Table1[[#All],[Code]],Table1[[#All],[Time]],,0,1),"")</f>
        <v/>
      </c>
      <c r="G733" s="25" t="str" cm="1">
        <f t="array" ref="G733">IFERROR(_xlfn.XLOOKUP(Table57[[#This Row],[Code]],Table1[[#All],[Code]],Table1[[#All],[Time]],,0,-1),"")</f>
        <v/>
      </c>
      <c r="H733" s="23" t="str">
        <f>IFERROR(IF(Table57[[#This Row],[Out]]&gt;=Table57[[#This Row],[In]],Table57[[#This Row],[Out]]-Table57[[#This Row],[In]],(0.5+Table57[[#This Row],[Out]])-Table57[[#This Row],[In]]),"")</f>
        <v/>
      </c>
      <c r="I733" s="31" t="str">
        <f>IFERROR(IF(Table57[[#This Row],[In]]&gt;$C$2,Table57[[#This Row],[In]]-$C$2,""),"")</f>
        <v/>
      </c>
      <c r="J733" s="31" t="str">
        <f>IF(Table57[[#This Row],[Work_Hours]]=0,"",(IF(Table57[[#This Row],[Out]]&lt;$C$3,$C$3-Table57[[#This Row],[Out]],"")))</f>
        <v/>
      </c>
      <c r="K733" s="32" t="str">
        <f>IFERROR(Table57[[#This Row],[In]]+$C$1,"")</f>
        <v/>
      </c>
      <c r="L733" s="29"/>
      <c r="M733" s="31" t="str">
        <f>IF($C$2&gt;Table57[[#This Row],[In]],$C$2-Table57[[#This Row],[In]],"")</f>
        <v/>
      </c>
      <c r="N733" s="29" t="str">
        <f>IFERROR(IF(Table57[[#This Row],[Out]]&gt;$C$3,(Table57[[#This Row],[Out]])-($C$3),""),"")</f>
        <v/>
      </c>
    </row>
    <row r="734" spans="1:14" hidden="1" x14ac:dyDescent="0.25">
      <c r="A734" s="23" t="str">
        <f>Table57[[#This Row],[No.]]&amp;Table57[[#This Row],[Date]]</f>
        <v>00</v>
      </c>
      <c r="B734" s="22">
        <f>'Unique Dates'!A731</f>
        <v>0</v>
      </c>
      <c r="C734" s="22" t="e" cm="1">
        <f t="array" ref="C734">_xlfn.XLOOKUP(Table57[[#This Row],[No.]],Table2[[#All],[CODE]],Table2[[#All],[NAME]],,0,1)</f>
        <v>#N/A</v>
      </c>
      <c r="D734" s="6">
        <f>'Unique Dates'!B731</f>
        <v>0</v>
      </c>
      <c r="E734" t="str">
        <f>TEXT(Table57[[#This Row],[Date]],"dddd")</f>
        <v>Saturday</v>
      </c>
      <c r="F734" s="25" t="str" cm="1">
        <f t="array" ref="F734">IFERROR(_xlfn.XLOOKUP(Table57[[#This Row],[Code]],Table1[[#All],[Code]],Table1[[#All],[Time]],,0,1),"")</f>
        <v/>
      </c>
      <c r="G734" s="25" t="str" cm="1">
        <f t="array" ref="G734">IFERROR(_xlfn.XLOOKUP(Table57[[#This Row],[Code]],Table1[[#All],[Code]],Table1[[#All],[Time]],,0,-1),"")</f>
        <v/>
      </c>
      <c r="H734" s="23" t="str">
        <f>IFERROR(IF(Table57[[#This Row],[Out]]&gt;=Table57[[#This Row],[In]],Table57[[#This Row],[Out]]-Table57[[#This Row],[In]],(0.5+Table57[[#This Row],[Out]])-Table57[[#This Row],[In]]),"")</f>
        <v/>
      </c>
      <c r="I734" s="31" t="str">
        <f>IFERROR(IF(Table57[[#This Row],[In]]&gt;$C$2,Table57[[#This Row],[In]]-$C$2,""),"")</f>
        <v/>
      </c>
      <c r="J734" s="31" t="str">
        <f>IF(Table57[[#This Row],[Work_Hours]]=0,"",(IF(Table57[[#This Row],[Out]]&lt;$C$3,$C$3-Table57[[#This Row],[Out]],"")))</f>
        <v/>
      </c>
      <c r="K734" s="32" t="str">
        <f>IFERROR(Table57[[#This Row],[In]]+$C$1,"")</f>
        <v/>
      </c>
      <c r="L734" s="29"/>
      <c r="M734" s="31" t="str">
        <f>IF($C$2&gt;Table57[[#This Row],[In]],$C$2-Table57[[#This Row],[In]],"")</f>
        <v/>
      </c>
      <c r="N734" s="29" t="str">
        <f>IFERROR(IF(Table57[[#This Row],[Out]]&gt;$C$3,(Table57[[#This Row],[Out]])-($C$3),""),"")</f>
        <v/>
      </c>
    </row>
    <row r="735" spans="1:14" hidden="1" x14ac:dyDescent="0.25">
      <c r="A735" s="23" t="str">
        <f>Table57[[#This Row],[No.]]&amp;Table57[[#This Row],[Date]]</f>
        <v>00</v>
      </c>
      <c r="B735" s="22">
        <f>'Unique Dates'!A732</f>
        <v>0</v>
      </c>
      <c r="C735" s="22" t="e" cm="1">
        <f t="array" ref="C735">_xlfn.XLOOKUP(Table57[[#This Row],[No.]],Table2[[#All],[CODE]],Table2[[#All],[NAME]],,0,1)</f>
        <v>#N/A</v>
      </c>
      <c r="D735" s="6">
        <f>'Unique Dates'!B732</f>
        <v>0</v>
      </c>
      <c r="E735" t="str">
        <f>TEXT(Table57[[#This Row],[Date]],"dddd")</f>
        <v>Saturday</v>
      </c>
      <c r="F735" s="25" t="str" cm="1">
        <f t="array" ref="F735">IFERROR(_xlfn.XLOOKUP(Table57[[#This Row],[Code]],Table1[[#All],[Code]],Table1[[#All],[Time]],,0,1),"")</f>
        <v/>
      </c>
      <c r="G735" s="25" t="str" cm="1">
        <f t="array" ref="G735">IFERROR(_xlfn.XLOOKUP(Table57[[#This Row],[Code]],Table1[[#All],[Code]],Table1[[#All],[Time]],,0,-1),"")</f>
        <v/>
      </c>
      <c r="H735" s="23" t="str">
        <f>IFERROR(IF(Table57[[#This Row],[Out]]&gt;=Table57[[#This Row],[In]],Table57[[#This Row],[Out]]-Table57[[#This Row],[In]],(0.5+Table57[[#This Row],[Out]])-Table57[[#This Row],[In]]),"")</f>
        <v/>
      </c>
      <c r="I735" s="31" t="str">
        <f>IFERROR(IF(Table57[[#This Row],[In]]&gt;$C$2,Table57[[#This Row],[In]]-$C$2,""),"")</f>
        <v/>
      </c>
      <c r="J735" s="31" t="str">
        <f>IF(Table57[[#This Row],[Work_Hours]]=0,"",(IF(Table57[[#This Row],[Out]]&lt;$C$3,$C$3-Table57[[#This Row],[Out]],"")))</f>
        <v/>
      </c>
      <c r="K735" s="32" t="str">
        <f>IFERROR(Table57[[#This Row],[In]]+$C$1,"")</f>
        <v/>
      </c>
      <c r="L735" s="29"/>
      <c r="M735" s="31" t="str">
        <f>IF($C$2&gt;Table57[[#This Row],[In]],$C$2-Table57[[#This Row],[In]],"")</f>
        <v/>
      </c>
      <c r="N735" s="29" t="str">
        <f>IFERROR(IF(Table57[[#This Row],[Out]]&gt;$C$3,(Table57[[#This Row],[Out]])-($C$3),""),"")</f>
        <v/>
      </c>
    </row>
    <row r="736" spans="1:14" hidden="1" x14ac:dyDescent="0.25">
      <c r="A736" s="23" t="str">
        <f>Table57[[#This Row],[No.]]&amp;Table57[[#This Row],[Date]]</f>
        <v>00</v>
      </c>
      <c r="B736" s="22">
        <f>'Unique Dates'!A733</f>
        <v>0</v>
      </c>
      <c r="C736" s="22" t="e" cm="1">
        <f t="array" ref="C736">_xlfn.XLOOKUP(Table57[[#This Row],[No.]],Table2[[#All],[CODE]],Table2[[#All],[NAME]],,0,1)</f>
        <v>#N/A</v>
      </c>
      <c r="D736" s="6">
        <f>'Unique Dates'!B733</f>
        <v>0</v>
      </c>
      <c r="E736" t="str">
        <f>TEXT(Table57[[#This Row],[Date]],"dddd")</f>
        <v>Saturday</v>
      </c>
      <c r="F736" s="25" t="str" cm="1">
        <f t="array" ref="F736">IFERROR(_xlfn.XLOOKUP(Table57[[#This Row],[Code]],Table1[[#All],[Code]],Table1[[#All],[Time]],,0,1),"")</f>
        <v/>
      </c>
      <c r="G736" s="25" t="str" cm="1">
        <f t="array" ref="G736">IFERROR(_xlfn.XLOOKUP(Table57[[#This Row],[Code]],Table1[[#All],[Code]],Table1[[#All],[Time]],,0,-1),"")</f>
        <v/>
      </c>
      <c r="H736" s="23" t="str">
        <f>IFERROR(IF(Table57[[#This Row],[Out]]&gt;=Table57[[#This Row],[In]],Table57[[#This Row],[Out]]-Table57[[#This Row],[In]],(0.5+Table57[[#This Row],[Out]])-Table57[[#This Row],[In]]),"")</f>
        <v/>
      </c>
      <c r="I736" s="31" t="str">
        <f>IFERROR(IF(Table57[[#This Row],[In]]&gt;$C$2,Table57[[#This Row],[In]]-$C$2,""),"")</f>
        <v/>
      </c>
      <c r="J736" s="31" t="str">
        <f>IF(Table57[[#This Row],[Work_Hours]]=0,"",(IF(Table57[[#This Row],[Out]]&lt;$C$3,$C$3-Table57[[#This Row],[Out]],"")))</f>
        <v/>
      </c>
      <c r="K736" s="32" t="str">
        <f>IFERROR(Table57[[#This Row],[In]]+$C$1,"")</f>
        <v/>
      </c>
      <c r="L736" s="29"/>
      <c r="M736" s="31" t="str">
        <f>IF($C$2&gt;Table57[[#This Row],[In]],$C$2-Table57[[#This Row],[In]],"")</f>
        <v/>
      </c>
      <c r="N736" s="29" t="str">
        <f>IFERROR(IF(Table57[[#This Row],[Out]]&gt;$C$3,(Table57[[#This Row],[Out]])-($C$3),""),"")</f>
        <v/>
      </c>
    </row>
    <row r="737" spans="1:14" hidden="1" x14ac:dyDescent="0.25">
      <c r="A737" s="23" t="str">
        <f>Table57[[#This Row],[No.]]&amp;Table57[[#This Row],[Date]]</f>
        <v>00</v>
      </c>
      <c r="B737" s="22">
        <f>'Unique Dates'!A734</f>
        <v>0</v>
      </c>
      <c r="C737" s="22" t="e" cm="1">
        <f t="array" ref="C737">_xlfn.XLOOKUP(Table57[[#This Row],[No.]],Table2[[#All],[CODE]],Table2[[#All],[NAME]],,0,1)</f>
        <v>#N/A</v>
      </c>
      <c r="D737" s="6">
        <f>'Unique Dates'!B734</f>
        <v>0</v>
      </c>
      <c r="E737" t="str">
        <f>TEXT(Table57[[#This Row],[Date]],"dddd")</f>
        <v>Saturday</v>
      </c>
      <c r="F737" s="25" t="str" cm="1">
        <f t="array" ref="F737">IFERROR(_xlfn.XLOOKUP(Table57[[#This Row],[Code]],Table1[[#All],[Code]],Table1[[#All],[Time]],,0,1),"")</f>
        <v/>
      </c>
      <c r="G737" s="25" t="str" cm="1">
        <f t="array" ref="G737">IFERROR(_xlfn.XLOOKUP(Table57[[#This Row],[Code]],Table1[[#All],[Code]],Table1[[#All],[Time]],,0,-1),"")</f>
        <v/>
      </c>
      <c r="H737" s="23" t="str">
        <f>IFERROR(IF(Table57[[#This Row],[Out]]&gt;=Table57[[#This Row],[In]],Table57[[#This Row],[Out]]-Table57[[#This Row],[In]],(0.5+Table57[[#This Row],[Out]])-Table57[[#This Row],[In]]),"")</f>
        <v/>
      </c>
      <c r="I737" s="31" t="str">
        <f>IFERROR(IF(Table57[[#This Row],[In]]&gt;$C$2,Table57[[#This Row],[In]]-$C$2,""),"")</f>
        <v/>
      </c>
      <c r="J737" s="31" t="str">
        <f>IF(Table57[[#This Row],[Work_Hours]]=0,"",(IF(Table57[[#This Row],[Out]]&lt;$C$3,$C$3-Table57[[#This Row],[Out]],"")))</f>
        <v/>
      </c>
      <c r="K737" s="32" t="str">
        <f>IFERROR(Table57[[#This Row],[In]]+$C$1,"")</f>
        <v/>
      </c>
      <c r="L737" s="29"/>
      <c r="M737" s="31" t="str">
        <f>IF($C$2&gt;Table57[[#This Row],[In]],$C$2-Table57[[#This Row],[In]],"")</f>
        <v/>
      </c>
      <c r="N737" s="29" t="str">
        <f>IFERROR(IF(Table57[[#This Row],[Out]]&gt;$C$3,(Table57[[#This Row],[Out]])-($C$3),""),"")</f>
        <v/>
      </c>
    </row>
    <row r="738" spans="1:14" hidden="1" x14ac:dyDescent="0.25">
      <c r="A738" s="23" t="str">
        <f>Table57[[#This Row],[No.]]&amp;Table57[[#This Row],[Date]]</f>
        <v>00</v>
      </c>
      <c r="B738" s="22">
        <f>'Unique Dates'!A735</f>
        <v>0</v>
      </c>
      <c r="C738" s="22" t="e" cm="1">
        <f t="array" ref="C738">_xlfn.XLOOKUP(Table57[[#This Row],[No.]],Table2[[#All],[CODE]],Table2[[#All],[NAME]],,0,1)</f>
        <v>#N/A</v>
      </c>
      <c r="D738" s="6">
        <f>'Unique Dates'!B735</f>
        <v>0</v>
      </c>
      <c r="E738" t="str">
        <f>TEXT(Table57[[#This Row],[Date]],"dddd")</f>
        <v>Saturday</v>
      </c>
      <c r="F738" s="25" t="str" cm="1">
        <f t="array" ref="F738">IFERROR(_xlfn.XLOOKUP(Table57[[#This Row],[Code]],Table1[[#All],[Code]],Table1[[#All],[Time]],,0,1),"")</f>
        <v/>
      </c>
      <c r="G738" s="25" t="str" cm="1">
        <f t="array" ref="G738">IFERROR(_xlfn.XLOOKUP(Table57[[#This Row],[Code]],Table1[[#All],[Code]],Table1[[#All],[Time]],,0,-1),"")</f>
        <v/>
      </c>
      <c r="H738" s="23" t="str">
        <f>IFERROR(IF(Table57[[#This Row],[Out]]&gt;=Table57[[#This Row],[In]],Table57[[#This Row],[Out]]-Table57[[#This Row],[In]],(0.5+Table57[[#This Row],[Out]])-Table57[[#This Row],[In]]),"")</f>
        <v/>
      </c>
      <c r="I738" s="31" t="str">
        <f>IFERROR(IF(Table57[[#This Row],[In]]&gt;$C$2,Table57[[#This Row],[In]]-$C$2,""),"")</f>
        <v/>
      </c>
      <c r="J738" s="31" t="str">
        <f>IF(Table57[[#This Row],[Work_Hours]]=0,"",(IF(Table57[[#This Row],[Out]]&lt;$C$3,$C$3-Table57[[#This Row],[Out]],"")))</f>
        <v/>
      </c>
      <c r="K738" s="32" t="str">
        <f>IFERROR(Table57[[#This Row],[In]]+$C$1,"")</f>
        <v/>
      </c>
      <c r="L738" s="29"/>
      <c r="M738" s="31" t="str">
        <f>IF($C$2&gt;Table57[[#This Row],[In]],$C$2-Table57[[#This Row],[In]],"")</f>
        <v/>
      </c>
      <c r="N738" s="29" t="str">
        <f>IFERROR(IF(Table57[[#This Row],[Out]]&gt;$C$3,(Table57[[#This Row],[Out]])-($C$3),""),"")</f>
        <v/>
      </c>
    </row>
    <row r="739" spans="1:14" hidden="1" x14ac:dyDescent="0.25">
      <c r="A739" s="23" t="str">
        <f>Table57[[#This Row],[No.]]&amp;Table57[[#This Row],[Date]]</f>
        <v>00</v>
      </c>
      <c r="B739" s="22">
        <f>'Unique Dates'!A736</f>
        <v>0</v>
      </c>
      <c r="C739" s="22" t="e" cm="1">
        <f t="array" ref="C739">_xlfn.XLOOKUP(Table57[[#This Row],[No.]],Table2[[#All],[CODE]],Table2[[#All],[NAME]],,0,1)</f>
        <v>#N/A</v>
      </c>
      <c r="D739" s="6">
        <f>'Unique Dates'!B736</f>
        <v>0</v>
      </c>
      <c r="E739" t="str">
        <f>TEXT(Table57[[#This Row],[Date]],"dddd")</f>
        <v>Saturday</v>
      </c>
      <c r="F739" s="25" t="str" cm="1">
        <f t="array" ref="F739">IFERROR(_xlfn.XLOOKUP(Table57[[#This Row],[Code]],Table1[[#All],[Code]],Table1[[#All],[Time]],,0,1),"")</f>
        <v/>
      </c>
      <c r="G739" s="25" t="str" cm="1">
        <f t="array" ref="G739">IFERROR(_xlfn.XLOOKUP(Table57[[#This Row],[Code]],Table1[[#All],[Code]],Table1[[#All],[Time]],,0,-1),"")</f>
        <v/>
      </c>
      <c r="H739" s="23" t="str">
        <f>IFERROR(IF(Table57[[#This Row],[Out]]&gt;=Table57[[#This Row],[In]],Table57[[#This Row],[Out]]-Table57[[#This Row],[In]],(0.5+Table57[[#This Row],[Out]])-Table57[[#This Row],[In]]),"")</f>
        <v/>
      </c>
      <c r="I739" s="31" t="str">
        <f>IFERROR(IF(Table57[[#This Row],[In]]&gt;$C$2,Table57[[#This Row],[In]]-$C$2,""),"")</f>
        <v/>
      </c>
      <c r="J739" s="31" t="str">
        <f>IF(Table57[[#This Row],[Work_Hours]]=0,"",(IF(Table57[[#This Row],[Out]]&lt;$C$3,$C$3-Table57[[#This Row],[Out]],"")))</f>
        <v/>
      </c>
      <c r="K739" s="32" t="str">
        <f>IFERROR(Table57[[#This Row],[In]]+$C$1,"")</f>
        <v/>
      </c>
      <c r="L739" s="29"/>
      <c r="M739" s="31" t="str">
        <f>IF($C$2&gt;Table57[[#This Row],[In]],$C$2-Table57[[#This Row],[In]],"")</f>
        <v/>
      </c>
      <c r="N739" s="29" t="str">
        <f>IFERROR(IF(Table57[[#This Row],[Out]]&gt;$C$3,(Table57[[#This Row],[Out]])-($C$3),""),"")</f>
        <v/>
      </c>
    </row>
    <row r="740" spans="1:14" hidden="1" x14ac:dyDescent="0.25">
      <c r="A740" s="23" t="str">
        <f>Table57[[#This Row],[No.]]&amp;Table57[[#This Row],[Date]]</f>
        <v>00</v>
      </c>
      <c r="B740" s="22">
        <f>'Unique Dates'!A737</f>
        <v>0</v>
      </c>
      <c r="C740" s="22" t="e" cm="1">
        <f t="array" ref="C740">_xlfn.XLOOKUP(Table57[[#This Row],[No.]],Table2[[#All],[CODE]],Table2[[#All],[NAME]],,0,1)</f>
        <v>#N/A</v>
      </c>
      <c r="D740" s="6">
        <f>'Unique Dates'!B737</f>
        <v>0</v>
      </c>
      <c r="E740" t="str">
        <f>TEXT(Table57[[#This Row],[Date]],"dddd")</f>
        <v>Saturday</v>
      </c>
      <c r="F740" s="25" t="str" cm="1">
        <f t="array" ref="F740">IFERROR(_xlfn.XLOOKUP(Table57[[#This Row],[Code]],Table1[[#All],[Code]],Table1[[#All],[Time]],,0,1),"")</f>
        <v/>
      </c>
      <c r="G740" s="25" t="str" cm="1">
        <f t="array" ref="G740">IFERROR(_xlfn.XLOOKUP(Table57[[#This Row],[Code]],Table1[[#All],[Code]],Table1[[#All],[Time]],,0,-1),"")</f>
        <v/>
      </c>
      <c r="H740" s="23" t="str">
        <f>IFERROR(IF(Table57[[#This Row],[Out]]&gt;=Table57[[#This Row],[In]],Table57[[#This Row],[Out]]-Table57[[#This Row],[In]],(0.5+Table57[[#This Row],[Out]])-Table57[[#This Row],[In]]),"")</f>
        <v/>
      </c>
      <c r="I740" s="31" t="str">
        <f>IFERROR(IF(Table57[[#This Row],[In]]&gt;$C$2,Table57[[#This Row],[In]]-$C$2,""),"")</f>
        <v/>
      </c>
      <c r="J740" s="31" t="str">
        <f>IF(Table57[[#This Row],[Work_Hours]]=0,"",(IF(Table57[[#This Row],[Out]]&lt;$C$3,$C$3-Table57[[#This Row],[Out]],"")))</f>
        <v/>
      </c>
      <c r="K740" s="32" t="str">
        <f>IFERROR(Table57[[#This Row],[In]]+$C$1,"")</f>
        <v/>
      </c>
      <c r="L740" s="29"/>
      <c r="M740" s="31" t="str">
        <f>IF($C$2&gt;Table57[[#This Row],[In]],$C$2-Table57[[#This Row],[In]],"")</f>
        <v/>
      </c>
      <c r="N740" s="29" t="str">
        <f>IFERROR(IF(Table57[[#This Row],[Out]]&gt;$C$3,(Table57[[#This Row],[Out]])-($C$3),""),"")</f>
        <v/>
      </c>
    </row>
    <row r="741" spans="1:14" hidden="1" x14ac:dyDescent="0.25">
      <c r="A741" s="23" t="str">
        <f>Table57[[#This Row],[No.]]&amp;Table57[[#This Row],[Date]]</f>
        <v>00</v>
      </c>
      <c r="B741" s="22">
        <f>'Unique Dates'!A738</f>
        <v>0</v>
      </c>
      <c r="C741" s="22" t="e" cm="1">
        <f t="array" ref="C741">_xlfn.XLOOKUP(Table57[[#This Row],[No.]],Table2[[#All],[CODE]],Table2[[#All],[NAME]],,0,1)</f>
        <v>#N/A</v>
      </c>
      <c r="D741" s="6">
        <f>'Unique Dates'!B738</f>
        <v>0</v>
      </c>
      <c r="E741" t="str">
        <f>TEXT(Table57[[#This Row],[Date]],"dddd")</f>
        <v>Saturday</v>
      </c>
      <c r="F741" s="25" t="str" cm="1">
        <f t="array" ref="F741">IFERROR(_xlfn.XLOOKUP(Table57[[#This Row],[Code]],Table1[[#All],[Code]],Table1[[#All],[Time]],,0,1),"")</f>
        <v/>
      </c>
      <c r="G741" s="25" t="str" cm="1">
        <f t="array" ref="G741">IFERROR(_xlfn.XLOOKUP(Table57[[#This Row],[Code]],Table1[[#All],[Code]],Table1[[#All],[Time]],,0,-1),"")</f>
        <v/>
      </c>
      <c r="H741" s="23" t="str">
        <f>IFERROR(IF(Table57[[#This Row],[Out]]&gt;=Table57[[#This Row],[In]],Table57[[#This Row],[Out]]-Table57[[#This Row],[In]],(0.5+Table57[[#This Row],[Out]])-Table57[[#This Row],[In]]),"")</f>
        <v/>
      </c>
      <c r="I741" s="31" t="str">
        <f>IFERROR(IF(Table57[[#This Row],[In]]&gt;$C$2,Table57[[#This Row],[In]]-$C$2,""),"")</f>
        <v/>
      </c>
      <c r="J741" s="31" t="str">
        <f>IF(Table57[[#This Row],[Work_Hours]]=0,"",(IF(Table57[[#This Row],[Out]]&lt;$C$3,$C$3-Table57[[#This Row],[Out]],"")))</f>
        <v/>
      </c>
      <c r="K741" s="32" t="str">
        <f>IFERROR(Table57[[#This Row],[In]]+$C$1,"")</f>
        <v/>
      </c>
      <c r="L741" s="29"/>
      <c r="M741" s="31" t="str">
        <f>IF($C$2&gt;Table57[[#This Row],[In]],$C$2-Table57[[#This Row],[In]],"")</f>
        <v/>
      </c>
      <c r="N741" s="29" t="str">
        <f>IFERROR(IF(Table57[[#This Row],[Out]]&gt;$C$3,(Table57[[#This Row],[Out]])-($C$3),""),"")</f>
        <v/>
      </c>
    </row>
    <row r="742" spans="1:14" hidden="1" x14ac:dyDescent="0.25">
      <c r="A742" s="23" t="str">
        <f>Table57[[#This Row],[No.]]&amp;Table57[[#This Row],[Date]]</f>
        <v>00</v>
      </c>
      <c r="B742" s="22">
        <f>'Unique Dates'!A739</f>
        <v>0</v>
      </c>
      <c r="C742" s="22" t="e" cm="1">
        <f t="array" ref="C742">_xlfn.XLOOKUP(Table57[[#This Row],[No.]],Table2[[#All],[CODE]],Table2[[#All],[NAME]],,0,1)</f>
        <v>#N/A</v>
      </c>
      <c r="D742" s="6">
        <f>'Unique Dates'!B739</f>
        <v>0</v>
      </c>
      <c r="E742" t="str">
        <f>TEXT(Table57[[#This Row],[Date]],"dddd")</f>
        <v>Saturday</v>
      </c>
      <c r="F742" s="25" t="str" cm="1">
        <f t="array" ref="F742">IFERROR(_xlfn.XLOOKUP(Table57[[#This Row],[Code]],Table1[[#All],[Code]],Table1[[#All],[Time]],,0,1),"")</f>
        <v/>
      </c>
      <c r="G742" s="25" t="str" cm="1">
        <f t="array" ref="G742">IFERROR(_xlfn.XLOOKUP(Table57[[#This Row],[Code]],Table1[[#All],[Code]],Table1[[#All],[Time]],,0,-1),"")</f>
        <v/>
      </c>
      <c r="H742" s="23" t="str">
        <f>IFERROR(IF(Table57[[#This Row],[Out]]&gt;=Table57[[#This Row],[In]],Table57[[#This Row],[Out]]-Table57[[#This Row],[In]],(0.5+Table57[[#This Row],[Out]])-Table57[[#This Row],[In]]),"")</f>
        <v/>
      </c>
      <c r="I742" s="31" t="str">
        <f>IFERROR(IF(Table57[[#This Row],[In]]&gt;$C$2,Table57[[#This Row],[In]]-$C$2,""),"")</f>
        <v/>
      </c>
      <c r="J742" s="31" t="str">
        <f>IF(Table57[[#This Row],[Work_Hours]]=0,"",(IF(Table57[[#This Row],[Out]]&lt;$C$3,$C$3-Table57[[#This Row],[Out]],"")))</f>
        <v/>
      </c>
      <c r="K742" s="32" t="str">
        <f>IFERROR(Table57[[#This Row],[In]]+$C$1,"")</f>
        <v/>
      </c>
      <c r="L742" s="29"/>
      <c r="M742" s="31" t="str">
        <f>IF($C$2&gt;Table57[[#This Row],[In]],$C$2-Table57[[#This Row],[In]],"")</f>
        <v/>
      </c>
      <c r="N742" s="29" t="str">
        <f>IFERROR(IF(Table57[[#This Row],[Out]]&gt;$C$3,(Table57[[#This Row],[Out]])-($C$3),""),"")</f>
        <v/>
      </c>
    </row>
    <row r="743" spans="1:14" hidden="1" x14ac:dyDescent="0.25">
      <c r="A743" s="23" t="str">
        <f>Table57[[#This Row],[No.]]&amp;Table57[[#This Row],[Date]]</f>
        <v>00</v>
      </c>
      <c r="B743" s="22">
        <f>'Unique Dates'!A740</f>
        <v>0</v>
      </c>
      <c r="C743" s="22" t="e" cm="1">
        <f t="array" ref="C743">_xlfn.XLOOKUP(Table57[[#This Row],[No.]],Table2[[#All],[CODE]],Table2[[#All],[NAME]],,0,1)</f>
        <v>#N/A</v>
      </c>
      <c r="D743" s="6">
        <f>'Unique Dates'!B740</f>
        <v>0</v>
      </c>
      <c r="E743" t="str">
        <f>TEXT(Table57[[#This Row],[Date]],"dddd")</f>
        <v>Saturday</v>
      </c>
      <c r="F743" s="25" t="str" cm="1">
        <f t="array" ref="F743">IFERROR(_xlfn.XLOOKUP(Table57[[#This Row],[Code]],Table1[[#All],[Code]],Table1[[#All],[Time]],,0,1),"")</f>
        <v/>
      </c>
      <c r="G743" s="25" t="str" cm="1">
        <f t="array" ref="G743">IFERROR(_xlfn.XLOOKUP(Table57[[#This Row],[Code]],Table1[[#All],[Code]],Table1[[#All],[Time]],,0,-1),"")</f>
        <v/>
      </c>
      <c r="H743" s="23" t="str">
        <f>IFERROR(IF(Table57[[#This Row],[Out]]&gt;=Table57[[#This Row],[In]],Table57[[#This Row],[Out]]-Table57[[#This Row],[In]],(0.5+Table57[[#This Row],[Out]])-Table57[[#This Row],[In]]),"")</f>
        <v/>
      </c>
      <c r="I743" s="31" t="str">
        <f>IFERROR(IF(Table57[[#This Row],[In]]&gt;$C$2,Table57[[#This Row],[In]]-$C$2,""),"")</f>
        <v/>
      </c>
      <c r="J743" s="31" t="str">
        <f>IF(Table57[[#This Row],[Work_Hours]]=0,"",(IF(Table57[[#This Row],[Out]]&lt;$C$3,$C$3-Table57[[#This Row],[Out]],"")))</f>
        <v/>
      </c>
      <c r="K743" s="32" t="str">
        <f>IFERROR(Table57[[#This Row],[In]]+$C$1,"")</f>
        <v/>
      </c>
      <c r="L743" s="29"/>
      <c r="M743" s="31" t="str">
        <f>IF($C$2&gt;Table57[[#This Row],[In]],$C$2-Table57[[#This Row],[In]],"")</f>
        <v/>
      </c>
      <c r="N743" s="29" t="str">
        <f>IFERROR(IF(Table57[[#This Row],[Out]]&gt;$C$3,(Table57[[#This Row],[Out]])-($C$3),""),"")</f>
        <v/>
      </c>
    </row>
    <row r="744" spans="1:14" hidden="1" x14ac:dyDescent="0.25">
      <c r="A744" s="23" t="str">
        <f>Table57[[#This Row],[No.]]&amp;Table57[[#This Row],[Date]]</f>
        <v>00</v>
      </c>
      <c r="B744" s="22">
        <f>'Unique Dates'!A741</f>
        <v>0</v>
      </c>
      <c r="C744" s="22" t="e" cm="1">
        <f t="array" ref="C744">_xlfn.XLOOKUP(Table57[[#This Row],[No.]],Table2[[#All],[CODE]],Table2[[#All],[NAME]],,0,1)</f>
        <v>#N/A</v>
      </c>
      <c r="D744" s="6">
        <f>'Unique Dates'!B741</f>
        <v>0</v>
      </c>
      <c r="E744" t="str">
        <f>TEXT(Table57[[#This Row],[Date]],"dddd")</f>
        <v>Saturday</v>
      </c>
      <c r="F744" s="25" t="str" cm="1">
        <f t="array" ref="F744">IFERROR(_xlfn.XLOOKUP(Table57[[#This Row],[Code]],Table1[[#All],[Code]],Table1[[#All],[Time]],,0,1),"")</f>
        <v/>
      </c>
      <c r="G744" s="25" t="str" cm="1">
        <f t="array" ref="G744">IFERROR(_xlfn.XLOOKUP(Table57[[#This Row],[Code]],Table1[[#All],[Code]],Table1[[#All],[Time]],,0,-1),"")</f>
        <v/>
      </c>
      <c r="H744" s="23" t="str">
        <f>IFERROR(IF(Table57[[#This Row],[Out]]&gt;=Table57[[#This Row],[In]],Table57[[#This Row],[Out]]-Table57[[#This Row],[In]],(0.5+Table57[[#This Row],[Out]])-Table57[[#This Row],[In]]),"")</f>
        <v/>
      </c>
      <c r="I744" s="31" t="str">
        <f>IFERROR(IF(Table57[[#This Row],[In]]&gt;$C$2,Table57[[#This Row],[In]]-$C$2,""),"")</f>
        <v/>
      </c>
      <c r="J744" s="31" t="str">
        <f>IF(Table57[[#This Row],[Work_Hours]]=0,"",(IF(Table57[[#This Row],[Out]]&lt;$C$3,$C$3-Table57[[#This Row],[Out]],"")))</f>
        <v/>
      </c>
      <c r="K744" s="32" t="str">
        <f>IFERROR(Table57[[#This Row],[In]]+$C$1,"")</f>
        <v/>
      </c>
      <c r="L744" s="29"/>
      <c r="M744" s="31" t="str">
        <f>IF($C$2&gt;Table57[[#This Row],[In]],$C$2-Table57[[#This Row],[In]],"")</f>
        <v/>
      </c>
      <c r="N744" s="29" t="str">
        <f>IFERROR(IF(Table57[[#This Row],[Out]]&gt;$C$3,(Table57[[#This Row],[Out]])-($C$3),""),"")</f>
        <v/>
      </c>
    </row>
    <row r="745" spans="1:14" hidden="1" x14ac:dyDescent="0.25">
      <c r="A745" s="23" t="str">
        <f>Table57[[#This Row],[No.]]&amp;Table57[[#This Row],[Date]]</f>
        <v>00</v>
      </c>
      <c r="B745" s="22">
        <f>'Unique Dates'!A742</f>
        <v>0</v>
      </c>
      <c r="C745" s="22" t="e" cm="1">
        <f t="array" ref="C745">_xlfn.XLOOKUP(Table57[[#This Row],[No.]],Table2[[#All],[CODE]],Table2[[#All],[NAME]],,0,1)</f>
        <v>#N/A</v>
      </c>
      <c r="D745" s="6">
        <f>'Unique Dates'!B742</f>
        <v>0</v>
      </c>
      <c r="E745" t="str">
        <f>TEXT(Table57[[#This Row],[Date]],"dddd")</f>
        <v>Saturday</v>
      </c>
      <c r="F745" s="25" t="str" cm="1">
        <f t="array" ref="F745">IFERROR(_xlfn.XLOOKUP(Table57[[#This Row],[Code]],Table1[[#All],[Code]],Table1[[#All],[Time]],,0,1),"")</f>
        <v/>
      </c>
      <c r="G745" s="25" t="str" cm="1">
        <f t="array" ref="G745">IFERROR(_xlfn.XLOOKUP(Table57[[#This Row],[Code]],Table1[[#All],[Code]],Table1[[#All],[Time]],,0,-1),"")</f>
        <v/>
      </c>
      <c r="H745" s="23" t="str">
        <f>IFERROR(IF(Table57[[#This Row],[Out]]&gt;=Table57[[#This Row],[In]],Table57[[#This Row],[Out]]-Table57[[#This Row],[In]],(0.5+Table57[[#This Row],[Out]])-Table57[[#This Row],[In]]),"")</f>
        <v/>
      </c>
      <c r="I745" s="31" t="str">
        <f>IFERROR(IF(Table57[[#This Row],[In]]&gt;$C$2,Table57[[#This Row],[In]]-$C$2,""),"")</f>
        <v/>
      </c>
      <c r="J745" s="31" t="str">
        <f>IF(Table57[[#This Row],[Work_Hours]]=0,"",(IF(Table57[[#This Row],[Out]]&lt;$C$3,$C$3-Table57[[#This Row],[Out]],"")))</f>
        <v/>
      </c>
      <c r="K745" s="32" t="str">
        <f>IFERROR(Table57[[#This Row],[In]]+$C$1,"")</f>
        <v/>
      </c>
      <c r="L745" s="29"/>
      <c r="M745" s="31" t="str">
        <f>IF($C$2&gt;Table57[[#This Row],[In]],$C$2-Table57[[#This Row],[In]],"")</f>
        <v/>
      </c>
      <c r="N745" s="29" t="str">
        <f>IFERROR(IF(Table57[[#This Row],[Out]]&gt;$C$3,(Table57[[#This Row],[Out]])-($C$3),""),"")</f>
        <v/>
      </c>
    </row>
    <row r="746" spans="1:14" hidden="1" x14ac:dyDescent="0.25">
      <c r="A746" s="23" t="str">
        <f>Table57[[#This Row],[No.]]&amp;Table57[[#This Row],[Date]]</f>
        <v>00</v>
      </c>
      <c r="B746" s="22">
        <f>'Unique Dates'!A743</f>
        <v>0</v>
      </c>
      <c r="C746" s="22" t="e" cm="1">
        <f t="array" ref="C746">_xlfn.XLOOKUP(Table57[[#This Row],[No.]],Table2[[#All],[CODE]],Table2[[#All],[NAME]],,0,1)</f>
        <v>#N/A</v>
      </c>
      <c r="D746" s="6">
        <f>'Unique Dates'!B743</f>
        <v>0</v>
      </c>
      <c r="E746" t="str">
        <f>TEXT(Table57[[#This Row],[Date]],"dddd")</f>
        <v>Saturday</v>
      </c>
      <c r="F746" s="25" t="str" cm="1">
        <f t="array" ref="F746">IFERROR(_xlfn.XLOOKUP(Table57[[#This Row],[Code]],Table1[[#All],[Code]],Table1[[#All],[Time]],,0,1),"")</f>
        <v/>
      </c>
      <c r="G746" s="25" t="str" cm="1">
        <f t="array" ref="G746">IFERROR(_xlfn.XLOOKUP(Table57[[#This Row],[Code]],Table1[[#All],[Code]],Table1[[#All],[Time]],,0,-1),"")</f>
        <v/>
      </c>
      <c r="H746" s="23" t="str">
        <f>IFERROR(IF(Table57[[#This Row],[Out]]&gt;=Table57[[#This Row],[In]],Table57[[#This Row],[Out]]-Table57[[#This Row],[In]],(0.5+Table57[[#This Row],[Out]])-Table57[[#This Row],[In]]),"")</f>
        <v/>
      </c>
      <c r="I746" s="31" t="str">
        <f>IFERROR(IF(Table57[[#This Row],[In]]&gt;$C$2,Table57[[#This Row],[In]]-$C$2,""),"")</f>
        <v/>
      </c>
      <c r="J746" s="31" t="str">
        <f>IF(Table57[[#This Row],[Work_Hours]]=0,"",(IF(Table57[[#This Row],[Out]]&lt;$C$3,$C$3-Table57[[#This Row],[Out]],"")))</f>
        <v/>
      </c>
      <c r="K746" s="32" t="str">
        <f>IFERROR(Table57[[#This Row],[In]]+$C$1,"")</f>
        <v/>
      </c>
      <c r="L746" s="29"/>
      <c r="M746" s="31" t="str">
        <f>IF($C$2&gt;Table57[[#This Row],[In]],$C$2-Table57[[#This Row],[In]],"")</f>
        <v/>
      </c>
      <c r="N746" s="29" t="str">
        <f>IFERROR(IF(Table57[[#This Row],[Out]]&gt;$C$3,(Table57[[#This Row],[Out]])-($C$3),""),"")</f>
        <v/>
      </c>
    </row>
    <row r="747" spans="1:14" hidden="1" x14ac:dyDescent="0.25">
      <c r="A747" s="23" t="str">
        <f>Table57[[#This Row],[No.]]&amp;Table57[[#This Row],[Date]]</f>
        <v>00</v>
      </c>
      <c r="B747" s="22">
        <f>'Unique Dates'!A744</f>
        <v>0</v>
      </c>
      <c r="C747" s="22" t="e" cm="1">
        <f t="array" ref="C747">_xlfn.XLOOKUP(Table57[[#This Row],[No.]],Table2[[#All],[CODE]],Table2[[#All],[NAME]],,0,1)</f>
        <v>#N/A</v>
      </c>
      <c r="D747" s="6">
        <f>'Unique Dates'!B744</f>
        <v>0</v>
      </c>
      <c r="E747" t="str">
        <f>TEXT(Table57[[#This Row],[Date]],"dddd")</f>
        <v>Saturday</v>
      </c>
      <c r="F747" s="25" t="str" cm="1">
        <f t="array" ref="F747">IFERROR(_xlfn.XLOOKUP(Table57[[#This Row],[Code]],Table1[[#All],[Code]],Table1[[#All],[Time]],,0,1),"")</f>
        <v/>
      </c>
      <c r="G747" s="25" t="str" cm="1">
        <f t="array" ref="G747">IFERROR(_xlfn.XLOOKUP(Table57[[#This Row],[Code]],Table1[[#All],[Code]],Table1[[#All],[Time]],,0,-1),"")</f>
        <v/>
      </c>
      <c r="H747" s="23" t="str">
        <f>IFERROR(IF(Table57[[#This Row],[Out]]&gt;=Table57[[#This Row],[In]],Table57[[#This Row],[Out]]-Table57[[#This Row],[In]],(0.5+Table57[[#This Row],[Out]])-Table57[[#This Row],[In]]),"")</f>
        <v/>
      </c>
      <c r="I747" s="31" t="str">
        <f>IFERROR(IF(Table57[[#This Row],[In]]&gt;$C$2,Table57[[#This Row],[In]]-$C$2,""),"")</f>
        <v/>
      </c>
      <c r="J747" s="31" t="str">
        <f>IF(Table57[[#This Row],[Work_Hours]]=0,"",(IF(Table57[[#This Row],[Out]]&lt;$C$3,$C$3-Table57[[#This Row],[Out]],"")))</f>
        <v/>
      </c>
      <c r="K747" s="32" t="str">
        <f>IFERROR(Table57[[#This Row],[In]]+$C$1,"")</f>
        <v/>
      </c>
      <c r="L747" s="29"/>
      <c r="M747" s="31" t="str">
        <f>IF($C$2&gt;Table57[[#This Row],[In]],$C$2-Table57[[#This Row],[In]],"")</f>
        <v/>
      </c>
      <c r="N747" s="29" t="str">
        <f>IFERROR(IF(Table57[[#This Row],[Out]]&gt;$C$3,(Table57[[#This Row],[Out]])-($C$3),""),"")</f>
        <v/>
      </c>
    </row>
    <row r="748" spans="1:14" hidden="1" x14ac:dyDescent="0.25">
      <c r="A748" s="23" t="str">
        <f>Table57[[#This Row],[No.]]&amp;Table57[[#This Row],[Date]]</f>
        <v>00</v>
      </c>
      <c r="B748" s="22">
        <f>'Unique Dates'!A745</f>
        <v>0</v>
      </c>
      <c r="C748" s="22" t="e" cm="1">
        <f t="array" ref="C748">_xlfn.XLOOKUP(Table57[[#This Row],[No.]],Table2[[#All],[CODE]],Table2[[#All],[NAME]],,0,1)</f>
        <v>#N/A</v>
      </c>
      <c r="D748" s="6">
        <f>'Unique Dates'!B745</f>
        <v>0</v>
      </c>
      <c r="E748" t="str">
        <f>TEXT(Table57[[#This Row],[Date]],"dddd")</f>
        <v>Saturday</v>
      </c>
      <c r="F748" s="25" t="str" cm="1">
        <f t="array" ref="F748">IFERROR(_xlfn.XLOOKUP(Table57[[#This Row],[Code]],Table1[[#All],[Code]],Table1[[#All],[Time]],,0,1),"")</f>
        <v/>
      </c>
      <c r="G748" s="25" t="str" cm="1">
        <f t="array" ref="G748">IFERROR(_xlfn.XLOOKUP(Table57[[#This Row],[Code]],Table1[[#All],[Code]],Table1[[#All],[Time]],,0,-1),"")</f>
        <v/>
      </c>
      <c r="H748" s="23" t="str">
        <f>IFERROR(IF(Table57[[#This Row],[Out]]&gt;=Table57[[#This Row],[In]],Table57[[#This Row],[Out]]-Table57[[#This Row],[In]],(0.5+Table57[[#This Row],[Out]])-Table57[[#This Row],[In]]),"")</f>
        <v/>
      </c>
      <c r="I748" s="31" t="str">
        <f>IFERROR(IF(Table57[[#This Row],[In]]&gt;$C$2,Table57[[#This Row],[In]]-$C$2,""),"")</f>
        <v/>
      </c>
      <c r="J748" s="31" t="str">
        <f>IF(Table57[[#This Row],[Work_Hours]]=0,"",(IF(Table57[[#This Row],[Out]]&lt;$C$3,$C$3-Table57[[#This Row],[Out]],"")))</f>
        <v/>
      </c>
      <c r="K748" s="32" t="str">
        <f>IFERROR(Table57[[#This Row],[In]]+$C$1,"")</f>
        <v/>
      </c>
      <c r="L748" s="29"/>
      <c r="M748" s="31" t="str">
        <f>IF($C$2&gt;Table57[[#This Row],[In]],$C$2-Table57[[#This Row],[In]],"")</f>
        <v/>
      </c>
      <c r="N748" s="29" t="str">
        <f>IFERROR(IF(Table57[[#This Row],[Out]]&gt;$C$3,(Table57[[#This Row],[Out]])-($C$3),""),"")</f>
        <v/>
      </c>
    </row>
    <row r="749" spans="1:14" hidden="1" x14ac:dyDescent="0.25">
      <c r="A749" s="23" t="str">
        <f>Table57[[#This Row],[No.]]&amp;Table57[[#This Row],[Date]]</f>
        <v>00</v>
      </c>
      <c r="B749" s="22">
        <f>'Unique Dates'!A746</f>
        <v>0</v>
      </c>
      <c r="C749" s="22" t="e" cm="1">
        <f t="array" ref="C749">_xlfn.XLOOKUP(Table57[[#This Row],[No.]],Table2[[#All],[CODE]],Table2[[#All],[NAME]],,0,1)</f>
        <v>#N/A</v>
      </c>
      <c r="D749" s="6">
        <f>'Unique Dates'!B746</f>
        <v>0</v>
      </c>
      <c r="E749" t="str">
        <f>TEXT(Table57[[#This Row],[Date]],"dddd")</f>
        <v>Saturday</v>
      </c>
      <c r="F749" s="25" t="str" cm="1">
        <f t="array" ref="F749">IFERROR(_xlfn.XLOOKUP(Table57[[#This Row],[Code]],Table1[[#All],[Code]],Table1[[#All],[Time]],,0,1),"")</f>
        <v/>
      </c>
      <c r="G749" s="25" t="str" cm="1">
        <f t="array" ref="G749">IFERROR(_xlfn.XLOOKUP(Table57[[#This Row],[Code]],Table1[[#All],[Code]],Table1[[#All],[Time]],,0,-1),"")</f>
        <v/>
      </c>
      <c r="H749" s="23" t="str">
        <f>IFERROR(IF(Table57[[#This Row],[Out]]&gt;=Table57[[#This Row],[In]],Table57[[#This Row],[Out]]-Table57[[#This Row],[In]],(0.5+Table57[[#This Row],[Out]])-Table57[[#This Row],[In]]),"")</f>
        <v/>
      </c>
      <c r="I749" s="31" t="str">
        <f>IFERROR(IF(Table57[[#This Row],[In]]&gt;$C$2,Table57[[#This Row],[In]]-$C$2,""),"")</f>
        <v/>
      </c>
      <c r="J749" s="31" t="str">
        <f>IF(Table57[[#This Row],[Work_Hours]]=0,"",(IF(Table57[[#This Row],[Out]]&lt;$C$3,$C$3-Table57[[#This Row],[Out]],"")))</f>
        <v/>
      </c>
      <c r="K749" s="32" t="str">
        <f>IFERROR(Table57[[#This Row],[In]]+$C$1,"")</f>
        <v/>
      </c>
      <c r="L749" s="29"/>
      <c r="M749" s="31" t="str">
        <f>IF($C$2&gt;Table57[[#This Row],[In]],$C$2-Table57[[#This Row],[In]],"")</f>
        <v/>
      </c>
      <c r="N749" s="29" t="str">
        <f>IFERROR(IF(Table57[[#This Row],[Out]]&gt;$C$3,(Table57[[#This Row],[Out]])-($C$3),""),"")</f>
        <v/>
      </c>
    </row>
    <row r="750" spans="1:14" hidden="1" x14ac:dyDescent="0.25">
      <c r="A750" s="23" t="str">
        <f>Table57[[#This Row],[No.]]&amp;Table57[[#This Row],[Date]]</f>
        <v>00</v>
      </c>
      <c r="B750" s="22">
        <f>'Unique Dates'!A747</f>
        <v>0</v>
      </c>
      <c r="C750" s="22" t="e" cm="1">
        <f t="array" ref="C750">_xlfn.XLOOKUP(Table57[[#This Row],[No.]],Table2[[#All],[CODE]],Table2[[#All],[NAME]],,0,1)</f>
        <v>#N/A</v>
      </c>
      <c r="D750" s="6">
        <f>'Unique Dates'!B747</f>
        <v>0</v>
      </c>
      <c r="E750" t="str">
        <f>TEXT(Table57[[#This Row],[Date]],"dddd")</f>
        <v>Saturday</v>
      </c>
      <c r="F750" s="25" t="str" cm="1">
        <f t="array" ref="F750">IFERROR(_xlfn.XLOOKUP(Table57[[#This Row],[Code]],Table1[[#All],[Code]],Table1[[#All],[Time]],,0,1),"")</f>
        <v/>
      </c>
      <c r="G750" s="25" t="str" cm="1">
        <f t="array" ref="G750">IFERROR(_xlfn.XLOOKUP(Table57[[#This Row],[Code]],Table1[[#All],[Code]],Table1[[#All],[Time]],,0,-1),"")</f>
        <v/>
      </c>
      <c r="H750" s="23" t="str">
        <f>IFERROR(IF(Table57[[#This Row],[Out]]&gt;=Table57[[#This Row],[In]],Table57[[#This Row],[Out]]-Table57[[#This Row],[In]],(0.5+Table57[[#This Row],[Out]])-Table57[[#This Row],[In]]),"")</f>
        <v/>
      </c>
      <c r="I750" s="31" t="str">
        <f>IFERROR(IF(Table57[[#This Row],[In]]&gt;$C$2,Table57[[#This Row],[In]]-$C$2,""),"")</f>
        <v/>
      </c>
      <c r="J750" s="31" t="str">
        <f>IF(Table57[[#This Row],[Work_Hours]]=0,"",(IF(Table57[[#This Row],[Out]]&lt;$C$3,$C$3-Table57[[#This Row],[Out]],"")))</f>
        <v/>
      </c>
      <c r="K750" s="32" t="str">
        <f>IFERROR(Table57[[#This Row],[In]]+$C$1,"")</f>
        <v/>
      </c>
      <c r="L750" s="29"/>
      <c r="M750" s="31" t="str">
        <f>IF($C$2&gt;Table57[[#This Row],[In]],$C$2-Table57[[#This Row],[In]],"")</f>
        <v/>
      </c>
      <c r="N750" s="29" t="str">
        <f>IFERROR(IF(Table57[[#This Row],[Out]]&gt;$C$3,(Table57[[#This Row],[Out]])-($C$3),""),"")</f>
        <v/>
      </c>
    </row>
    <row r="751" spans="1:14" hidden="1" x14ac:dyDescent="0.25">
      <c r="A751" s="23" t="str">
        <f>Table57[[#This Row],[No.]]&amp;Table57[[#This Row],[Date]]</f>
        <v>00</v>
      </c>
      <c r="B751" s="22">
        <f>'Unique Dates'!A748</f>
        <v>0</v>
      </c>
      <c r="C751" s="22" t="e" cm="1">
        <f t="array" ref="C751">_xlfn.XLOOKUP(Table57[[#This Row],[No.]],Table2[[#All],[CODE]],Table2[[#All],[NAME]],,0,1)</f>
        <v>#N/A</v>
      </c>
      <c r="D751" s="6">
        <f>'Unique Dates'!B748</f>
        <v>0</v>
      </c>
      <c r="E751" t="str">
        <f>TEXT(Table57[[#This Row],[Date]],"dddd")</f>
        <v>Saturday</v>
      </c>
      <c r="F751" s="25" t="str" cm="1">
        <f t="array" ref="F751">IFERROR(_xlfn.XLOOKUP(Table57[[#This Row],[Code]],Table1[[#All],[Code]],Table1[[#All],[Time]],,0,1),"")</f>
        <v/>
      </c>
      <c r="G751" s="25" t="str" cm="1">
        <f t="array" ref="G751">IFERROR(_xlfn.XLOOKUP(Table57[[#This Row],[Code]],Table1[[#All],[Code]],Table1[[#All],[Time]],,0,-1),"")</f>
        <v/>
      </c>
      <c r="H751" s="23" t="str">
        <f>IFERROR(IF(Table57[[#This Row],[Out]]&gt;=Table57[[#This Row],[In]],Table57[[#This Row],[Out]]-Table57[[#This Row],[In]],(0.5+Table57[[#This Row],[Out]])-Table57[[#This Row],[In]]),"")</f>
        <v/>
      </c>
      <c r="I751" s="31" t="str">
        <f>IFERROR(IF(Table57[[#This Row],[In]]&gt;$C$2,Table57[[#This Row],[In]]-$C$2,""),"")</f>
        <v/>
      </c>
      <c r="J751" s="31" t="str">
        <f>IF(Table57[[#This Row],[Work_Hours]]=0,"",(IF(Table57[[#This Row],[Out]]&lt;$C$3,$C$3-Table57[[#This Row],[Out]],"")))</f>
        <v/>
      </c>
      <c r="K751" s="32" t="str">
        <f>IFERROR(Table57[[#This Row],[In]]+$C$1,"")</f>
        <v/>
      </c>
      <c r="L751" s="29"/>
      <c r="M751" s="31" t="str">
        <f>IF($C$2&gt;Table57[[#This Row],[In]],$C$2-Table57[[#This Row],[In]],"")</f>
        <v/>
      </c>
      <c r="N751" s="29" t="str">
        <f>IFERROR(IF(Table57[[#This Row],[Out]]&gt;$C$3,(Table57[[#This Row],[Out]])-($C$3),""),"")</f>
        <v/>
      </c>
    </row>
    <row r="752" spans="1:14" hidden="1" x14ac:dyDescent="0.25">
      <c r="A752" s="23" t="str">
        <f>Table57[[#This Row],[No.]]&amp;Table57[[#This Row],[Date]]</f>
        <v>00</v>
      </c>
      <c r="B752" s="22">
        <f>'Unique Dates'!A749</f>
        <v>0</v>
      </c>
      <c r="C752" s="22" t="e" cm="1">
        <f t="array" ref="C752">_xlfn.XLOOKUP(Table57[[#This Row],[No.]],Table2[[#All],[CODE]],Table2[[#All],[NAME]],,0,1)</f>
        <v>#N/A</v>
      </c>
      <c r="D752" s="6">
        <f>'Unique Dates'!B749</f>
        <v>0</v>
      </c>
      <c r="E752" t="str">
        <f>TEXT(Table57[[#This Row],[Date]],"dddd")</f>
        <v>Saturday</v>
      </c>
      <c r="F752" s="25" t="str" cm="1">
        <f t="array" ref="F752">IFERROR(_xlfn.XLOOKUP(Table57[[#This Row],[Code]],Table1[[#All],[Code]],Table1[[#All],[Time]],,0,1),"")</f>
        <v/>
      </c>
      <c r="G752" s="25" t="str" cm="1">
        <f t="array" ref="G752">IFERROR(_xlfn.XLOOKUP(Table57[[#This Row],[Code]],Table1[[#All],[Code]],Table1[[#All],[Time]],,0,-1),"")</f>
        <v/>
      </c>
      <c r="H752" s="23" t="str">
        <f>IFERROR(IF(Table57[[#This Row],[Out]]&gt;=Table57[[#This Row],[In]],Table57[[#This Row],[Out]]-Table57[[#This Row],[In]],(0.5+Table57[[#This Row],[Out]])-Table57[[#This Row],[In]]),"")</f>
        <v/>
      </c>
      <c r="I752" s="31" t="str">
        <f>IFERROR(IF(Table57[[#This Row],[In]]&gt;$C$2,Table57[[#This Row],[In]]-$C$2,""),"")</f>
        <v/>
      </c>
      <c r="J752" s="31" t="str">
        <f>IF(Table57[[#This Row],[Work_Hours]]=0,"",(IF(Table57[[#This Row],[Out]]&lt;$C$3,$C$3-Table57[[#This Row],[Out]],"")))</f>
        <v/>
      </c>
      <c r="K752" s="32" t="str">
        <f>IFERROR(Table57[[#This Row],[In]]+$C$1,"")</f>
        <v/>
      </c>
      <c r="L752" s="29"/>
      <c r="M752" s="31" t="str">
        <f>IF($C$2&gt;Table57[[#This Row],[In]],$C$2-Table57[[#This Row],[In]],"")</f>
        <v/>
      </c>
      <c r="N752" s="29" t="str">
        <f>IFERROR(IF(Table57[[#This Row],[Out]]&gt;$C$3,(Table57[[#This Row],[Out]])-($C$3),""),"")</f>
        <v/>
      </c>
    </row>
    <row r="753" spans="1:14" hidden="1" x14ac:dyDescent="0.25">
      <c r="A753" s="23" t="str">
        <f>Table57[[#This Row],[No.]]&amp;Table57[[#This Row],[Date]]</f>
        <v>00</v>
      </c>
      <c r="B753" s="22">
        <f>'Unique Dates'!A750</f>
        <v>0</v>
      </c>
      <c r="C753" s="22" t="e" cm="1">
        <f t="array" ref="C753">_xlfn.XLOOKUP(Table57[[#This Row],[No.]],Table2[[#All],[CODE]],Table2[[#All],[NAME]],,0,1)</f>
        <v>#N/A</v>
      </c>
      <c r="D753" s="6">
        <f>'Unique Dates'!B750</f>
        <v>0</v>
      </c>
      <c r="E753" t="str">
        <f>TEXT(Table57[[#This Row],[Date]],"dddd")</f>
        <v>Saturday</v>
      </c>
      <c r="F753" s="25" t="str" cm="1">
        <f t="array" ref="F753">IFERROR(_xlfn.XLOOKUP(Table57[[#This Row],[Code]],Table1[[#All],[Code]],Table1[[#All],[Time]],,0,1),"")</f>
        <v/>
      </c>
      <c r="G753" s="25" t="str" cm="1">
        <f t="array" ref="G753">IFERROR(_xlfn.XLOOKUP(Table57[[#This Row],[Code]],Table1[[#All],[Code]],Table1[[#All],[Time]],,0,-1),"")</f>
        <v/>
      </c>
      <c r="H753" s="23" t="str">
        <f>IFERROR(IF(Table57[[#This Row],[Out]]&gt;=Table57[[#This Row],[In]],Table57[[#This Row],[Out]]-Table57[[#This Row],[In]],(0.5+Table57[[#This Row],[Out]])-Table57[[#This Row],[In]]),"")</f>
        <v/>
      </c>
      <c r="I753" s="31" t="str">
        <f>IFERROR(IF(Table57[[#This Row],[In]]&gt;$C$2,Table57[[#This Row],[In]]-$C$2,""),"")</f>
        <v/>
      </c>
      <c r="J753" s="31" t="str">
        <f>IF(Table57[[#This Row],[Work_Hours]]=0,"",(IF(Table57[[#This Row],[Out]]&lt;$C$3,$C$3-Table57[[#This Row],[Out]],"")))</f>
        <v/>
      </c>
      <c r="K753" s="32" t="str">
        <f>IFERROR(Table57[[#This Row],[In]]+$C$1,"")</f>
        <v/>
      </c>
      <c r="L753" s="29"/>
      <c r="M753" s="31" t="str">
        <f>IF($C$2&gt;Table57[[#This Row],[In]],$C$2-Table57[[#This Row],[In]],"")</f>
        <v/>
      </c>
      <c r="N753" s="29" t="str">
        <f>IFERROR(IF(Table57[[#This Row],[Out]]&gt;$C$3,(Table57[[#This Row],[Out]])-($C$3),""),"")</f>
        <v/>
      </c>
    </row>
    <row r="754" spans="1:14" hidden="1" x14ac:dyDescent="0.25">
      <c r="A754" s="23" t="str">
        <f>Table57[[#This Row],[No.]]&amp;Table57[[#This Row],[Date]]</f>
        <v>00</v>
      </c>
      <c r="B754" s="22">
        <f>'Unique Dates'!A751</f>
        <v>0</v>
      </c>
      <c r="C754" s="22" t="e" cm="1">
        <f t="array" ref="C754">_xlfn.XLOOKUP(Table57[[#This Row],[No.]],Table2[[#All],[CODE]],Table2[[#All],[NAME]],,0,1)</f>
        <v>#N/A</v>
      </c>
      <c r="D754" s="6">
        <f>'Unique Dates'!B751</f>
        <v>0</v>
      </c>
      <c r="E754" t="str">
        <f>TEXT(Table57[[#This Row],[Date]],"dddd")</f>
        <v>Saturday</v>
      </c>
      <c r="F754" s="25" t="str" cm="1">
        <f t="array" ref="F754">IFERROR(_xlfn.XLOOKUP(Table57[[#This Row],[Code]],Table1[[#All],[Code]],Table1[[#All],[Time]],,0,1),"")</f>
        <v/>
      </c>
      <c r="G754" s="25" t="str" cm="1">
        <f t="array" ref="G754">IFERROR(_xlfn.XLOOKUP(Table57[[#This Row],[Code]],Table1[[#All],[Code]],Table1[[#All],[Time]],,0,-1),"")</f>
        <v/>
      </c>
      <c r="H754" s="23" t="str">
        <f>IFERROR(IF(Table57[[#This Row],[Out]]&gt;=Table57[[#This Row],[In]],Table57[[#This Row],[Out]]-Table57[[#This Row],[In]],(0.5+Table57[[#This Row],[Out]])-Table57[[#This Row],[In]]),"")</f>
        <v/>
      </c>
      <c r="I754" s="31" t="str">
        <f>IFERROR(IF(Table57[[#This Row],[In]]&gt;$C$2,Table57[[#This Row],[In]]-$C$2,""),"")</f>
        <v/>
      </c>
      <c r="J754" s="31" t="str">
        <f>IF(Table57[[#This Row],[Work_Hours]]=0,"",(IF(Table57[[#This Row],[Out]]&lt;$C$3,$C$3-Table57[[#This Row],[Out]],"")))</f>
        <v/>
      </c>
      <c r="K754" s="32" t="str">
        <f>IFERROR(Table57[[#This Row],[In]]+$C$1,"")</f>
        <v/>
      </c>
      <c r="L754" s="29"/>
      <c r="M754" s="31" t="str">
        <f>IF($C$2&gt;Table57[[#This Row],[In]],$C$2-Table57[[#This Row],[In]],"")</f>
        <v/>
      </c>
      <c r="N754" s="29" t="str">
        <f>IFERROR(IF(Table57[[#This Row],[Out]]&gt;$C$3,(Table57[[#This Row],[Out]])-($C$3),""),"")</f>
        <v/>
      </c>
    </row>
    <row r="755" spans="1:14" hidden="1" x14ac:dyDescent="0.25">
      <c r="A755" s="23" t="str">
        <f>Table57[[#This Row],[No.]]&amp;Table57[[#This Row],[Date]]</f>
        <v>00</v>
      </c>
      <c r="B755" s="22">
        <f>'Unique Dates'!A752</f>
        <v>0</v>
      </c>
      <c r="C755" s="22" t="e" cm="1">
        <f t="array" ref="C755">_xlfn.XLOOKUP(Table57[[#This Row],[No.]],Table2[[#All],[CODE]],Table2[[#All],[NAME]],,0,1)</f>
        <v>#N/A</v>
      </c>
      <c r="D755" s="6">
        <f>'Unique Dates'!B752</f>
        <v>0</v>
      </c>
      <c r="E755" t="str">
        <f>TEXT(Table57[[#This Row],[Date]],"dddd")</f>
        <v>Saturday</v>
      </c>
      <c r="F755" s="25" t="str" cm="1">
        <f t="array" ref="F755">IFERROR(_xlfn.XLOOKUP(Table57[[#This Row],[Code]],Table1[[#All],[Code]],Table1[[#All],[Time]],,0,1),"")</f>
        <v/>
      </c>
      <c r="G755" s="25" t="str" cm="1">
        <f t="array" ref="G755">IFERROR(_xlfn.XLOOKUP(Table57[[#This Row],[Code]],Table1[[#All],[Code]],Table1[[#All],[Time]],,0,-1),"")</f>
        <v/>
      </c>
      <c r="H755" s="23" t="str">
        <f>IFERROR(IF(Table57[[#This Row],[Out]]&gt;=Table57[[#This Row],[In]],Table57[[#This Row],[Out]]-Table57[[#This Row],[In]],(0.5+Table57[[#This Row],[Out]])-Table57[[#This Row],[In]]),"")</f>
        <v/>
      </c>
      <c r="I755" s="31" t="str">
        <f>IFERROR(IF(Table57[[#This Row],[In]]&gt;$C$2,Table57[[#This Row],[In]]-$C$2,""),"")</f>
        <v/>
      </c>
      <c r="J755" s="31" t="str">
        <f>IF(Table57[[#This Row],[Work_Hours]]=0,"",(IF(Table57[[#This Row],[Out]]&lt;$C$3,$C$3-Table57[[#This Row],[Out]],"")))</f>
        <v/>
      </c>
      <c r="K755" s="32" t="str">
        <f>IFERROR(Table57[[#This Row],[In]]+$C$1,"")</f>
        <v/>
      </c>
      <c r="L755" s="29"/>
      <c r="M755" s="31" t="str">
        <f>IF($C$2&gt;Table57[[#This Row],[In]],$C$2-Table57[[#This Row],[In]],"")</f>
        <v/>
      </c>
      <c r="N755" s="29" t="str">
        <f>IFERROR(IF(Table57[[#This Row],[Out]]&gt;$C$3,(Table57[[#This Row],[Out]])-($C$3),""),"")</f>
        <v/>
      </c>
    </row>
    <row r="756" spans="1:14" hidden="1" x14ac:dyDescent="0.25">
      <c r="A756" s="23" t="str">
        <f>Table57[[#This Row],[No.]]&amp;Table57[[#This Row],[Date]]</f>
        <v>00</v>
      </c>
      <c r="B756" s="22">
        <f>'Unique Dates'!A753</f>
        <v>0</v>
      </c>
      <c r="C756" s="22" t="e" cm="1">
        <f t="array" ref="C756">_xlfn.XLOOKUP(Table57[[#This Row],[No.]],Table2[[#All],[CODE]],Table2[[#All],[NAME]],,0,1)</f>
        <v>#N/A</v>
      </c>
      <c r="D756" s="6">
        <f>'Unique Dates'!B753</f>
        <v>0</v>
      </c>
      <c r="E756" t="str">
        <f>TEXT(Table57[[#This Row],[Date]],"dddd")</f>
        <v>Saturday</v>
      </c>
      <c r="F756" s="25" t="str" cm="1">
        <f t="array" ref="F756">IFERROR(_xlfn.XLOOKUP(Table57[[#This Row],[Code]],Table1[[#All],[Code]],Table1[[#All],[Time]],,0,1),"")</f>
        <v/>
      </c>
      <c r="G756" s="25" t="str" cm="1">
        <f t="array" ref="G756">IFERROR(_xlfn.XLOOKUP(Table57[[#This Row],[Code]],Table1[[#All],[Code]],Table1[[#All],[Time]],,0,-1),"")</f>
        <v/>
      </c>
      <c r="H756" s="23" t="str">
        <f>IFERROR(IF(Table57[[#This Row],[Out]]&gt;=Table57[[#This Row],[In]],Table57[[#This Row],[Out]]-Table57[[#This Row],[In]],(0.5+Table57[[#This Row],[Out]])-Table57[[#This Row],[In]]),"")</f>
        <v/>
      </c>
      <c r="I756" s="31" t="str">
        <f>IFERROR(IF(Table57[[#This Row],[In]]&gt;$C$2,Table57[[#This Row],[In]]-$C$2,""),"")</f>
        <v/>
      </c>
      <c r="J756" s="31" t="str">
        <f>IF(Table57[[#This Row],[Work_Hours]]=0,"",(IF(Table57[[#This Row],[Out]]&lt;$C$3,$C$3-Table57[[#This Row],[Out]],"")))</f>
        <v/>
      </c>
      <c r="K756" s="32" t="str">
        <f>IFERROR(Table57[[#This Row],[In]]+$C$1,"")</f>
        <v/>
      </c>
      <c r="L756" s="29"/>
      <c r="M756" s="31" t="str">
        <f>IF($C$2&gt;Table57[[#This Row],[In]],$C$2-Table57[[#This Row],[In]],"")</f>
        <v/>
      </c>
      <c r="N756" s="29" t="str">
        <f>IFERROR(IF(Table57[[#This Row],[Out]]&gt;$C$3,(Table57[[#This Row],[Out]])-($C$3),""),"")</f>
        <v/>
      </c>
    </row>
    <row r="757" spans="1:14" hidden="1" x14ac:dyDescent="0.25">
      <c r="A757" s="23" t="str">
        <f>Table57[[#This Row],[No.]]&amp;Table57[[#This Row],[Date]]</f>
        <v>00</v>
      </c>
      <c r="B757" s="22">
        <f>'Unique Dates'!A754</f>
        <v>0</v>
      </c>
      <c r="C757" s="22" t="e" cm="1">
        <f t="array" ref="C757">_xlfn.XLOOKUP(Table57[[#This Row],[No.]],Table2[[#All],[CODE]],Table2[[#All],[NAME]],,0,1)</f>
        <v>#N/A</v>
      </c>
      <c r="D757" s="6">
        <f>'Unique Dates'!B754</f>
        <v>0</v>
      </c>
      <c r="E757" t="str">
        <f>TEXT(Table57[[#This Row],[Date]],"dddd")</f>
        <v>Saturday</v>
      </c>
      <c r="F757" s="25" t="str" cm="1">
        <f t="array" ref="F757">IFERROR(_xlfn.XLOOKUP(Table57[[#This Row],[Code]],Table1[[#All],[Code]],Table1[[#All],[Time]],,0,1),"")</f>
        <v/>
      </c>
      <c r="G757" s="25" t="str" cm="1">
        <f t="array" ref="G757">IFERROR(_xlfn.XLOOKUP(Table57[[#This Row],[Code]],Table1[[#All],[Code]],Table1[[#All],[Time]],,0,-1),"")</f>
        <v/>
      </c>
      <c r="H757" s="23" t="str">
        <f>IFERROR(IF(Table57[[#This Row],[Out]]&gt;=Table57[[#This Row],[In]],Table57[[#This Row],[Out]]-Table57[[#This Row],[In]],(0.5+Table57[[#This Row],[Out]])-Table57[[#This Row],[In]]),"")</f>
        <v/>
      </c>
      <c r="I757" s="31" t="str">
        <f>IFERROR(IF(Table57[[#This Row],[In]]&gt;$C$2,Table57[[#This Row],[In]]-$C$2,""),"")</f>
        <v/>
      </c>
      <c r="J757" s="31" t="str">
        <f>IF(Table57[[#This Row],[Work_Hours]]=0,"",(IF(Table57[[#This Row],[Out]]&lt;$C$3,$C$3-Table57[[#This Row],[Out]],"")))</f>
        <v/>
      </c>
      <c r="K757" s="32" t="str">
        <f>IFERROR(Table57[[#This Row],[In]]+$C$1,"")</f>
        <v/>
      </c>
      <c r="L757" s="29"/>
      <c r="M757" s="31" t="str">
        <f>IF($C$2&gt;Table57[[#This Row],[In]],$C$2-Table57[[#This Row],[In]],"")</f>
        <v/>
      </c>
      <c r="N757" s="29" t="str">
        <f>IFERROR(IF(Table57[[#This Row],[Out]]&gt;$C$3,(Table57[[#This Row],[Out]])-($C$3),""),"")</f>
        <v/>
      </c>
    </row>
    <row r="758" spans="1:14" hidden="1" x14ac:dyDescent="0.25">
      <c r="A758" s="23" t="str">
        <f>Table57[[#This Row],[No.]]&amp;Table57[[#This Row],[Date]]</f>
        <v>00</v>
      </c>
      <c r="B758" s="22">
        <f>'Unique Dates'!A755</f>
        <v>0</v>
      </c>
      <c r="C758" s="22" t="e" cm="1">
        <f t="array" ref="C758">_xlfn.XLOOKUP(Table57[[#This Row],[No.]],Table2[[#All],[CODE]],Table2[[#All],[NAME]],,0,1)</f>
        <v>#N/A</v>
      </c>
      <c r="D758" s="6">
        <f>'Unique Dates'!B755</f>
        <v>0</v>
      </c>
      <c r="E758" t="str">
        <f>TEXT(Table57[[#This Row],[Date]],"dddd")</f>
        <v>Saturday</v>
      </c>
      <c r="F758" s="25" t="str" cm="1">
        <f t="array" ref="F758">IFERROR(_xlfn.XLOOKUP(Table57[[#This Row],[Code]],Table1[[#All],[Code]],Table1[[#All],[Time]],,0,1),"")</f>
        <v/>
      </c>
      <c r="G758" s="25" t="str" cm="1">
        <f t="array" ref="G758">IFERROR(_xlfn.XLOOKUP(Table57[[#This Row],[Code]],Table1[[#All],[Code]],Table1[[#All],[Time]],,0,-1),"")</f>
        <v/>
      </c>
      <c r="H758" s="23" t="str">
        <f>IFERROR(IF(Table57[[#This Row],[Out]]&gt;=Table57[[#This Row],[In]],Table57[[#This Row],[Out]]-Table57[[#This Row],[In]],(0.5+Table57[[#This Row],[Out]])-Table57[[#This Row],[In]]),"")</f>
        <v/>
      </c>
      <c r="I758" s="31" t="str">
        <f>IFERROR(IF(Table57[[#This Row],[In]]&gt;$C$2,Table57[[#This Row],[In]]-$C$2,""),"")</f>
        <v/>
      </c>
      <c r="J758" s="31" t="str">
        <f>IF(Table57[[#This Row],[Work_Hours]]=0,"",(IF(Table57[[#This Row],[Out]]&lt;$C$3,$C$3-Table57[[#This Row],[Out]],"")))</f>
        <v/>
      </c>
      <c r="K758" s="32" t="str">
        <f>IFERROR(Table57[[#This Row],[In]]+$C$1,"")</f>
        <v/>
      </c>
      <c r="L758" s="29"/>
      <c r="M758" s="31" t="str">
        <f>IF($C$2&gt;Table57[[#This Row],[In]],$C$2-Table57[[#This Row],[In]],"")</f>
        <v/>
      </c>
      <c r="N758" s="29" t="str">
        <f>IFERROR(IF(Table57[[#This Row],[Out]]&gt;$C$3,(Table57[[#This Row],[Out]])-($C$3),""),"")</f>
        <v/>
      </c>
    </row>
    <row r="759" spans="1:14" hidden="1" x14ac:dyDescent="0.25">
      <c r="A759" s="23" t="str">
        <f>Table57[[#This Row],[No.]]&amp;Table57[[#This Row],[Date]]</f>
        <v>00</v>
      </c>
      <c r="B759" s="22">
        <f>'Unique Dates'!A756</f>
        <v>0</v>
      </c>
      <c r="C759" s="22" t="e" cm="1">
        <f t="array" ref="C759">_xlfn.XLOOKUP(Table57[[#This Row],[No.]],Table2[[#All],[CODE]],Table2[[#All],[NAME]],,0,1)</f>
        <v>#N/A</v>
      </c>
      <c r="D759" s="6">
        <f>'Unique Dates'!B756</f>
        <v>0</v>
      </c>
      <c r="E759" t="str">
        <f>TEXT(Table57[[#This Row],[Date]],"dddd")</f>
        <v>Saturday</v>
      </c>
      <c r="F759" s="25" t="str" cm="1">
        <f t="array" ref="F759">IFERROR(_xlfn.XLOOKUP(Table57[[#This Row],[Code]],Table1[[#All],[Code]],Table1[[#All],[Time]],,0,1),"")</f>
        <v/>
      </c>
      <c r="G759" s="25" t="str" cm="1">
        <f t="array" ref="G759">IFERROR(_xlfn.XLOOKUP(Table57[[#This Row],[Code]],Table1[[#All],[Code]],Table1[[#All],[Time]],,0,-1),"")</f>
        <v/>
      </c>
      <c r="H759" s="23" t="str">
        <f>IFERROR(IF(Table57[[#This Row],[Out]]&gt;=Table57[[#This Row],[In]],Table57[[#This Row],[Out]]-Table57[[#This Row],[In]],(0.5+Table57[[#This Row],[Out]])-Table57[[#This Row],[In]]),"")</f>
        <v/>
      </c>
      <c r="I759" s="31" t="str">
        <f>IFERROR(IF(Table57[[#This Row],[In]]&gt;$C$2,Table57[[#This Row],[In]]-$C$2,""),"")</f>
        <v/>
      </c>
      <c r="J759" s="31" t="str">
        <f>IF(Table57[[#This Row],[Work_Hours]]=0,"",(IF(Table57[[#This Row],[Out]]&lt;$C$3,$C$3-Table57[[#This Row],[Out]],"")))</f>
        <v/>
      </c>
      <c r="K759" s="32" t="str">
        <f>IFERROR(Table57[[#This Row],[In]]+$C$1,"")</f>
        <v/>
      </c>
      <c r="L759" s="29"/>
      <c r="M759" s="31" t="str">
        <f>IF($C$2&gt;Table57[[#This Row],[In]],$C$2-Table57[[#This Row],[In]],"")</f>
        <v/>
      </c>
      <c r="N759" s="29" t="str">
        <f>IFERROR(IF(Table57[[#This Row],[Out]]&gt;$C$3,(Table57[[#This Row],[Out]])-($C$3),""),"")</f>
        <v/>
      </c>
    </row>
    <row r="760" spans="1:14" hidden="1" x14ac:dyDescent="0.25">
      <c r="A760" s="23" t="str">
        <f>Table57[[#This Row],[No.]]&amp;Table57[[#This Row],[Date]]</f>
        <v>00</v>
      </c>
      <c r="B760" s="22">
        <f>'Unique Dates'!A757</f>
        <v>0</v>
      </c>
      <c r="C760" s="22" t="e" cm="1">
        <f t="array" ref="C760">_xlfn.XLOOKUP(Table57[[#This Row],[No.]],Table2[[#All],[CODE]],Table2[[#All],[NAME]],,0,1)</f>
        <v>#N/A</v>
      </c>
      <c r="D760" s="6">
        <f>'Unique Dates'!B757</f>
        <v>0</v>
      </c>
      <c r="E760" t="str">
        <f>TEXT(Table57[[#This Row],[Date]],"dddd")</f>
        <v>Saturday</v>
      </c>
      <c r="F760" s="25" t="str" cm="1">
        <f t="array" ref="F760">IFERROR(_xlfn.XLOOKUP(Table57[[#This Row],[Code]],Table1[[#All],[Code]],Table1[[#All],[Time]],,0,1),"")</f>
        <v/>
      </c>
      <c r="G760" s="25" t="str" cm="1">
        <f t="array" ref="G760">IFERROR(_xlfn.XLOOKUP(Table57[[#This Row],[Code]],Table1[[#All],[Code]],Table1[[#All],[Time]],,0,-1),"")</f>
        <v/>
      </c>
      <c r="H760" s="23" t="str">
        <f>IFERROR(IF(Table57[[#This Row],[Out]]&gt;=Table57[[#This Row],[In]],Table57[[#This Row],[Out]]-Table57[[#This Row],[In]],(0.5+Table57[[#This Row],[Out]])-Table57[[#This Row],[In]]),"")</f>
        <v/>
      </c>
      <c r="I760" s="31" t="str">
        <f>IFERROR(IF(Table57[[#This Row],[In]]&gt;$C$2,Table57[[#This Row],[In]]-$C$2,""),"")</f>
        <v/>
      </c>
      <c r="J760" s="31" t="str">
        <f>IF(Table57[[#This Row],[Work_Hours]]=0,"",(IF(Table57[[#This Row],[Out]]&lt;$C$3,$C$3-Table57[[#This Row],[Out]],"")))</f>
        <v/>
      </c>
      <c r="K760" s="32" t="str">
        <f>IFERROR(Table57[[#This Row],[In]]+$C$1,"")</f>
        <v/>
      </c>
      <c r="L760" s="29"/>
      <c r="M760" s="31" t="str">
        <f>IF($C$2&gt;Table57[[#This Row],[In]],$C$2-Table57[[#This Row],[In]],"")</f>
        <v/>
      </c>
      <c r="N760" s="29" t="str">
        <f>IFERROR(IF(Table57[[#This Row],[Out]]&gt;$C$3,(Table57[[#This Row],[Out]])-($C$3),""),"")</f>
        <v/>
      </c>
    </row>
    <row r="761" spans="1:14" hidden="1" x14ac:dyDescent="0.25">
      <c r="A761" s="23" t="str">
        <f>Table57[[#This Row],[No.]]&amp;Table57[[#This Row],[Date]]</f>
        <v>00</v>
      </c>
      <c r="B761" s="22">
        <f>'Unique Dates'!A758</f>
        <v>0</v>
      </c>
      <c r="C761" s="22" t="e" cm="1">
        <f t="array" ref="C761">_xlfn.XLOOKUP(Table57[[#This Row],[No.]],Table2[[#All],[CODE]],Table2[[#All],[NAME]],,0,1)</f>
        <v>#N/A</v>
      </c>
      <c r="D761" s="6">
        <f>'Unique Dates'!B758</f>
        <v>0</v>
      </c>
      <c r="E761" t="str">
        <f>TEXT(Table57[[#This Row],[Date]],"dddd")</f>
        <v>Saturday</v>
      </c>
      <c r="F761" s="25" t="str" cm="1">
        <f t="array" ref="F761">IFERROR(_xlfn.XLOOKUP(Table57[[#This Row],[Code]],Table1[[#All],[Code]],Table1[[#All],[Time]],,0,1),"")</f>
        <v/>
      </c>
      <c r="G761" s="25" t="str" cm="1">
        <f t="array" ref="G761">IFERROR(_xlfn.XLOOKUP(Table57[[#This Row],[Code]],Table1[[#All],[Code]],Table1[[#All],[Time]],,0,-1),"")</f>
        <v/>
      </c>
      <c r="H761" s="23" t="str">
        <f>IFERROR(IF(Table57[[#This Row],[Out]]&gt;=Table57[[#This Row],[In]],Table57[[#This Row],[Out]]-Table57[[#This Row],[In]],(0.5+Table57[[#This Row],[Out]])-Table57[[#This Row],[In]]),"")</f>
        <v/>
      </c>
      <c r="I761" s="31" t="str">
        <f>IFERROR(IF(Table57[[#This Row],[In]]&gt;$C$2,Table57[[#This Row],[In]]-$C$2,""),"")</f>
        <v/>
      </c>
      <c r="J761" s="31" t="str">
        <f>IF(Table57[[#This Row],[Work_Hours]]=0,"",(IF(Table57[[#This Row],[Out]]&lt;$C$3,$C$3-Table57[[#This Row],[Out]],"")))</f>
        <v/>
      </c>
      <c r="K761" s="32" t="str">
        <f>IFERROR(Table57[[#This Row],[In]]+$C$1,"")</f>
        <v/>
      </c>
      <c r="L761" s="29"/>
      <c r="M761" s="31" t="str">
        <f>IF($C$2&gt;Table57[[#This Row],[In]],$C$2-Table57[[#This Row],[In]],"")</f>
        <v/>
      </c>
      <c r="N761" s="29" t="str">
        <f>IFERROR(IF(Table57[[#This Row],[Out]]&gt;$C$3,(Table57[[#This Row],[Out]])-($C$3),""),"")</f>
        <v/>
      </c>
    </row>
    <row r="762" spans="1:14" hidden="1" x14ac:dyDescent="0.25">
      <c r="A762" s="23" t="str">
        <f>Table57[[#This Row],[No.]]&amp;Table57[[#This Row],[Date]]</f>
        <v>00</v>
      </c>
      <c r="B762" s="22">
        <f>'Unique Dates'!A759</f>
        <v>0</v>
      </c>
      <c r="C762" s="22" t="e" cm="1">
        <f t="array" ref="C762">_xlfn.XLOOKUP(Table57[[#This Row],[No.]],Table2[[#All],[CODE]],Table2[[#All],[NAME]],,0,1)</f>
        <v>#N/A</v>
      </c>
      <c r="D762" s="6">
        <f>'Unique Dates'!B759</f>
        <v>0</v>
      </c>
      <c r="E762" t="str">
        <f>TEXT(Table57[[#This Row],[Date]],"dddd")</f>
        <v>Saturday</v>
      </c>
      <c r="F762" s="25" t="str" cm="1">
        <f t="array" ref="F762">IFERROR(_xlfn.XLOOKUP(Table57[[#This Row],[Code]],Table1[[#All],[Code]],Table1[[#All],[Time]],,0,1),"")</f>
        <v/>
      </c>
      <c r="G762" s="25" t="str" cm="1">
        <f t="array" ref="G762">IFERROR(_xlfn.XLOOKUP(Table57[[#This Row],[Code]],Table1[[#All],[Code]],Table1[[#All],[Time]],,0,-1),"")</f>
        <v/>
      </c>
      <c r="H762" s="23" t="str">
        <f>IFERROR(IF(Table57[[#This Row],[Out]]&gt;=Table57[[#This Row],[In]],Table57[[#This Row],[Out]]-Table57[[#This Row],[In]],(0.5+Table57[[#This Row],[Out]])-Table57[[#This Row],[In]]),"")</f>
        <v/>
      </c>
      <c r="I762" s="31" t="str">
        <f>IFERROR(IF(Table57[[#This Row],[In]]&gt;$C$2,Table57[[#This Row],[In]]-$C$2,""),"")</f>
        <v/>
      </c>
      <c r="J762" s="31" t="str">
        <f>IF(Table57[[#This Row],[Work_Hours]]=0,"",(IF(Table57[[#This Row],[Out]]&lt;$C$3,$C$3-Table57[[#This Row],[Out]],"")))</f>
        <v/>
      </c>
      <c r="K762" s="32" t="str">
        <f>IFERROR(Table57[[#This Row],[In]]+$C$1,"")</f>
        <v/>
      </c>
      <c r="L762" s="29"/>
      <c r="M762" s="31" t="str">
        <f>IF($C$2&gt;Table57[[#This Row],[In]],$C$2-Table57[[#This Row],[In]],"")</f>
        <v/>
      </c>
      <c r="N762" s="29" t="str">
        <f>IFERROR(IF(Table57[[#This Row],[Out]]&gt;$C$3,(Table57[[#This Row],[Out]])-($C$3),""),"")</f>
        <v/>
      </c>
    </row>
    <row r="763" spans="1:14" hidden="1" x14ac:dyDescent="0.25">
      <c r="A763" s="23" t="str">
        <f>Table57[[#This Row],[No.]]&amp;Table57[[#This Row],[Date]]</f>
        <v>00</v>
      </c>
      <c r="B763" s="22">
        <f>'Unique Dates'!A760</f>
        <v>0</v>
      </c>
      <c r="C763" s="22" t="e" cm="1">
        <f t="array" ref="C763">_xlfn.XLOOKUP(Table57[[#This Row],[No.]],Table2[[#All],[CODE]],Table2[[#All],[NAME]],,0,1)</f>
        <v>#N/A</v>
      </c>
      <c r="D763" s="6">
        <f>'Unique Dates'!B760</f>
        <v>0</v>
      </c>
      <c r="E763" t="str">
        <f>TEXT(Table57[[#This Row],[Date]],"dddd")</f>
        <v>Saturday</v>
      </c>
      <c r="F763" s="25" t="str" cm="1">
        <f t="array" ref="F763">IFERROR(_xlfn.XLOOKUP(Table57[[#This Row],[Code]],Table1[[#All],[Code]],Table1[[#All],[Time]],,0,1),"")</f>
        <v/>
      </c>
      <c r="G763" s="25" t="str" cm="1">
        <f t="array" ref="G763">IFERROR(_xlfn.XLOOKUP(Table57[[#This Row],[Code]],Table1[[#All],[Code]],Table1[[#All],[Time]],,0,-1),"")</f>
        <v/>
      </c>
      <c r="H763" s="23" t="str">
        <f>IFERROR(IF(Table57[[#This Row],[Out]]&gt;=Table57[[#This Row],[In]],Table57[[#This Row],[Out]]-Table57[[#This Row],[In]],(0.5+Table57[[#This Row],[Out]])-Table57[[#This Row],[In]]),"")</f>
        <v/>
      </c>
      <c r="I763" s="31" t="str">
        <f>IFERROR(IF(Table57[[#This Row],[In]]&gt;$C$2,Table57[[#This Row],[In]]-$C$2,""),"")</f>
        <v/>
      </c>
      <c r="J763" s="31" t="str">
        <f>IF(Table57[[#This Row],[Work_Hours]]=0,"",(IF(Table57[[#This Row],[Out]]&lt;$C$3,$C$3-Table57[[#This Row],[Out]],"")))</f>
        <v/>
      </c>
      <c r="K763" s="32" t="str">
        <f>IFERROR(Table57[[#This Row],[In]]+$C$1,"")</f>
        <v/>
      </c>
      <c r="L763" s="29"/>
      <c r="M763" s="31" t="str">
        <f>IF($C$2&gt;Table57[[#This Row],[In]],$C$2-Table57[[#This Row],[In]],"")</f>
        <v/>
      </c>
      <c r="N763" s="29" t="str">
        <f>IFERROR(IF(Table57[[#This Row],[Out]]&gt;$C$3,(Table57[[#This Row],[Out]])-($C$3),""),"")</f>
        <v/>
      </c>
    </row>
    <row r="764" spans="1:14" hidden="1" x14ac:dyDescent="0.25">
      <c r="A764" s="23" t="str">
        <f>Table57[[#This Row],[No.]]&amp;Table57[[#This Row],[Date]]</f>
        <v>00</v>
      </c>
      <c r="B764" s="22">
        <f>'Unique Dates'!A761</f>
        <v>0</v>
      </c>
      <c r="C764" s="22" t="e" cm="1">
        <f t="array" ref="C764">_xlfn.XLOOKUP(Table57[[#This Row],[No.]],Table2[[#All],[CODE]],Table2[[#All],[NAME]],,0,1)</f>
        <v>#N/A</v>
      </c>
      <c r="D764" s="6">
        <f>'Unique Dates'!B761</f>
        <v>0</v>
      </c>
      <c r="E764" t="str">
        <f>TEXT(Table57[[#This Row],[Date]],"dddd")</f>
        <v>Saturday</v>
      </c>
      <c r="F764" s="25" t="str" cm="1">
        <f t="array" ref="F764">IFERROR(_xlfn.XLOOKUP(Table57[[#This Row],[Code]],Table1[[#All],[Code]],Table1[[#All],[Time]],,0,1),"")</f>
        <v/>
      </c>
      <c r="G764" s="25" t="str" cm="1">
        <f t="array" ref="G764">IFERROR(_xlfn.XLOOKUP(Table57[[#This Row],[Code]],Table1[[#All],[Code]],Table1[[#All],[Time]],,0,-1),"")</f>
        <v/>
      </c>
      <c r="H764" s="23" t="str">
        <f>IFERROR(IF(Table57[[#This Row],[Out]]&gt;=Table57[[#This Row],[In]],Table57[[#This Row],[Out]]-Table57[[#This Row],[In]],(0.5+Table57[[#This Row],[Out]])-Table57[[#This Row],[In]]),"")</f>
        <v/>
      </c>
      <c r="I764" s="31" t="str">
        <f>IFERROR(IF(Table57[[#This Row],[In]]&gt;$C$2,Table57[[#This Row],[In]]-$C$2,""),"")</f>
        <v/>
      </c>
      <c r="J764" s="31" t="str">
        <f>IF(Table57[[#This Row],[Work_Hours]]=0,"",(IF(Table57[[#This Row],[Out]]&lt;$C$3,$C$3-Table57[[#This Row],[Out]],"")))</f>
        <v/>
      </c>
      <c r="K764" s="32" t="str">
        <f>IFERROR(Table57[[#This Row],[In]]+$C$1,"")</f>
        <v/>
      </c>
      <c r="L764" s="29"/>
      <c r="M764" s="31" t="str">
        <f>IF($C$2&gt;Table57[[#This Row],[In]],$C$2-Table57[[#This Row],[In]],"")</f>
        <v/>
      </c>
      <c r="N764" s="29" t="str">
        <f>IFERROR(IF(Table57[[#This Row],[Out]]&gt;$C$3,(Table57[[#This Row],[Out]])-($C$3),""),"")</f>
        <v/>
      </c>
    </row>
    <row r="765" spans="1:14" hidden="1" x14ac:dyDescent="0.25">
      <c r="A765" s="23" t="str">
        <f>Table57[[#This Row],[No.]]&amp;Table57[[#This Row],[Date]]</f>
        <v>00</v>
      </c>
      <c r="B765" s="22">
        <f>'Unique Dates'!A762</f>
        <v>0</v>
      </c>
      <c r="C765" s="22" t="e" cm="1">
        <f t="array" ref="C765">_xlfn.XLOOKUP(Table57[[#This Row],[No.]],Table2[[#All],[CODE]],Table2[[#All],[NAME]],,0,1)</f>
        <v>#N/A</v>
      </c>
      <c r="D765" s="6">
        <f>'Unique Dates'!B762</f>
        <v>0</v>
      </c>
      <c r="E765" t="str">
        <f>TEXT(Table57[[#This Row],[Date]],"dddd")</f>
        <v>Saturday</v>
      </c>
      <c r="F765" s="25" t="str" cm="1">
        <f t="array" ref="F765">IFERROR(_xlfn.XLOOKUP(Table57[[#This Row],[Code]],Table1[[#All],[Code]],Table1[[#All],[Time]],,0,1),"")</f>
        <v/>
      </c>
      <c r="G765" s="25" t="str" cm="1">
        <f t="array" ref="G765">IFERROR(_xlfn.XLOOKUP(Table57[[#This Row],[Code]],Table1[[#All],[Code]],Table1[[#All],[Time]],,0,-1),"")</f>
        <v/>
      </c>
      <c r="H765" s="23" t="str">
        <f>IFERROR(IF(Table57[[#This Row],[Out]]&gt;=Table57[[#This Row],[In]],Table57[[#This Row],[Out]]-Table57[[#This Row],[In]],(0.5+Table57[[#This Row],[Out]])-Table57[[#This Row],[In]]),"")</f>
        <v/>
      </c>
      <c r="I765" s="31" t="str">
        <f>IFERROR(IF(Table57[[#This Row],[In]]&gt;$C$2,Table57[[#This Row],[In]]-$C$2,""),"")</f>
        <v/>
      </c>
      <c r="J765" s="31" t="str">
        <f>IF(Table57[[#This Row],[Work_Hours]]=0,"",(IF(Table57[[#This Row],[Out]]&lt;$C$3,$C$3-Table57[[#This Row],[Out]],"")))</f>
        <v/>
      </c>
      <c r="K765" s="32" t="str">
        <f>IFERROR(Table57[[#This Row],[In]]+$C$1,"")</f>
        <v/>
      </c>
      <c r="L765" s="29"/>
      <c r="M765" s="31" t="str">
        <f>IF($C$2&gt;Table57[[#This Row],[In]],$C$2-Table57[[#This Row],[In]],"")</f>
        <v/>
      </c>
      <c r="N765" s="29" t="str">
        <f>IFERROR(IF(Table57[[#This Row],[Out]]&gt;$C$3,(Table57[[#This Row],[Out]])-($C$3),""),"")</f>
        <v/>
      </c>
    </row>
    <row r="766" spans="1:14" hidden="1" x14ac:dyDescent="0.25">
      <c r="A766" s="23" t="str">
        <f>Table57[[#This Row],[No.]]&amp;Table57[[#This Row],[Date]]</f>
        <v>00</v>
      </c>
      <c r="B766" s="22">
        <f>'Unique Dates'!A763</f>
        <v>0</v>
      </c>
      <c r="C766" s="22" t="e" cm="1">
        <f t="array" ref="C766">_xlfn.XLOOKUP(Table57[[#This Row],[No.]],Table2[[#All],[CODE]],Table2[[#All],[NAME]],,0,1)</f>
        <v>#N/A</v>
      </c>
      <c r="D766" s="6">
        <f>'Unique Dates'!B763</f>
        <v>0</v>
      </c>
      <c r="E766" t="str">
        <f>TEXT(Table57[[#This Row],[Date]],"dddd")</f>
        <v>Saturday</v>
      </c>
      <c r="F766" s="25" t="str" cm="1">
        <f t="array" ref="F766">IFERROR(_xlfn.XLOOKUP(Table57[[#This Row],[Code]],Table1[[#All],[Code]],Table1[[#All],[Time]],,0,1),"")</f>
        <v/>
      </c>
      <c r="G766" s="25" t="str" cm="1">
        <f t="array" ref="G766">IFERROR(_xlfn.XLOOKUP(Table57[[#This Row],[Code]],Table1[[#All],[Code]],Table1[[#All],[Time]],,0,-1),"")</f>
        <v/>
      </c>
      <c r="H766" s="23" t="str">
        <f>IFERROR(IF(Table57[[#This Row],[Out]]&gt;=Table57[[#This Row],[In]],Table57[[#This Row],[Out]]-Table57[[#This Row],[In]],(0.5+Table57[[#This Row],[Out]])-Table57[[#This Row],[In]]),"")</f>
        <v/>
      </c>
      <c r="I766" s="31" t="str">
        <f>IFERROR(IF(Table57[[#This Row],[In]]&gt;$C$2,Table57[[#This Row],[In]]-$C$2,""),"")</f>
        <v/>
      </c>
      <c r="J766" s="31" t="str">
        <f>IF(Table57[[#This Row],[Work_Hours]]=0,"",(IF(Table57[[#This Row],[Out]]&lt;$C$3,$C$3-Table57[[#This Row],[Out]],"")))</f>
        <v/>
      </c>
      <c r="K766" s="32" t="str">
        <f>IFERROR(Table57[[#This Row],[In]]+$C$1,"")</f>
        <v/>
      </c>
      <c r="L766" s="29"/>
      <c r="M766" s="31" t="str">
        <f>IF($C$2&gt;Table57[[#This Row],[In]],$C$2-Table57[[#This Row],[In]],"")</f>
        <v/>
      </c>
      <c r="N766" s="29" t="str">
        <f>IFERROR(IF(Table57[[#This Row],[Out]]&gt;$C$3,(Table57[[#This Row],[Out]])-($C$3),""),"")</f>
        <v/>
      </c>
    </row>
    <row r="767" spans="1:14" hidden="1" x14ac:dyDescent="0.25">
      <c r="A767" s="23" t="str">
        <f>Table57[[#This Row],[No.]]&amp;Table57[[#This Row],[Date]]</f>
        <v>00</v>
      </c>
      <c r="B767" s="22">
        <f>'Unique Dates'!A764</f>
        <v>0</v>
      </c>
      <c r="C767" s="22" t="e" cm="1">
        <f t="array" ref="C767">_xlfn.XLOOKUP(Table57[[#This Row],[No.]],Table2[[#All],[CODE]],Table2[[#All],[NAME]],,0,1)</f>
        <v>#N/A</v>
      </c>
      <c r="D767" s="6">
        <f>'Unique Dates'!B764</f>
        <v>0</v>
      </c>
      <c r="E767" t="str">
        <f>TEXT(Table57[[#This Row],[Date]],"dddd")</f>
        <v>Saturday</v>
      </c>
      <c r="F767" s="25" t="str" cm="1">
        <f t="array" ref="F767">IFERROR(_xlfn.XLOOKUP(Table57[[#This Row],[Code]],Table1[[#All],[Code]],Table1[[#All],[Time]],,0,1),"")</f>
        <v/>
      </c>
      <c r="G767" s="25" t="str" cm="1">
        <f t="array" ref="G767">IFERROR(_xlfn.XLOOKUP(Table57[[#This Row],[Code]],Table1[[#All],[Code]],Table1[[#All],[Time]],,0,-1),"")</f>
        <v/>
      </c>
      <c r="H767" s="23" t="str">
        <f>IFERROR(IF(Table57[[#This Row],[Out]]&gt;=Table57[[#This Row],[In]],Table57[[#This Row],[Out]]-Table57[[#This Row],[In]],(0.5+Table57[[#This Row],[Out]])-Table57[[#This Row],[In]]),"")</f>
        <v/>
      </c>
      <c r="I767" s="31" t="str">
        <f>IFERROR(IF(Table57[[#This Row],[In]]&gt;$C$2,Table57[[#This Row],[In]]-$C$2,""),"")</f>
        <v/>
      </c>
      <c r="J767" s="31" t="str">
        <f>IF(Table57[[#This Row],[Work_Hours]]=0,"",(IF(Table57[[#This Row],[Out]]&lt;$C$3,$C$3-Table57[[#This Row],[Out]],"")))</f>
        <v/>
      </c>
      <c r="K767" s="32" t="str">
        <f>IFERROR(Table57[[#This Row],[In]]+$C$1,"")</f>
        <v/>
      </c>
      <c r="L767" s="29"/>
      <c r="M767" s="31" t="str">
        <f>IF($C$2&gt;Table57[[#This Row],[In]],$C$2-Table57[[#This Row],[In]],"")</f>
        <v/>
      </c>
      <c r="N767" s="29" t="str">
        <f>IFERROR(IF(Table57[[#This Row],[Out]]&gt;$C$3,(Table57[[#This Row],[Out]])-($C$3),""),"")</f>
        <v/>
      </c>
    </row>
    <row r="768" spans="1:14" hidden="1" x14ac:dyDescent="0.25">
      <c r="A768" s="23" t="str">
        <f>Table57[[#This Row],[No.]]&amp;Table57[[#This Row],[Date]]</f>
        <v>00</v>
      </c>
      <c r="B768" s="22">
        <f>'Unique Dates'!A765</f>
        <v>0</v>
      </c>
      <c r="C768" s="22" t="e" cm="1">
        <f t="array" ref="C768">_xlfn.XLOOKUP(Table57[[#This Row],[No.]],Table2[[#All],[CODE]],Table2[[#All],[NAME]],,0,1)</f>
        <v>#N/A</v>
      </c>
      <c r="D768" s="6">
        <f>'Unique Dates'!B765</f>
        <v>0</v>
      </c>
      <c r="E768" t="str">
        <f>TEXT(Table57[[#This Row],[Date]],"dddd")</f>
        <v>Saturday</v>
      </c>
      <c r="F768" s="25" t="str" cm="1">
        <f t="array" ref="F768">IFERROR(_xlfn.XLOOKUP(Table57[[#This Row],[Code]],Table1[[#All],[Code]],Table1[[#All],[Time]],,0,1),"")</f>
        <v/>
      </c>
      <c r="G768" s="25" t="str" cm="1">
        <f t="array" ref="G768">IFERROR(_xlfn.XLOOKUP(Table57[[#This Row],[Code]],Table1[[#All],[Code]],Table1[[#All],[Time]],,0,-1),"")</f>
        <v/>
      </c>
      <c r="H768" s="23" t="str">
        <f>IFERROR(IF(Table57[[#This Row],[Out]]&gt;=Table57[[#This Row],[In]],Table57[[#This Row],[Out]]-Table57[[#This Row],[In]],(0.5+Table57[[#This Row],[Out]])-Table57[[#This Row],[In]]),"")</f>
        <v/>
      </c>
      <c r="I768" s="31" t="str">
        <f>IFERROR(IF(Table57[[#This Row],[In]]&gt;$C$2,Table57[[#This Row],[In]]-$C$2,""),"")</f>
        <v/>
      </c>
      <c r="J768" s="31" t="str">
        <f>IF(Table57[[#This Row],[Work_Hours]]=0,"",(IF(Table57[[#This Row],[Out]]&lt;$C$3,$C$3-Table57[[#This Row],[Out]],"")))</f>
        <v/>
      </c>
      <c r="K768" s="32" t="str">
        <f>IFERROR(Table57[[#This Row],[In]]+$C$1,"")</f>
        <v/>
      </c>
      <c r="L768" s="29"/>
      <c r="M768" s="31" t="str">
        <f>IF($C$2&gt;Table57[[#This Row],[In]],$C$2-Table57[[#This Row],[In]],"")</f>
        <v/>
      </c>
      <c r="N768" s="29" t="str">
        <f>IFERROR(IF(Table57[[#This Row],[Out]]&gt;$C$3,(Table57[[#This Row],[Out]])-($C$3),""),"")</f>
        <v/>
      </c>
    </row>
    <row r="769" spans="1:14" hidden="1" x14ac:dyDescent="0.25">
      <c r="A769" s="23" t="str">
        <f>Table57[[#This Row],[No.]]&amp;Table57[[#This Row],[Date]]</f>
        <v>00</v>
      </c>
      <c r="B769" s="22">
        <f>'Unique Dates'!A766</f>
        <v>0</v>
      </c>
      <c r="C769" s="22" t="e" cm="1">
        <f t="array" ref="C769">_xlfn.XLOOKUP(Table57[[#This Row],[No.]],Table2[[#All],[CODE]],Table2[[#All],[NAME]],,0,1)</f>
        <v>#N/A</v>
      </c>
      <c r="D769" s="6">
        <f>'Unique Dates'!B766</f>
        <v>0</v>
      </c>
      <c r="E769" t="str">
        <f>TEXT(Table57[[#This Row],[Date]],"dddd")</f>
        <v>Saturday</v>
      </c>
      <c r="F769" s="25" t="str" cm="1">
        <f t="array" ref="F769">IFERROR(_xlfn.XLOOKUP(Table57[[#This Row],[Code]],Table1[[#All],[Code]],Table1[[#All],[Time]],,0,1),"")</f>
        <v/>
      </c>
      <c r="G769" s="25" t="str" cm="1">
        <f t="array" ref="G769">IFERROR(_xlfn.XLOOKUP(Table57[[#This Row],[Code]],Table1[[#All],[Code]],Table1[[#All],[Time]],,0,-1),"")</f>
        <v/>
      </c>
      <c r="H769" s="23" t="str">
        <f>IFERROR(IF(Table57[[#This Row],[Out]]&gt;=Table57[[#This Row],[In]],Table57[[#This Row],[Out]]-Table57[[#This Row],[In]],(0.5+Table57[[#This Row],[Out]])-Table57[[#This Row],[In]]),"")</f>
        <v/>
      </c>
      <c r="I769" s="31" t="str">
        <f>IFERROR(IF(Table57[[#This Row],[In]]&gt;$C$2,Table57[[#This Row],[In]]-$C$2,""),"")</f>
        <v/>
      </c>
      <c r="J769" s="31" t="str">
        <f>IF(Table57[[#This Row],[Work_Hours]]=0,"",(IF(Table57[[#This Row],[Out]]&lt;$C$3,$C$3-Table57[[#This Row],[Out]],"")))</f>
        <v/>
      </c>
      <c r="K769" s="32" t="str">
        <f>IFERROR(Table57[[#This Row],[In]]+$C$1,"")</f>
        <v/>
      </c>
      <c r="L769" s="29"/>
      <c r="M769" s="31" t="str">
        <f>IF($C$2&gt;Table57[[#This Row],[In]],$C$2-Table57[[#This Row],[In]],"")</f>
        <v/>
      </c>
      <c r="N769" s="29" t="str">
        <f>IFERROR(IF(Table57[[#This Row],[Out]]&gt;$C$3,(Table57[[#This Row],[Out]])-($C$3),""),"")</f>
        <v/>
      </c>
    </row>
    <row r="770" spans="1:14" hidden="1" x14ac:dyDescent="0.25">
      <c r="A770" s="23" t="str">
        <f>Table57[[#This Row],[No.]]&amp;Table57[[#This Row],[Date]]</f>
        <v>00</v>
      </c>
      <c r="B770" s="22">
        <f>'Unique Dates'!A767</f>
        <v>0</v>
      </c>
      <c r="C770" s="22" t="e" cm="1">
        <f t="array" ref="C770">_xlfn.XLOOKUP(Table57[[#This Row],[No.]],Table2[[#All],[CODE]],Table2[[#All],[NAME]],,0,1)</f>
        <v>#N/A</v>
      </c>
      <c r="D770" s="6">
        <f>'Unique Dates'!B767</f>
        <v>0</v>
      </c>
      <c r="E770" t="str">
        <f>TEXT(Table57[[#This Row],[Date]],"dddd")</f>
        <v>Saturday</v>
      </c>
      <c r="F770" s="25" t="str" cm="1">
        <f t="array" ref="F770">IFERROR(_xlfn.XLOOKUP(Table57[[#This Row],[Code]],Table1[[#All],[Code]],Table1[[#All],[Time]],,0,1),"")</f>
        <v/>
      </c>
      <c r="G770" s="25" t="str" cm="1">
        <f t="array" ref="G770">IFERROR(_xlfn.XLOOKUP(Table57[[#This Row],[Code]],Table1[[#All],[Code]],Table1[[#All],[Time]],,0,-1),"")</f>
        <v/>
      </c>
      <c r="H770" s="23" t="str">
        <f>IFERROR(IF(Table57[[#This Row],[Out]]&gt;=Table57[[#This Row],[In]],Table57[[#This Row],[Out]]-Table57[[#This Row],[In]],(0.5+Table57[[#This Row],[Out]])-Table57[[#This Row],[In]]),"")</f>
        <v/>
      </c>
      <c r="I770" s="31" t="str">
        <f>IFERROR(IF(Table57[[#This Row],[In]]&gt;$C$2,Table57[[#This Row],[In]]-$C$2,""),"")</f>
        <v/>
      </c>
      <c r="J770" s="31" t="str">
        <f>IF(Table57[[#This Row],[Work_Hours]]=0,"",(IF(Table57[[#This Row],[Out]]&lt;$C$3,$C$3-Table57[[#This Row],[Out]],"")))</f>
        <v/>
      </c>
      <c r="K770" s="32" t="str">
        <f>IFERROR(Table57[[#This Row],[In]]+$C$1,"")</f>
        <v/>
      </c>
      <c r="L770" s="29"/>
      <c r="M770" s="31" t="str">
        <f>IF($C$2&gt;Table57[[#This Row],[In]],$C$2-Table57[[#This Row],[In]],"")</f>
        <v/>
      </c>
      <c r="N770" s="29" t="str">
        <f>IFERROR(IF(Table57[[#This Row],[Out]]&gt;$C$3,(Table57[[#This Row],[Out]])-($C$3),""),"")</f>
        <v/>
      </c>
    </row>
    <row r="771" spans="1:14" hidden="1" x14ac:dyDescent="0.25">
      <c r="A771" s="23" t="str">
        <f>Table57[[#This Row],[No.]]&amp;Table57[[#This Row],[Date]]</f>
        <v>00</v>
      </c>
      <c r="B771" s="22">
        <f>'Unique Dates'!A768</f>
        <v>0</v>
      </c>
      <c r="C771" s="22" t="e" cm="1">
        <f t="array" ref="C771">_xlfn.XLOOKUP(Table57[[#This Row],[No.]],Table2[[#All],[CODE]],Table2[[#All],[NAME]],,0,1)</f>
        <v>#N/A</v>
      </c>
      <c r="D771" s="6">
        <f>'Unique Dates'!B768</f>
        <v>0</v>
      </c>
      <c r="E771" t="str">
        <f>TEXT(Table57[[#This Row],[Date]],"dddd")</f>
        <v>Saturday</v>
      </c>
      <c r="F771" s="25" t="str" cm="1">
        <f t="array" ref="F771">IFERROR(_xlfn.XLOOKUP(Table57[[#This Row],[Code]],Table1[[#All],[Code]],Table1[[#All],[Time]],,0,1),"")</f>
        <v/>
      </c>
      <c r="G771" s="25" t="str" cm="1">
        <f t="array" ref="G771">IFERROR(_xlfn.XLOOKUP(Table57[[#This Row],[Code]],Table1[[#All],[Code]],Table1[[#All],[Time]],,0,-1),"")</f>
        <v/>
      </c>
      <c r="H771" s="23" t="str">
        <f>IFERROR(IF(Table57[[#This Row],[Out]]&gt;=Table57[[#This Row],[In]],Table57[[#This Row],[Out]]-Table57[[#This Row],[In]],(0.5+Table57[[#This Row],[Out]])-Table57[[#This Row],[In]]),"")</f>
        <v/>
      </c>
      <c r="I771" s="31" t="str">
        <f>IFERROR(IF(Table57[[#This Row],[In]]&gt;$C$2,Table57[[#This Row],[In]]-$C$2,""),"")</f>
        <v/>
      </c>
      <c r="J771" s="31" t="str">
        <f>IF(Table57[[#This Row],[Work_Hours]]=0,"",(IF(Table57[[#This Row],[Out]]&lt;$C$3,$C$3-Table57[[#This Row],[Out]],"")))</f>
        <v/>
      </c>
      <c r="K771" s="32" t="str">
        <f>IFERROR(Table57[[#This Row],[In]]+$C$1,"")</f>
        <v/>
      </c>
      <c r="L771" s="29"/>
      <c r="M771" s="31" t="str">
        <f>IF($C$2&gt;Table57[[#This Row],[In]],$C$2-Table57[[#This Row],[In]],"")</f>
        <v/>
      </c>
      <c r="N771" s="29" t="str">
        <f>IFERROR(IF(Table57[[#This Row],[Out]]&gt;$C$3,(Table57[[#This Row],[Out]])-($C$3),""),"")</f>
        <v/>
      </c>
    </row>
    <row r="772" spans="1:14" hidden="1" x14ac:dyDescent="0.25">
      <c r="A772" s="23" t="str">
        <f>Table57[[#This Row],[No.]]&amp;Table57[[#This Row],[Date]]</f>
        <v>00</v>
      </c>
      <c r="B772" s="22">
        <f>'Unique Dates'!A769</f>
        <v>0</v>
      </c>
      <c r="C772" s="22" t="e" cm="1">
        <f t="array" ref="C772">_xlfn.XLOOKUP(Table57[[#This Row],[No.]],Table2[[#All],[CODE]],Table2[[#All],[NAME]],,0,1)</f>
        <v>#N/A</v>
      </c>
      <c r="D772" s="6">
        <f>'Unique Dates'!B769</f>
        <v>0</v>
      </c>
      <c r="E772" t="str">
        <f>TEXT(Table57[[#This Row],[Date]],"dddd")</f>
        <v>Saturday</v>
      </c>
      <c r="F772" s="25" t="str" cm="1">
        <f t="array" ref="F772">IFERROR(_xlfn.XLOOKUP(Table57[[#This Row],[Code]],Table1[[#All],[Code]],Table1[[#All],[Time]],,0,1),"")</f>
        <v/>
      </c>
      <c r="G772" s="25" t="str" cm="1">
        <f t="array" ref="G772">IFERROR(_xlfn.XLOOKUP(Table57[[#This Row],[Code]],Table1[[#All],[Code]],Table1[[#All],[Time]],,0,-1),"")</f>
        <v/>
      </c>
      <c r="H772" s="23" t="str">
        <f>IFERROR(IF(Table57[[#This Row],[Out]]&gt;=Table57[[#This Row],[In]],Table57[[#This Row],[Out]]-Table57[[#This Row],[In]],(0.5+Table57[[#This Row],[Out]])-Table57[[#This Row],[In]]),"")</f>
        <v/>
      </c>
      <c r="I772" s="31" t="str">
        <f>IFERROR(IF(Table57[[#This Row],[In]]&gt;$C$2,Table57[[#This Row],[In]]-$C$2,""),"")</f>
        <v/>
      </c>
      <c r="J772" s="31" t="str">
        <f>IF(Table57[[#This Row],[Work_Hours]]=0,"",(IF(Table57[[#This Row],[Out]]&lt;$C$3,$C$3-Table57[[#This Row],[Out]],"")))</f>
        <v/>
      </c>
      <c r="K772" s="32" t="str">
        <f>IFERROR(Table57[[#This Row],[In]]+$C$1,"")</f>
        <v/>
      </c>
      <c r="L772" s="29"/>
      <c r="M772" s="31" t="str">
        <f>IF($C$2&gt;Table57[[#This Row],[In]],$C$2-Table57[[#This Row],[In]],"")</f>
        <v/>
      </c>
      <c r="N772" s="29" t="str">
        <f>IFERROR(IF(Table57[[#This Row],[Out]]&gt;$C$3,(Table57[[#This Row],[Out]])-($C$3),""),"")</f>
        <v/>
      </c>
    </row>
    <row r="773" spans="1:14" hidden="1" x14ac:dyDescent="0.25">
      <c r="A773" s="23" t="str">
        <f>Table57[[#This Row],[No.]]&amp;Table57[[#This Row],[Date]]</f>
        <v>00</v>
      </c>
      <c r="B773" s="22">
        <f>'Unique Dates'!A770</f>
        <v>0</v>
      </c>
      <c r="C773" s="22" t="e" cm="1">
        <f t="array" ref="C773">_xlfn.XLOOKUP(Table57[[#This Row],[No.]],Table2[[#All],[CODE]],Table2[[#All],[NAME]],,0,1)</f>
        <v>#N/A</v>
      </c>
      <c r="D773" s="6">
        <f>'Unique Dates'!B770</f>
        <v>0</v>
      </c>
      <c r="E773" t="str">
        <f>TEXT(Table57[[#This Row],[Date]],"dddd")</f>
        <v>Saturday</v>
      </c>
      <c r="F773" s="25" t="str" cm="1">
        <f t="array" ref="F773">IFERROR(_xlfn.XLOOKUP(Table57[[#This Row],[Code]],Table1[[#All],[Code]],Table1[[#All],[Time]],,0,1),"")</f>
        <v/>
      </c>
      <c r="G773" s="25" t="str" cm="1">
        <f t="array" ref="G773">IFERROR(_xlfn.XLOOKUP(Table57[[#This Row],[Code]],Table1[[#All],[Code]],Table1[[#All],[Time]],,0,-1),"")</f>
        <v/>
      </c>
      <c r="H773" s="23" t="str">
        <f>IFERROR(IF(Table57[[#This Row],[Out]]&gt;=Table57[[#This Row],[In]],Table57[[#This Row],[Out]]-Table57[[#This Row],[In]],(0.5+Table57[[#This Row],[Out]])-Table57[[#This Row],[In]]),"")</f>
        <v/>
      </c>
      <c r="I773" s="31" t="str">
        <f>IFERROR(IF(Table57[[#This Row],[In]]&gt;$C$2,Table57[[#This Row],[In]]-$C$2,""),"")</f>
        <v/>
      </c>
      <c r="J773" s="31" t="str">
        <f>IF(Table57[[#This Row],[Work_Hours]]=0,"",(IF(Table57[[#This Row],[Out]]&lt;$C$3,$C$3-Table57[[#This Row],[Out]],"")))</f>
        <v/>
      </c>
      <c r="K773" s="32" t="str">
        <f>IFERROR(Table57[[#This Row],[In]]+$C$1,"")</f>
        <v/>
      </c>
      <c r="L773" s="29"/>
      <c r="M773" s="31" t="str">
        <f>IF($C$2&gt;Table57[[#This Row],[In]],$C$2-Table57[[#This Row],[In]],"")</f>
        <v/>
      </c>
      <c r="N773" s="29" t="str">
        <f>IFERROR(IF(Table57[[#This Row],[Out]]&gt;$C$3,(Table57[[#This Row],[Out]])-($C$3),""),"")</f>
        <v/>
      </c>
    </row>
    <row r="774" spans="1:14" hidden="1" x14ac:dyDescent="0.25">
      <c r="A774" s="23" t="str">
        <f>Table57[[#This Row],[No.]]&amp;Table57[[#This Row],[Date]]</f>
        <v>00</v>
      </c>
      <c r="B774" s="22">
        <f>'Unique Dates'!A771</f>
        <v>0</v>
      </c>
      <c r="C774" s="22" t="e" cm="1">
        <f t="array" ref="C774">_xlfn.XLOOKUP(Table57[[#This Row],[No.]],Table2[[#All],[CODE]],Table2[[#All],[NAME]],,0,1)</f>
        <v>#N/A</v>
      </c>
      <c r="D774" s="6">
        <f>'Unique Dates'!B771</f>
        <v>0</v>
      </c>
      <c r="E774" t="str">
        <f>TEXT(Table57[[#This Row],[Date]],"dddd")</f>
        <v>Saturday</v>
      </c>
      <c r="F774" s="25" t="str" cm="1">
        <f t="array" ref="F774">IFERROR(_xlfn.XLOOKUP(Table57[[#This Row],[Code]],Table1[[#All],[Code]],Table1[[#All],[Time]],,0,1),"")</f>
        <v/>
      </c>
      <c r="G774" s="25" t="str" cm="1">
        <f t="array" ref="G774">IFERROR(_xlfn.XLOOKUP(Table57[[#This Row],[Code]],Table1[[#All],[Code]],Table1[[#All],[Time]],,0,-1),"")</f>
        <v/>
      </c>
      <c r="H774" s="23" t="str">
        <f>IFERROR(IF(Table57[[#This Row],[Out]]&gt;=Table57[[#This Row],[In]],Table57[[#This Row],[Out]]-Table57[[#This Row],[In]],(0.5+Table57[[#This Row],[Out]])-Table57[[#This Row],[In]]),"")</f>
        <v/>
      </c>
      <c r="I774" s="31" t="str">
        <f>IFERROR(IF(Table57[[#This Row],[In]]&gt;$C$2,Table57[[#This Row],[In]]-$C$2,""),"")</f>
        <v/>
      </c>
      <c r="J774" s="31" t="str">
        <f>IF(Table57[[#This Row],[Work_Hours]]=0,"",(IF(Table57[[#This Row],[Out]]&lt;$C$3,$C$3-Table57[[#This Row],[Out]],"")))</f>
        <v/>
      </c>
      <c r="K774" s="32" t="str">
        <f>IFERROR(Table57[[#This Row],[In]]+$C$1,"")</f>
        <v/>
      </c>
      <c r="L774" s="29"/>
      <c r="M774" s="31" t="str">
        <f>IF($C$2&gt;Table57[[#This Row],[In]],$C$2-Table57[[#This Row],[In]],"")</f>
        <v/>
      </c>
      <c r="N774" s="29" t="str">
        <f>IFERROR(IF(Table57[[#This Row],[Out]]&gt;$C$3,(Table57[[#This Row],[Out]])-($C$3),""),"")</f>
        <v/>
      </c>
    </row>
    <row r="775" spans="1:14" hidden="1" x14ac:dyDescent="0.25">
      <c r="A775" s="23" t="str">
        <f>Table57[[#This Row],[No.]]&amp;Table57[[#This Row],[Date]]</f>
        <v>00</v>
      </c>
      <c r="B775" s="22">
        <f>'Unique Dates'!A772</f>
        <v>0</v>
      </c>
      <c r="C775" s="22" t="e" cm="1">
        <f t="array" ref="C775">_xlfn.XLOOKUP(Table57[[#This Row],[No.]],Table2[[#All],[CODE]],Table2[[#All],[NAME]],,0,1)</f>
        <v>#N/A</v>
      </c>
      <c r="D775" s="6">
        <f>'Unique Dates'!B772</f>
        <v>0</v>
      </c>
      <c r="E775" t="str">
        <f>TEXT(Table57[[#This Row],[Date]],"dddd")</f>
        <v>Saturday</v>
      </c>
      <c r="F775" s="25" t="str" cm="1">
        <f t="array" ref="F775">IFERROR(_xlfn.XLOOKUP(Table57[[#This Row],[Code]],Table1[[#All],[Code]],Table1[[#All],[Time]],,0,1),"")</f>
        <v/>
      </c>
      <c r="G775" s="25" t="str" cm="1">
        <f t="array" ref="G775">IFERROR(_xlfn.XLOOKUP(Table57[[#This Row],[Code]],Table1[[#All],[Code]],Table1[[#All],[Time]],,0,-1),"")</f>
        <v/>
      </c>
      <c r="H775" s="23" t="str">
        <f>IFERROR(IF(Table57[[#This Row],[Out]]&gt;=Table57[[#This Row],[In]],Table57[[#This Row],[Out]]-Table57[[#This Row],[In]],(0.5+Table57[[#This Row],[Out]])-Table57[[#This Row],[In]]),"")</f>
        <v/>
      </c>
      <c r="I775" s="31" t="str">
        <f>IFERROR(IF(Table57[[#This Row],[In]]&gt;$C$2,Table57[[#This Row],[In]]-$C$2,""),"")</f>
        <v/>
      </c>
      <c r="J775" s="31" t="str">
        <f>IF(Table57[[#This Row],[Work_Hours]]=0,"",(IF(Table57[[#This Row],[Out]]&lt;$C$3,$C$3-Table57[[#This Row],[Out]],"")))</f>
        <v/>
      </c>
      <c r="K775" s="32" t="str">
        <f>IFERROR(Table57[[#This Row],[In]]+$C$1,"")</f>
        <v/>
      </c>
      <c r="L775" s="29"/>
      <c r="M775" s="31" t="str">
        <f>IF($C$2&gt;Table57[[#This Row],[In]],$C$2-Table57[[#This Row],[In]],"")</f>
        <v/>
      </c>
      <c r="N775" s="29" t="str">
        <f>IFERROR(IF(Table57[[#This Row],[Out]]&gt;$C$3,(Table57[[#This Row],[Out]])-($C$3),""),"")</f>
        <v/>
      </c>
    </row>
    <row r="776" spans="1:14" hidden="1" x14ac:dyDescent="0.25">
      <c r="A776" s="23" t="str">
        <f>Table57[[#This Row],[No.]]&amp;Table57[[#This Row],[Date]]</f>
        <v>00</v>
      </c>
      <c r="B776" s="22">
        <f>'Unique Dates'!A773</f>
        <v>0</v>
      </c>
      <c r="C776" s="22" t="e" cm="1">
        <f t="array" ref="C776">_xlfn.XLOOKUP(Table57[[#This Row],[No.]],Table2[[#All],[CODE]],Table2[[#All],[NAME]],,0,1)</f>
        <v>#N/A</v>
      </c>
      <c r="D776" s="6">
        <f>'Unique Dates'!B773</f>
        <v>0</v>
      </c>
      <c r="E776" t="str">
        <f>TEXT(Table57[[#This Row],[Date]],"dddd")</f>
        <v>Saturday</v>
      </c>
      <c r="F776" s="25" t="str" cm="1">
        <f t="array" ref="F776">IFERROR(_xlfn.XLOOKUP(Table57[[#This Row],[Code]],Table1[[#All],[Code]],Table1[[#All],[Time]],,0,1),"")</f>
        <v/>
      </c>
      <c r="G776" s="25" t="str" cm="1">
        <f t="array" ref="G776">IFERROR(_xlfn.XLOOKUP(Table57[[#This Row],[Code]],Table1[[#All],[Code]],Table1[[#All],[Time]],,0,-1),"")</f>
        <v/>
      </c>
      <c r="H776" s="23" t="str">
        <f>IFERROR(IF(Table57[[#This Row],[Out]]&gt;=Table57[[#This Row],[In]],Table57[[#This Row],[Out]]-Table57[[#This Row],[In]],(0.5+Table57[[#This Row],[Out]])-Table57[[#This Row],[In]]),"")</f>
        <v/>
      </c>
      <c r="I776" s="31" t="str">
        <f>IFERROR(IF(Table57[[#This Row],[In]]&gt;$C$2,Table57[[#This Row],[In]]-$C$2,""),"")</f>
        <v/>
      </c>
      <c r="J776" s="31" t="str">
        <f>IF(Table57[[#This Row],[Work_Hours]]=0,"",(IF(Table57[[#This Row],[Out]]&lt;$C$3,$C$3-Table57[[#This Row],[Out]],"")))</f>
        <v/>
      </c>
      <c r="K776" s="32" t="str">
        <f>IFERROR(Table57[[#This Row],[In]]+$C$1,"")</f>
        <v/>
      </c>
      <c r="L776" s="29"/>
      <c r="M776" s="31" t="str">
        <f>IF($C$2&gt;Table57[[#This Row],[In]],$C$2-Table57[[#This Row],[In]],"")</f>
        <v/>
      </c>
      <c r="N776" s="29" t="str">
        <f>IFERROR(IF(Table57[[#This Row],[Out]]&gt;$C$3,(Table57[[#This Row],[Out]])-($C$3),""),"")</f>
        <v/>
      </c>
    </row>
    <row r="777" spans="1:14" hidden="1" x14ac:dyDescent="0.25">
      <c r="A777" s="23" t="str">
        <f>Table57[[#This Row],[No.]]&amp;Table57[[#This Row],[Date]]</f>
        <v>00</v>
      </c>
      <c r="B777" s="22">
        <f>'Unique Dates'!A774</f>
        <v>0</v>
      </c>
      <c r="C777" s="22" t="e" cm="1">
        <f t="array" ref="C777">_xlfn.XLOOKUP(Table57[[#This Row],[No.]],Table2[[#All],[CODE]],Table2[[#All],[NAME]],,0,1)</f>
        <v>#N/A</v>
      </c>
      <c r="D777" s="6">
        <f>'Unique Dates'!B774</f>
        <v>0</v>
      </c>
      <c r="E777" t="str">
        <f>TEXT(Table57[[#This Row],[Date]],"dddd")</f>
        <v>Saturday</v>
      </c>
      <c r="F777" s="25" t="str" cm="1">
        <f t="array" ref="F777">IFERROR(_xlfn.XLOOKUP(Table57[[#This Row],[Code]],Table1[[#All],[Code]],Table1[[#All],[Time]],,0,1),"")</f>
        <v/>
      </c>
      <c r="G777" s="25" t="str" cm="1">
        <f t="array" ref="G777">IFERROR(_xlfn.XLOOKUP(Table57[[#This Row],[Code]],Table1[[#All],[Code]],Table1[[#All],[Time]],,0,-1),"")</f>
        <v/>
      </c>
      <c r="H777" s="23" t="str">
        <f>IFERROR(IF(Table57[[#This Row],[Out]]&gt;=Table57[[#This Row],[In]],Table57[[#This Row],[Out]]-Table57[[#This Row],[In]],(0.5+Table57[[#This Row],[Out]])-Table57[[#This Row],[In]]),"")</f>
        <v/>
      </c>
      <c r="I777" s="31" t="str">
        <f>IFERROR(IF(Table57[[#This Row],[In]]&gt;$C$2,Table57[[#This Row],[In]]-$C$2,""),"")</f>
        <v/>
      </c>
      <c r="J777" s="31" t="str">
        <f>IF(Table57[[#This Row],[Work_Hours]]=0,"",(IF(Table57[[#This Row],[Out]]&lt;$C$3,$C$3-Table57[[#This Row],[Out]],"")))</f>
        <v/>
      </c>
      <c r="K777" s="32" t="str">
        <f>IFERROR(Table57[[#This Row],[In]]+$C$1,"")</f>
        <v/>
      </c>
      <c r="L777" s="29"/>
      <c r="M777" s="31" t="str">
        <f>IF($C$2&gt;Table57[[#This Row],[In]],$C$2-Table57[[#This Row],[In]],"")</f>
        <v/>
      </c>
      <c r="N777" s="29" t="str">
        <f>IFERROR(IF(Table57[[#This Row],[Out]]&gt;$C$3,(Table57[[#This Row],[Out]])-($C$3),""),"")</f>
        <v/>
      </c>
    </row>
    <row r="778" spans="1:14" hidden="1" x14ac:dyDescent="0.25">
      <c r="A778" s="23" t="str">
        <f>Table57[[#This Row],[No.]]&amp;Table57[[#This Row],[Date]]</f>
        <v>00</v>
      </c>
      <c r="B778" s="22">
        <f>'Unique Dates'!A775</f>
        <v>0</v>
      </c>
      <c r="C778" s="22" t="e" cm="1">
        <f t="array" ref="C778">_xlfn.XLOOKUP(Table57[[#This Row],[No.]],Table2[[#All],[CODE]],Table2[[#All],[NAME]],,0,1)</f>
        <v>#N/A</v>
      </c>
      <c r="D778" s="6">
        <f>'Unique Dates'!B775</f>
        <v>0</v>
      </c>
      <c r="E778" t="str">
        <f>TEXT(Table57[[#This Row],[Date]],"dddd")</f>
        <v>Saturday</v>
      </c>
      <c r="F778" s="25" t="str" cm="1">
        <f t="array" ref="F778">IFERROR(_xlfn.XLOOKUP(Table57[[#This Row],[Code]],Table1[[#All],[Code]],Table1[[#All],[Time]],,0,1),"")</f>
        <v/>
      </c>
      <c r="G778" s="25" t="str" cm="1">
        <f t="array" ref="G778">IFERROR(_xlfn.XLOOKUP(Table57[[#This Row],[Code]],Table1[[#All],[Code]],Table1[[#All],[Time]],,0,-1),"")</f>
        <v/>
      </c>
      <c r="H778" s="23" t="str">
        <f>IFERROR(IF(Table57[[#This Row],[Out]]&gt;=Table57[[#This Row],[In]],Table57[[#This Row],[Out]]-Table57[[#This Row],[In]],(0.5+Table57[[#This Row],[Out]])-Table57[[#This Row],[In]]),"")</f>
        <v/>
      </c>
      <c r="I778" s="31" t="str">
        <f>IFERROR(IF(Table57[[#This Row],[In]]&gt;$C$2,Table57[[#This Row],[In]]-$C$2,""),"")</f>
        <v/>
      </c>
      <c r="J778" s="31" t="str">
        <f>IF(Table57[[#This Row],[Work_Hours]]=0,"",(IF(Table57[[#This Row],[Out]]&lt;$C$3,$C$3-Table57[[#This Row],[Out]],"")))</f>
        <v/>
      </c>
      <c r="K778" s="32" t="str">
        <f>IFERROR(Table57[[#This Row],[In]]+$C$1,"")</f>
        <v/>
      </c>
      <c r="L778" s="29"/>
      <c r="M778" s="31" t="str">
        <f>IF($C$2&gt;Table57[[#This Row],[In]],$C$2-Table57[[#This Row],[In]],"")</f>
        <v/>
      </c>
      <c r="N778" s="29" t="str">
        <f>IFERROR(IF(Table57[[#This Row],[Out]]&gt;$C$3,(Table57[[#This Row],[Out]])-($C$3),""),"")</f>
        <v/>
      </c>
    </row>
    <row r="779" spans="1:14" hidden="1" x14ac:dyDescent="0.25">
      <c r="A779" s="23" t="str">
        <f>Table57[[#This Row],[No.]]&amp;Table57[[#This Row],[Date]]</f>
        <v>00</v>
      </c>
      <c r="B779" s="22">
        <f>'Unique Dates'!A776</f>
        <v>0</v>
      </c>
      <c r="C779" s="22" t="e" cm="1">
        <f t="array" ref="C779">_xlfn.XLOOKUP(Table57[[#This Row],[No.]],Table2[[#All],[CODE]],Table2[[#All],[NAME]],,0,1)</f>
        <v>#N/A</v>
      </c>
      <c r="D779" s="6">
        <f>'Unique Dates'!B776</f>
        <v>0</v>
      </c>
      <c r="E779" t="str">
        <f>TEXT(Table57[[#This Row],[Date]],"dddd")</f>
        <v>Saturday</v>
      </c>
      <c r="F779" s="25" t="str" cm="1">
        <f t="array" ref="F779">IFERROR(_xlfn.XLOOKUP(Table57[[#This Row],[Code]],Table1[[#All],[Code]],Table1[[#All],[Time]],,0,1),"")</f>
        <v/>
      </c>
      <c r="G779" s="25" t="str" cm="1">
        <f t="array" ref="G779">IFERROR(_xlfn.XLOOKUP(Table57[[#This Row],[Code]],Table1[[#All],[Code]],Table1[[#All],[Time]],,0,-1),"")</f>
        <v/>
      </c>
      <c r="H779" s="23" t="str">
        <f>IFERROR(IF(Table57[[#This Row],[Out]]&gt;=Table57[[#This Row],[In]],Table57[[#This Row],[Out]]-Table57[[#This Row],[In]],(0.5+Table57[[#This Row],[Out]])-Table57[[#This Row],[In]]),"")</f>
        <v/>
      </c>
      <c r="I779" s="31" t="str">
        <f>IFERROR(IF(Table57[[#This Row],[In]]&gt;$C$2,Table57[[#This Row],[In]]-$C$2,""),"")</f>
        <v/>
      </c>
      <c r="J779" s="31" t="str">
        <f>IF(Table57[[#This Row],[Work_Hours]]=0,"",(IF(Table57[[#This Row],[Out]]&lt;$C$3,$C$3-Table57[[#This Row],[Out]],"")))</f>
        <v/>
      </c>
      <c r="K779" s="32" t="str">
        <f>IFERROR(Table57[[#This Row],[In]]+$C$1,"")</f>
        <v/>
      </c>
      <c r="L779" s="29"/>
      <c r="M779" s="31" t="str">
        <f>IF($C$2&gt;Table57[[#This Row],[In]],$C$2-Table57[[#This Row],[In]],"")</f>
        <v/>
      </c>
      <c r="N779" s="29" t="str">
        <f>IFERROR(IF(Table57[[#This Row],[Out]]&gt;$C$3,(Table57[[#This Row],[Out]])-($C$3),""),"")</f>
        <v/>
      </c>
    </row>
    <row r="780" spans="1:14" hidden="1" x14ac:dyDescent="0.25">
      <c r="A780" s="23" t="str">
        <f>Table57[[#This Row],[No.]]&amp;Table57[[#This Row],[Date]]</f>
        <v>00</v>
      </c>
      <c r="B780" s="22">
        <f>'Unique Dates'!A777</f>
        <v>0</v>
      </c>
      <c r="C780" s="22" t="e" cm="1">
        <f t="array" ref="C780">_xlfn.XLOOKUP(Table57[[#This Row],[No.]],Table2[[#All],[CODE]],Table2[[#All],[NAME]],,0,1)</f>
        <v>#N/A</v>
      </c>
      <c r="D780" s="6">
        <f>'Unique Dates'!B777</f>
        <v>0</v>
      </c>
      <c r="E780" t="str">
        <f>TEXT(Table57[[#This Row],[Date]],"dddd")</f>
        <v>Saturday</v>
      </c>
      <c r="F780" s="25" t="str" cm="1">
        <f t="array" ref="F780">IFERROR(_xlfn.XLOOKUP(Table57[[#This Row],[Code]],Table1[[#All],[Code]],Table1[[#All],[Time]],,0,1),"")</f>
        <v/>
      </c>
      <c r="G780" s="25" t="str" cm="1">
        <f t="array" ref="G780">IFERROR(_xlfn.XLOOKUP(Table57[[#This Row],[Code]],Table1[[#All],[Code]],Table1[[#All],[Time]],,0,-1),"")</f>
        <v/>
      </c>
      <c r="H780" s="23" t="str">
        <f>IFERROR(IF(Table57[[#This Row],[Out]]&gt;=Table57[[#This Row],[In]],Table57[[#This Row],[Out]]-Table57[[#This Row],[In]],(0.5+Table57[[#This Row],[Out]])-Table57[[#This Row],[In]]),"")</f>
        <v/>
      </c>
      <c r="I780" s="31" t="str">
        <f>IFERROR(IF(Table57[[#This Row],[In]]&gt;$C$2,Table57[[#This Row],[In]]-$C$2,""),"")</f>
        <v/>
      </c>
      <c r="J780" s="31" t="str">
        <f>IF(Table57[[#This Row],[Work_Hours]]=0,"",(IF(Table57[[#This Row],[Out]]&lt;$C$3,$C$3-Table57[[#This Row],[Out]],"")))</f>
        <v/>
      </c>
      <c r="K780" s="32" t="str">
        <f>IFERROR(Table57[[#This Row],[In]]+$C$1,"")</f>
        <v/>
      </c>
      <c r="L780" s="29"/>
      <c r="M780" s="31" t="str">
        <f>IF($C$2&gt;Table57[[#This Row],[In]],$C$2-Table57[[#This Row],[In]],"")</f>
        <v/>
      </c>
      <c r="N780" s="29" t="str">
        <f>IFERROR(IF(Table57[[#This Row],[Out]]&gt;$C$3,(Table57[[#This Row],[Out]])-($C$3),""),"")</f>
        <v/>
      </c>
    </row>
    <row r="781" spans="1:14" hidden="1" x14ac:dyDescent="0.25">
      <c r="A781" s="23" t="str">
        <f>Table57[[#This Row],[No.]]&amp;Table57[[#This Row],[Date]]</f>
        <v>00</v>
      </c>
      <c r="B781" s="22">
        <f>'Unique Dates'!A778</f>
        <v>0</v>
      </c>
      <c r="C781" s="22" t="e" cm="1">
        <f t="array" ref="C781">_xlfn.XLOOKUP(Table57[[#This Row],[No.]],Table2[[#All],[CODE]],Table2[[#All],[NAME]],,0,1)</f>
        <v>#N/A</v>
      </c>
      <c r="D781" s="6">
        <f>'Unique Dates'!B778</f>
        <v>0</v>
      </c>
      <c r="E781" t="str">
        <f>TEXT(Table57[[#This Row],[Date]],"dddd")</f>
        <v>Saturday</v>
      </c>
      <c r="F781" s="25" t="str" cm="1">
        <f t="array" ref="F781">IFERROR(_xlfn.XLOOKUP(Table57[[#This Row],[Code]],Table1[[#All],[Code]],Table1[[#All],[Time]],,0,1),"")</f>
        <v/>
      </c>
      <c r="G781" s="25" t="str" cm="1">
        <f t="array" ref="G781">IFERROR(_xlfn.XLOOKUP(Table57[[#This Row],[Code]],Table1[[#All],[Code]],Table1[[#All],[Time]],,0,-1),"")</f>
        <v/>
      </c>
      <c r="H781" s="23" t="str">
        <f>IFERROR(IF(Table57[[#This Row],[Out]]&gt;=Table57[[#This Row],[In]],Table57[[#This Row],[Out]]-Table57[[#This Row],[In]],(0.5+Table57[[#This Row],[Out]])-Table57[[#This Row],[In]]),"")</f>
        <v/>
      </c>
      <c r="I781" s="31" t="str">
        <f>IFERROR(IF(Table57[[#This Row],[In]]&gt;$C$2,Table57[[#This Row],[In]]-$C$2,""),"")</f>
        <v/>
      </c>
      <c r="J781" s="31" t="str">
        <f>IF(Table57[[#This Row],[Work_Hours]]=0,"",(IF(Table57[[#This Row],[Out]]&lt;$C$3,$C$3-Table57[[#This Row],[Out]],"")))</f>
        <v/>
      </c>
      <c r="K781" s="32" t="str">
        <f>IFERROR(Table57[[#This Row],[In]]+$C$1,"")</f>
        <v/>
      </c>
      <c r="L781" s="29"/>
      <c r="M781" s="31" t="str">
        <f>IF($C$2&gt;Table57[[#This Row],[In]],$C$2-Table57[[#This Row],[In]],"")</f>
        <v/>
      </c>
      <c r="N781" s="29" t="str">
        <f>IFERROR(IF(Table57[[#This Row],[Out]]&gt;$C$3,(Table57[[#This Row],[Out]])-($C$3),""),"")</f>
        <v/>
      </c>
    </row>
    <row r="782" spans="1:14" hidden="1" x14ac:dyDescent="0.25">
      <c r="A782" s="23" t="str">
        <f>Table57[[#This Row],[No.]]&amp;Table57[[#This Row],[Date]]</f>
        <v>00</v>
      </c>
      <c r="B782" s="22">
        <f>'Unique Dates'!A779</f>
        <v>0</v>
      </c>
      <c r="C782" s="22" t="e" cm="1">
        <f t="array" ref="C782">_xlfn.XLOOKUP(Table57[[#This Row],[No.]],Table2[[#All],[CODE]],Table2[[#All],[NAME]],,0,1)</f>
        <v>#N/A</v>
      </c>
      <c r="D782" s="6">
        <f>'Unique Dates'!B779</f>
        <v>0</v>
      </c>
      <c r="E782" t="str">
        <f>TEXT(Table57[[#This Row],[Date]],"dddd")</f>
        <v>Saturday</v>
      </c>
      <c r="F782" s="25" t="str" cm="1">
        <f t="array" ref="F782">IFERROR(_xlfn.XLOOKUP(Table57[[#This Row],[Code]],Table1[[#All],[Code]],Table1[[#All],[Time]],,0,1),"")</f>
        <v/>
      </c>
      <c r="G782" s="25" t="str" cm="1">
        <f t="array" ref="G782">IFERROR(_xlfn.XLOOKUP(Table57[[#This Row],[Code]],Table1[[#All],[Code]],Table1[[#All],[Time]],,0,-1),"")</f>
        <v/>
      </c>
      <c r="H782" s="23" t="str">
        <f>IFERROR(IF(Table57[[#This Row],[Out]]&gt;=Table57[[#This Row],[In]],Table57[[#This Row],[Out]]-Table57[[#This Row],[In]],(0.5+Table57[[#This Row],[Out]])-Table57[[#This Row],[In]]),"")</f>
        <v/>
      </c>
      <c r="I782" s="31" t="str">
        <f>IFERROR(IF(Table57[[#This Row],[In]]&gt;$C$2,Table57[[#This Row],[In]]-$C$2,""),"")</f>
        <v/>
      </c>
      <c r="J782" s="31" t="str">
        <f>IF(Table57[[#This Row],[Work_Hours]]=0,"",(IF(Table57[[#This Row],[Out]]&lt;$C$3,$C$3-Table57[[#This Row],[Out]],"")))</f>
        <v/>
      </c>
      <c r="K782" s="32" t="str">
        <f>IFERROR(Table57[[#This Row],[In]]+$C$1,"")</f>
        <v/>
      </c>
      <c r="L782" s="29"/>
      <c r="M782" s="31" t="str">
        <f>IF($C$2&gt;Table57[[#This Row],[In]],$C$2-Table57[[#This Row],[In]],"")</f>
        <v/>
      </c>
      <c r="N782" s="29" t="str">
        <f>IFERROR(IF(Table57[[#This Row],[Out]]&gt;$C$3,(Table57[[#This Row],[Out]])-($C$3),""),"")</f>
        <v/>
      </c>
    </row>
    <row r="783" spans="1:14" hidden="1" x14ac:dyDescent="0.25">
      <c r="A783" s="23" t="str">
        <f>Table57[[#This Row],[No.]]&amp;Table57[[#This Row],[Date]]</f>
        <v>00</v>
      </c>
      <c r="B783" s="22">
        <f>'Unique Dates'!A780</f>
        <v>0</v>
      </c>
      <c r="C783" s="22" t="e" cm="1">
        <f t="array" ref="C783">_xlfn.XLOOKUP(Table57[[#This Row],[No.]],Table2[[#All],[CODE]],Table2[[#All],[NAME]],,0,1)</f>
        <v>#N/A</v>
      </c>
      <c r="D783" s="6">
        <f>'Unique Dates'!B780</f>
        <v>0</v>
      </c>
      <c r="E783" t="str">
        <f>TEXT(Table57[[#This Row],[Date]],"dddd")</f>
        <v>Saturday</v>
      </c>
      <c r="F783" s="25" t="str" cm="1">
        <f t="array" ref="F783">IFERROR(_xlfn.XLOOKUP(Table57[[#This Row],[Code]],Table1[[#All],[Code]],Table1[[#All],[Time]],,0,1),"")</f>
        <v/>
      </c>
      <c r="G783" s="25" t="str" cm="1">
        <f t="array" ref="G783">IFERROR(_xlfn.XLOOKUP(Table57[[#This Row],[Code]],Table1[[#All],[Code]],Table1[[#All],[Time]],,0,-1),"")</f>
        <v/>
      </c>
      <c r="H783" s="23" t="str">
        <f>IFERROR(IF(Table57[[#This Row],[Out]]&gt;=Table57[[#This Row],[In]],Table57[[#This Row],[Out]]-Table57[[#This Row],[In]],(0.5+Table57[[#This Row],[Out]])-Table57[[#This Row],[In]]),"")</f>
        <v/>
      </c>
      <c r="I783" s="31" t="str">
        <f>IFERROR(IF(Table57[[#This Row],[In]]&gt;$C$2,Table57[[#This Row],[In]]-$C$2,""),"")</f>
        <v/>
      </c>
      <c r="J783" s="31" t="str">
        <f>IF(Table57[[#This Row],[Work_Hours]]=0,"",(IF(Table57[[#This Row],[Out]]&lt;$C$3,$C$3-Table57[[#This Row],[Out]],"")))</f>
        <v/>
      </c>
      <c r="K783" s="32" t="str">
        <f>IFERROR(Table57[[#This Row],[In]]+$C$1,"")</f>
        <v/>
      </c>
      <c r="L783" s="29"/>
      <c r="M783" s="31" t="str">
        <f>IF($C$2&gt;Table57[[#This Row],[In]],$C$2-Table57[[#This Row],[In]],"")</f>
        <v/>
      </c>
      <c r="N783" s="29" t="str">
        <f>IFERROR(IF(Table57[[#This Row],[Out]]&gt;$C$3,(Table57[[#This Row],[Out]])-($C$3),""),"")</f>
        <v/>
      </c>
    </row>
    <row r="784" spans="1:14" hidden="1" x14ac:dyDescent="0.25">
      <c r="A784" s="23" t="str">
        <f>Table57[[#This Row],[No.]]&amp;Table57[[#This Row],[Date]]</f>
        <v>00</v>
      </c>
      <c r="B784" s="22">
        <f>'Unique Dates'!A781</f>
        <v>0</v>
      </c>
      <c r="C784" s="22" t="e" cm="1">
        <f t="array" ref="C784">_xlfn.XLOOKUP(Table57[[#This Row],[No.]],Table2[[#All],[CODE]],Table2[[#All],[NAME]],,0,1)</f>
        <v>#N/A</v>
      </c>
      <c r="D784" s="6">
        <f>'Unique Dates'!B781</f>
        <v>0</v>
      </c>
      <c r="E784" t="str">
        <f>TEXT(Table57[[#This Row],[Date]],"dddd")</f>
        <v>Saturday</v>
      </c>
      <c r="F784" s="25" t="str" cm="1">
        <f t="array" ref="F784">IFERROR(_xlfn.XLOOKUP(Table57[[#This Row],[Code]],Table1[[#All],[Code]],Table1[[#All],[Time]],,0,1),"")</f>
        <v/>
      </c>
      <c r="G784" s="25" t="str" cm="1">
        <f t="array" ref="G784">IFERROR(_xlfn.XLOOKUP(Table57[[#This Row],[Code]],Table1[[#All],[Code]],Table1[[#All],[Time]],,0,-1),"")</f>
        <v/>
      </c>
      <c r="H784" s="23" t="str">
        <f>IFERROR(IF(Table57[[#This Row],[Out]]&gt;=Table57[[#This Row],[In]],Table57[[#This Row],[Out]]-Table57[[#This Row],[In]],(0.5+Table57[[#This Row],[Out]])-Table57[[#This Row],[In]]),"")</f>
        <v/>
      </c>
      <c r="I784" s="31" t="str">
        <f>IFERROR(IF(Table57[[#This Row],[In]]&gt;$C$2,Table57[[#This Row],[In]]-$C$2,""),"")</f>
        <v/>
      </c>
      <c r="J784" s="31" t="str">
        <f>IF(Table57[[#This Row],[Work_Hours]]=0,"",(IF(Table57[[#This Row],[Out]]&lt;$C$3,$C$3-Table57[[#This Row],[Out]],"")))</f>
        <v/>
      </c>
      <c r="K784" s="32" t="str">
        <f>IFERROR(Table57[[#This Row],[In]]+$C$1,"")</f>
        <v/>
      </c>
      <c r="L784" s="29"/>
      <c r="M784" s="31" t="str">
        <f>IF($C$2&gt;Table57[[#This Row],[In]],$C$2-Table57[[#This Row],[In]],"")</f>
        <v/>
      </c>
      <c r="N784" s="29" t="str">
        <f>IFERROR(IF(Table57[[#This Row],[Out]]&gt;$C$3,(Table57[[#This Row],[Out]])-($C$3),""),"")</f>
        <v/>
      </c>
    </row>
    <row r="785" spans="1:14" hidden="1" x14ac:dyDescent="0.25">
      <c r="A785" s="23" t="str">
        <f>Table57[[#This Row],[No.]]&amp;Table57[[#This Row],[Date]]</f>
        <v>00</v>
      </c>
      <c r="B785" s="22">
        <f>'Unique Dates'!A782</f>
        <v>0</v>
      </c>
      <c r="C785" s="22" t="e" cm="1">
        <f t="array" ref="C785">_xlfn.XLOOKUP(Table57[[#This Row],[No.]],Table2[[#All],[CODE]],Table2[[#All],[NAME]],,0,1)</f>
        <v>#N/A</v>
      </c>
      <c r="D785" s="6">
        <f>'Unique Dates'!B782</f>
        <v>0</v>
      </c>
      <c r="E785" t="str">
        <f>TEXT(Table57[[#This Row],[Date]],"dddd")</f>
        <v>Saturday</v>
      </c>
      <c r="F785" s="25" t="str" cm="1">
        <f t="array" ref="F785">IFERROR(_xlfn.XLOOKUP(Table57[[#This Row],[Code]],Table1[[#All],[Code]],Table1[[#All],[Time]],,0,1),"")</f>
        <v/>
      </c>
      <c r="G785" s="25" t="str" cm="1">
        <f t="array" ref="G785">IFERROR(_xlfn.XLOOKUP(Table57[[#This Row],[Code]],Table1[[#All],[Code]],Table1[[#All],[Time]],,0,-1),"")</f>
        <v/>
      </c>
      <c r="H785" s="23" t="str">
        <f>IFERROR(IF(Table57[[#This Row],[Out]]&gt;=Table57[[#This Row],[In]],Table57[[#This Row],[Out]]-Table57[[#This Row],[In]],(0.5+Table57[[#This Row],[Out]])-Table57[[#This Row],[In]]),"")</f>
        <v/>
      </c>
      <c r="I785" s="31" t="str">
        <f>IFERROR(IF(Table57[[#This Row],[In]]&gt;$C$2,Table57[[#This Row],[In]]-$C$2,""),"")</f>
        <v/>
      </c>
      <c r="J785" s="31" t="str">
        <f>IF(Table57[[#This Row],[Work_Hours]]=0,"",(IF(Table57[[#This Row],[Out]]&lt;$C$3,$C$3-Table57[[#This Row],[Out]],"")))</f>
        <v/>
      </c>
      <c r="K785" s="32" t="str">
        <f>IFERROR(Table57[[#This Row],[In]]+$C$1,"")</f>
        <v/>
      </c>
      <c r="L785" s="29"/>
      <c r="M785" s="31" t="str">
        <f>IF($C$2&gt;Table57[[#This Row],[In]],$C$2-Table57[[#This Row],[In]],"")</f>
        <v/>
      </c>
      <c r="N785" s="29" t="str">
        <f>IFERROR(IF(Table57[[#This Row],[Out]]&gt;$C$3,(Table57[[#This Row],[Out]])-($C$3),""),"")</f>
        <v/>
      </c>
    </row>
    <row r="786" spans="1:14" hidden="1" x14ac:dyDescent="0.25">
      <c r="A786" s="23" t="str">
        <f>Table57[[#This Row],[No.]]&amp;Table57[[#This Row],[Date]]</f>
        <v>00</v>
      </c>
      <c r="B786" s="22">
        <f>'Unique Dates'!A783</f>
        <v>0</v>
      </c>
      <c r="C786" s="22" t="e" cm="1">
        <f t="array" ref="C786">_xlfn.XLOOKUP(Table57[[#This Row],[No.]],Table2[[#All],[CODE]],Table2[[#All],[NAME]],,0,1)</f>
        <v>#N/A</v>
      </c>
      <c r="D786" s="6">
        <f>'Unique Dates'!B783</f>
        <v>0</v>
      </c>
      <c r="E786" t="str">
        <f>TEXT(Table57[[#This Row],[Date]],"dddd")</f>
        <v>Saturday</v>
      </c>
      <c r="F786" s="25" t="str" cm="1">
        <f t="array" ref="F786">IFERROR(_xlfn.XLOOKUP(Table57[[#This Row],[Code]],Table1[[#All],[Code]],Table1[[#All],[Time]],,0,1),"")</f>
        <v/>
      </c>
      <c r="G786" s="25" t="str" cm="1">
        <f t="array" ref="G786">IFERROR(_xlfn.XLOOKUP(Table57[[#This Row],[Code]],Table1[[#All],[Code]],Table1[[#All],[Time]],,0,-1),"")</f>
        <v/>
      </c>
      <c r="H786" s="23" t="str">
        <f>IFERROR(IF(Table57[[#This Row],[Out]]&gt;=Table57[[#This Row],[In]],Table57[[#This Row],[Out]]-Table57[[#This Row],[In]],(0.5+Table57[[#This Row],[Out]])-Table57[[#This Row],[In]]),"")</f>
        <v/>
      </c>
      <c r="I786" s="31" t="str">
        <f>IFERROR(IF(Table57[[#This Row],[In]]&gt;$C$2,Table57[[#This Row],[In]]-$C$2,""),"")</f>
        <v/>
      </c>
      <c r="J786" s="31" t="str">
        <f>IF(Table57[[#This Row],[Work_Hours]]=0,"",(IF(Table57[[#This Row],[Out]]&lt;$C$3,$C$3-Table57[[#This Row],[Out]],"")))</f>
        <v/>
      </c>
      <c r="K786" s="32" t="str">
        <f>IFERROR(Table57[[#This Row],[In]]+$C$1,"")</f>
        <v/>
      </c>
      <c r="L786" s="29"/>
      <c r="M786" s="31" t="str">
        <f>IF($C$2&gt;Table57[[#This Row],[In]],$C$2-Table57[[#This Row],[In]],"")</f>
        <v/>
      </c>
      <c r="N786" s="29" t="str">
        <f>IFERROR(IF(Table57[[#This Row],[Out]]&gt;$C$3,(Table57[[#This Row],[Out]])-($C$3),""),"")</f>
        <v/>
      </c>
    </row>
    <row r="787" spans="1:14" hidden="1" x14ac:dyDescent="0.25">
      <c r="A787" s="23" t="str">
        <f>Table57[[#This Row],[No.]]&amp;Table57[[#This Row],[Date]]</f>
        <v>00</v>
      </c>
      <c r="B787" s="22">
        <f>'Unique Dates'!A784</f>
        <v>0</v>
      </c>
      <c r="C787" s="22" t="e" cm="1">
        <f t="array" ref="C787">_xlfn.XLOOKUP(Table57[[#This Row],[No.]],Table2[[#All],[CODE]],Table2[[#All],[NAME]],,0,1)</f>
        <v>#N/A</v>
      </c>
      <c r="D787" s="6">
        <f>'Unique Dates'!B784</f>
        <v>0</v>
      </c>
      <c r="E787" t="str">
        <f>TEXT(Table57[[#This Row],[Date]],"dddd")</f>
        <v>Saturday</v>
      </c>
      <c r="F787" s="25" t="str" cm="1">
        <f t="array" ref="F787">IFERROR(_xlfn.XLOOKUP(Table57[[#This Row],[Code]],Table1[[#All],[Code]],Table1[[#All],[Time]],,0,1),"")</f>
        <v/>
      </c>
      <c r="G787" s="25" t="str" cm="1">
        <f t="array" ref="G787">IFERROR(_xlfn.XLOOKUP(Table57[[#This Row],[Code]],Table1[[#All],[Code]],Table1[[#All],[Time]],,0,-1),"")</f>
        <v/>
      </c>
      <c r="H787" s="23" t="str">
        <f>IFERROR(IF(Table57[[#This Row],[Out]]&gt;=Table57[[#This Row],[In]],Table57[[#This Row],[Out]]-Table57[[#This Row],[In]],(0.5+Table57[[#This Row],[Out]])-Table57[[#This Row],[In]]),"")</f>
        <v/>
      </c>
      <c r="I787" s="31" t="str">
        <f>IFERROR(IF(Table57[[#This Row],[In]]&gt;$C$2,Table57[[#This Row],[In]]-$C$2,""),"")</f>
        <v/>
      </c>
      <c r="J787" s="31" t="str">
        <f>IF(Table57[[#This Row],[Work_Hours]]=0,"",(IF(Table57[[#This Row],[Out]]&lt;$C$3,$C$3-Table57[[#This Row],[Out]],"")))</f>
        <v/>
      </c>
      <c r="K787" s="32" t="str">
        <f>IFERROR(Table57[[#This Row],[In]]+$C$1,"")</f>
        <v/>
      </c>
      <c r="L787" s="29"/>
      <c r="M787" s="31" t="str">
        <f>IF($C$2&gt;Table57[[#This Row],[In]],$C$2-Table57[[#This Row],[In]],"")</f>
        <v/>
      </c>
      <c r="N787" s="29" t="str">
        <f>IFERROR(IF(Table57[[#This Row],[Out]]&gt;$C$3,(Table57[[#This Row],[Out]])-($C$3),""),"")</f>
        <v/>
      </c>
    </row>
    <row r="788" spans="1:14" hidden="1" x14ac:dyDescent="0.25">
      <c r="A788" s="23" t="str">
        <f>Table57[[#This Row],[No.]]&amp;Table57[[#This Row],[Date]]</f>
        <v>00</v>
      </c>
      <c r="B788" s="22">
        <f>'Unique Dates'!A785</f>
        <v>0</v>
      </c>
      <c r="C788" s="22" t="e" cm="1">
        <f t="array" ref="C788">_xlfn.XLOOKUP(Table57[[#This Row],[No.]],Table2[[#All],[CODE]],Table2[[#All],[NAME]],,0,1)</f>
        <v>#N/A</v>
      </c>
      <c r="D788" s="6">
        <f>'Unique Dates'!B785</f>
        <v>0</v>
      </c>
      <c r="E788" t="str">
        <f>TEXT(Table57[[#This Row],[Date]],"dddd")</f>
        <v>Saturday</v>
      </c>
      <c r="F788" s="25" t="str" cm="1">
        <f t="array" ref="F788">IFERROR(_xlfn.XLOOKUP(Table57[[#This Row],[Code]],Table1[[#All],[Code]],Table1[[#All],[Time]],,0,1),"")</f>
        <v/>
      </c>
      <c r="G788" s="25" t="str" cm="1">
        <f t="array" ref="G788">IFERROR(_xlfn.XLOOKUP(Table57[[#This Row],[Code]],Table1[[#All],[Code]],Table1[[#All],[Time]],,0,-1),"")</f>
        <v/>
      </c>
      <c r="H788" s="23" t="str">
        <f>IFERROR(IF(Table57[[#This Row],[Out]]&gt;=Table57[[#This Row],[In]],Table57[[#This Row],[Out]]-Table57[[#This Row],[In]],(0.5+Table57[[#This Row],[Out]])-Table57[[#This Row],[In]]),"")</f>
        <v/>
      </c>
      <c r="I788" s="31" t="str">
        <f>IFERROR(IF(Table57[[#This Row],[In]]&gt;$C$2,Table57[[#This Row],[In]]-$C$2,""),"")</f>
        <v/>
      </c>
      <c r="J788" s="31" t="str">
        <f>IF(Table57[[#This Row],[Work_Hours]]=0,"",(IF(Table57[[#This Row],[Out]]&lt;$C$3,$C$3-Table57[[#This Row],[Out]],"")))</f>
        <v/>
      </c>
      <c r="K788" s="32" t="str">
        <f>IFERROR(Table57[[#This Row],[In]]+$C$1,"")</f>
        <v/>
      </c>
      <c r="L788" s="29"/>
      <c r="M788" s="31" t="str">
        <f>IF($C$2&gt;Table57[[#This Row],[In]],$C$2-Table57[[#This Row],[In]],"")</f>
        <v/>
      </c>
      <c r="N788" s="29" t="str">
        <f>IFERROR(IF(Table57[[#This Row],[Out]]&gt;$C$3,(Table57[[#This Row],[Out]])-($C$3),""),"")</f>
        <v/>
      </c>
    </row>
    <row r="789" spans="1:14" hidden="1" x14ac:dyDescent="0.25">
      <c r="A789" s="23" t="str">
        <f>Table57[[#This Row],[No.]]&amp;Table57[[#This Row],[Date]]</f>
        <v>00</v>
      </c>
      <c r="B789" s="22">
        <f>'Unique Dates'!A786</f>
        <v>0</v>
      </c>
      <c r="C789" s="22" t="e" cm="1">
        <f t="array" ref="C789">_xlfn.XLOOKUP(Table57[[#This Row],[No.]],Table2[[#All],[CODE]],Table2[[#All],[NAME]],,0,1)</f>
        <v>#N/A</v>
      </c>
      <c r="D789" s="6">
        <f>'Unique Dates'!B786</f>
        <v>0</v>
      </c>
      <c r="E789" t="str">
        <f>TEXT(Table57[[#This Row],[Date]],"dddd")</f>
        <v>Saturday</v>
      </c>
      <c r="F789" s="25" t="str" cm="1">
        <f t="array" ref="F789">IFERROR(_xlfn.XLOOKUP(Table57[[#This Row],[Code]],Table1[[#All],[Code]],Table1[[#All],[Time]],,0,1),"")</f>
        <v/>
      </c>
      <c r="G789" s="25" t="str" cm="1">
        <f t="array" ref="G789">IFERROR(_xlfn.XLOOKUP(Table57[[#This Row],[Code]],Table1[[#All],[Code]],Table1[[#All],[Time]],,0,-1),"")</f>
        <v/>
      </c>
      <c r="H789" s="23" t="str">
        <f>IFERROR(IF(Table57[[#This Row],[Out]]&gt;=Table57[[#This Row],[In]],Table57[[#This Row],[Out]]-Table57[[#This Row],[In]],(0.5+Table57[[#This Row],[Out]])-Table57[[#This Row],[In]]),"")</f>
        <v/>
      </c>
      <c r="I789" s="31" t="str">
        <f>IFERROR(IF(Table57[[#This Row],[In]]&gt;$C$2,Table57[[#This Row],[In]]-$C$2,""),"")</f>
        <v/>
      </c>
      <c r="J789" s="31" t="str">
        <f>IF(Table57[[#This Row],[Work_Hours]]=0,"",(IF(Table57[[#This Row],[Out]]&lt;$C$3,$C$3-Table57[[#This Row],[Out]],"")))</f>
        <v/>
      </c>
      <c r="K789" s="32" t="str">
        <f>IFERROR(Table57[[#This Row],[In]]+$C$1,"")</f>
        <v/>
      </c>
      <c r="L789" s="29"/>
      <c r="M789" s="31" t="str">
        <f>IF($C$2&gt;Table57[[#This Row],[In]],$C$2-Table57[[#This Row],[In]],"")</f>
        <v/>
      </c>
      <c r="N789" s="29" t="str">
        <f>IFERROR(IF(Table57[[#This Row],[Out]]&gt;$C$3,(Table57[[#This Row],[Out]])-($C$3),""),"")</f>
        <v/>
      </c>
    </row>
    <row r="790" spans="1:14" hidden="1" x14ac:dyDescent="0.25">
      <c r="A790" s="23" t="str">
        <f>Table57[[#This Row],[No.]]&amp;Table57[[#This Row],[Date]]</f>
        <v>00</v>
      </c>
      <c r="B790" s="22">
        <f>'Unique Dates'!A787</f>
        <v>0</v>
      </c>
      <c r="C790" s="22" t="e" cm="1">
        <f t="array" ref="C790">_xlfn.XLOOKUP(Table57[[#This Row],[No.]],Table2[[#All],[CODE]],Table2[[#All],[NAME]],,0,1)</f>
        <v>#N/A</v>
      </c>
      <c r="D790" s="6">
        <f>'Unique Dates'!B787</f>
        <v>0</v>
      </c>
      <c r="E790" t="str">
        <f>TEXT(Table57[[#This Row],[Date]],"dddd")</f>
        <v>Saturday</v>
      </c>
      <c r="F790" s="25" t="str" cm="1">
        <f t="array" ref="F790">IFERROR(_xlfn.XLOOKUP(Table57[[#This Row],[Code]],Table1[[#All],[Code]],Table1[[#All],[Time]],,0,1),"")</f>
        <v/>
      </c>
      <c r="G790" s="25" t="str" cm="1">
        <f t="array" ref="G790">IFERROR(_xlfn.XLOOKUP(Table57[[#This Row],[Code]],Table1[[#All],[Code]],Table1[[#All],[Time]],,0,-1),"")</f>
        <v/>
      </c>
      <c r="H790" s="23" t="str">
        <f>IFERROR(IF(Table57[[#This Row],[Out]]&gt;=Table57[[#This Row],[In]],Table57[[#This Row],[Out]]-Table57[[#This Row],[In]],(0.5+Table57[[#This Row],[Out]])-Table57[[#This Row],[In]]),"")</f>
        <v/>
      </c>
      <c r="I790" s="31" t="str">
        <f>IFERROR(IF(Table57[[#This Row],[In]]&gt;$C$2,Table57[[#This Row],[In]]-$C$2,""),"")</f>
        <v/>
      </c>
      <c r="J790" s="31" t="str">
        <f>IF(Table57[[#This Row],[Work_Hours]]=0,"",(IF(Table57[[#This Row],[Out]]&lt;$C$3,$C$3-Table57[[#This Row],[Out]],"")))</f>
        <v/>
      </c>
      <c r="K790" s="32" t="str">
        <f>IFERROR(Table57[[#This Row],[In]]+$C$1,"")</f>
        <v/>
      </c>
      <c r="L790" s="29"/>
      <c r="M790" s="31" t="str">
        <f>IF($C$2&gt;Table57[[#This Row],[In]],$C$2-Table57[[#This Row],[In]],"")</f>
        <v/>
      </c>
      <c r="N790" s="29" t="str">
        <f>IFERROR(IF(Table57[[#This Row],[Out]]&gt;$C$3,(Table57[[#This Row],[Out]])-($C$3),""),"")</f>
        <v/>
      </c>
    </row>
    <row r="791" spans="1:14" hidden="1" x14ac:dyDescent="0.25">
      <c r="A791" s="23" t="str">
        <f>Table57[[#This Row],[No.]]&amp;Table57[[#This Row],[Date]]</f>
        <v>00</v>
      </c>
      <c r="B791" s="22">
        <f>'Unique Dates'!A788</f>
        <v>0</v>
      </c>
      <c r="C791" s="22" t="e" cm="1">
        <f t="array" ref="C791">_xlfn.XLOOKUP(Table57[[#This Row],[No.]],Table2[[#All],[CODE]],Table2[[#All],[NAME]],,0,1)</f>
        <v>#N/A</v>
      </c>
      <c r="D791" s="6">
        <f>'Unique Dates'!B788</f>
        <v>0</v>
      </c>
      <c r="E791" t="str">
        <f>TEXT(Table57[[#This Row],[Date]],"dddd")</f>
        <v>Saturday</v>
      </c>
      <c r="F791" s="25" t="str" cm="1">
        <f t="array" ref="F791">IFERROR(_xlfn.XLOOKUP(Table57[[#This Row],[Code]],Table1[[#All],[Code]],Table1[[#All],[Time]],,0,1),"")</f>
        <v/>
      </c>
      <c r="G791" s="25" t="str" cm="1">
        <f t="array" ref="G791">IFERROR(_xlfn.XLOOKUP(Table57[[#This Row],[Code]],Table1[[#All],[Code]],Table1[[#All],[Time]],,0,-1),"")</f>
        <v/>
      </c>
      <c r="H791" s="23" t="str">
        <f>IFERROR(IF(Table57[[#This Row],[Out]]&gt;=Table57[[#This Row],[In]],Table57[[#This Row],[Out]]-Table57[[#This Row],[In]],(0.5+Table57[[#This Row],[Out]])-Table57[[#This Row],[In]]),"")</f>
        <v/>
      </c>
      <c r="I791" s="31" t="str">
        <f>IFERROR(IF(Table57[[#This Row],[In]]&gt;$C$2,Table57[[#This Row],[In]]-$C$2,""),"")</f>
        <v/>
      </c>
      <c r="J791" s="31" t="str">
        <f>IF(Table57[[#This Row],[Work_Hours]]=0,"",(IF(Table57[[#This Row],[Out]]&lt;$C$3,$C$3-Table57[[#This Row],[Out]],"")))</f>
        <v/>
      </c>
      <c r="K791" s="32" t="str">
        <f>IFERROR(Table57[[#This Row],[In]]+$C$1,"")</f>
        <v/>
      </c>
      <c r="L791" s="29"/>
      <c r="M791" s="31" t="str">
        <f>IF($C$2&gt;Table57[[#This Row],[In]],$C$2-Table57[[#This Row],[In]],"")</f>
        <v/>
      </c>
      <c r="N791" s="29" t="str">
        <f>IFERROR(IF(Table57[[#This Row],[Out]]&gt;$C$3,(Table57[[#This Row],[Out]])-($C$3),""),"")</f>
        <v/>
      </c>
    </row>
    <row r="792" spans="1:14" hidden="1" x14ac:dyDescent="0.25">
      <c r="A792" s="23" t="str">
        <f>Table57[[#This Row],[No.]]&amp;Table57[[#This Row],[Date]]</f>
        <v>00</v>
      </c>
      <c r="B792" s="22">
        <f>'Unique Dates'!A789</f>
        <v>0</v>
      </c>
      <c r="C792" s="22" t="e" cm="1">
        <f t="array" ref="C792">_xlfn.XLOOKUP(Table57[[#This Row],[No.]],Table2[[#All],[CODE]],Table2[[#All],[NAME]],,0,1)</f>
        <v>#N/A</v>
      </c>
      <c r="D792" s="6">
        <f>'Unique Dates'!B789</f>
        <v>0</v>
      </c>
      <c r="E792" t="str">
        <f>TEXT(Table57[[#This Row],[Date]],"dddd")</f>
        <v>Saturday</v>
      </c>
      <c r="F792" s="25" t="str" cm="1">
        <f t="array" ref="F792">IFERROR(_xlfn.XLOOKUP(Table57[[#This Row],[Code]],Table1[[#All],[Code]],Table1[[#All],[Time]],,0,1),"")</f>
        <v/>
      </c>
      <c r="G792" s="25" t="str" cm="1">
        <f t="array" ref="G792">IFERROR(_xlfn.XLOOKUP(Table57[[#This Row],[Code]],Table1[[#All],[Code]],Table1[[#All],[Time]],,0,-1),"")</f>
        <v/>
      </c>
      <c r="H792" s="23" t="str">
        <f>IFERROR(IF(Table57[[#This Row],[Out]]&gt;=Table57[[#This Row],[In]],Table57[[#This Row],[Out]]-Table57[[#This Row],[In]],(0.5+Table57[[#This Row],[Out]])-Table57[[#This Row],[In]]),"")</f>
        <v/>
      </c>
      <c r="I792" s="31" t="str">
        <f>IFERROR(IF(Table57[[#This Row],[In]]&gt;$C$2,Table57[[#This Row],[In]]-$C$2,""),"")</f>
        <v/>
      </c>
      <c r="J792" s="31" t="str">
        <f>IF(Table57[[#This Row],[Work_Hours]]=0,"",(IF(Table57[[#This Row],[Out]]&lt;$C$3,$C$3-Table57[[#This Row],[Out]],"")))</f>
        <v/>
      </c>
      <c r="K792" s="32" t="str">
        <f>IFERROR(Table57[[#This Row],[In]]+$C$1,"")</f>
        <v/>
      </c>
      <c r="L792" s="29"/>
      <c r="M792" s="31" t="str">
        <f>IF($C$2&gt;Table57[[#This Row],[In]],$C$2-Table57[[#This Row],[In]],"")</f>
        <v/>
      </c>
      <c r="N792" s="29" t="str">
        <f>IFERROR(IF(Table57[[#This Row],[Out]]&gt;$C$3,(Table57[[#This Row],[Out]])-($C$3),""),"")</f>
        <v/>
      </c>
    </row>
    <row r="793" spans="1:14" hidden="1" x14ac:dyDescent="0.25">
      <c r="A793" s="23" t="str">
        <f>Table57[[#This Row],[No.]]&amp;Table57[[#This Row],[Date]]</f>
        <v>00</v>
      </c>
      <c r="B793" s="22">
        <f>'Unique Dates'!A790</f>
        <v>0</v>
      </c>
      <c r="C793" s="22" t="e" cm="1">
        <f t="array" ref="C793">_xlfn.XLOOKUP(Table57[[#This Row],[No.]],Table2[[#All],[CODE]],Table2[[#All],[NAME]],,0,1)</f>
        <v>#N/A</v>
      </c>
      <c r="D793" s="6">
        <f>'Unique Dates'!B790</f>
        <v>0</v>
      </c>
      <c r="E793" t="str">
        <f>TEXT(Table57[[#This Row],[Date]],"dddd")</f>
        <v>Saturday</v>
      </c>
      <c r="F793" s="25" t="str" cm="1">
        <f t="array" ref="F793">IFERROR(_xlfn.XLOOKUP(Table57[[#This Row],[Code]],Table1[[#All],[Code]],Table1[[#All],[Time]],,0,1),"")</f>
        <v/>
      </c>
      <c r="G793" s="25" t="str" cm="1">
        <f t="array" ref="G793">IFERROR(_xlfn.XLOOKUP(Table57[[#This Row],[Code]],Table1[[#All],[Code]],Table1[[#All],[Time]],,0,-1),"")</f>
        <v/>
      </c>
      <c r="H793" s="23" t="str">
        <f>IFERROR(IF(Table57[[#This Row],[Out]]&gt;=Table57[[#This Row],[In]],Table57[[#This Row],[Out]]-Table57[[#This Row],[In]],(0.5+Table57[[#This Row],[Out]])-Table57[[#This Row],[In]]),"")</f>
        <v/>
      </c>
      <c r="I793" s="31" t="str">
        <f>IFERROR(IF(Table57[[#This Row],[In]]&gt;$C$2,Table57[[#This Row],[In]]-$C$2,""),"")</f>
        <v/>
      </c>
      <c r="J793" s="31" t="str">
        <f>IF(Table57[[#This Row],[Work_Hours]]=0,"",(IF(Table57[[#This Row],[Out]]&lt;$C$3,$C$3-Table57[[#This Row],[Out]],"")))</f>
        <v/>
      </c>
      <c r="K793" s="32" t="str">
        <f>IFERROR(Table57[[#This Row],[In]]+$C$1,"")</f>
        <v/>
      </c>
      <c r="L793" s="29"/>
      <c r="M793" s="31" t="str">
        <f>IF($C$2&gt;Table57[[#This Row],[In]],$C$2-Table57[[#This Row],[In]],"")</f>
        <v/>
      </c>
      <c r="N793" s="29" t="str">
        <f>IFERROR(IF(Table57[[#This Row],[Out]]&gt;$C$3,(Table57[[#This Row],[Out]])-($C$3),""),"")</f>
        <v/>
      </c>
    </row>
    <row r="794" spans="1:14" hidden="1" x14ac:dyDescent="0.25">
      <c r="A794" s="23" t="str">
        <f>Table57[[#This Row],[No.]]&amp;Table57[[#This Row],[Date]]</f>
        <v>00</v>
      </c>
      <c r="B794" s="22">
        <f>'Unique Dates'!A791</f>
        <v>0</v>
      </c>
      <c r="C794" s="22" t="e" cm="1">
        <f t="array" ref="C794">_xlfn.XLOOKUP(Table57[[#This Row],[No.]],Table2[[#All],[CODE]],Table2[[#All],[NAME]],,0,1)</f>
        <v>#N/A</v>
      </c>
      <c r="D794" s="6">
        <f>'Unique Dates'!B791</f>
        <v>0</v>
      </c>
      <c r="E794" t="str">
        <f>TEXT(Table57[[#This Row],[Date]],"dddd")</f>
        <v>Saturday</v>
      </c>
      <c r="F794" s="25" t="str" cm="1">
        <f t="array" ref="F794">IFERROR(_xlfn.XLOOKUP(Table57[[#This Row],[Code]],Table1[[#All],[Code]],Table1[[#All],[Time]],,0,1),"")</f>
        <v/>
      </c>
      <c r="G794" s="25" t="str" cm="1">
        <f t="array" ref="G794">IFERROR(_xlfn.XLOOKUP(Table57[[#This Row],[Code]],Table1[[#All],[Code]],Table1[[#All],[Time]],,0,-1),"")</f>
        <v/>
      </c>
      <c r="H794" s="23" t="str">
        <f>IFERROR(IF(Table57[[#This Row],[Out]]&gt;=Table57[[#This Row],[In]],Table57[[#This Row],[Out]]-Table57[[#This Row],[In]],(0.5+Table57[[#This Row],[Out]])-Table57[[#This Row],[In]]),"")</f>
        <v/>
      </c>
      <c r="I794" s="31" t="str">
        <f>IFERROR(IF(Table57[[#This Row],[In]]&gt;$C$2,Table57[[#This Row],[In]]-$C$2,""),"")</f>
        <v/>
      </c>
      <c r="J794" s="31" t="str">
        <f>IF(Table57[[#This Row],[Work_Hours]]=0,"",(IF(Table57[[#This Row],[Out]]&lt;$C$3,$C$3-Table57[[#This Row],[Out]],"")))</f>
        <v/>
      </c>
      <c r="K794" s="32" t="str">
        <f>IFERROR(Table57[[#This Row],[In]]+$C$1,"")</f>
        <v/>
      </c>
      <c r="L794" s="29"/>
      <c r="M794" s="31" t="str">
        <f>IF($C$2&gt;Table57[[#This Row],[In]],$C$2-Table57[[#This Row],[In]],"")</f>
        <v/>
      </c>
      <c r="N794" s="29" t="str">
        <f>IFERROR(IF(Table57[[#This Row],[Out]]&gt;$C$3,(Table57[[#This Row],[Out]])-($C$3),""),"")</f>
        <v/>
      </c>
    </row>
    <row r="795" spans="1:14" hidden="1" x14ac:dyDescent="0.25">
      <c r="A795" s="23" t="str">
        <f>Table57[[#This Row],[No.]]&amp;Table57[[#This Row],[Date]]</f>
        <v>00</v>
      </c>
      <c r="B795" s="22">
        <f>'Unique Dates'!A792</f>
        <v>0</v>
      </c>
      <c r="C795" s="22" t="e" cm="1">
        <f t="array" ref="C795">_xlfn.XLOOKUP(Table57[[#This Row],[No.]],Table2[[#All],[CODE]],Table2[[#All],[NAME]],,0,1)</f>
        <v>#N/A</v>
      </c>
      <c r="D795" s="6">
        <f>'Unique Dates'!B792</f>
        <v>0</v>
      </c>
      <c r="E795" t="str">
        <f>TEXT(Table57[[#This Row],[Date]],"dddd")</f>
        <v>Saturday</v>
      </c>
      <c r="F795" s="25" t="str" cm="1">
        <f t="array" ref="F795">IFERROR(_xlfn.XLOOKUP(Table57[[#This Row],[Code]],Table1[[#All],[Code]],Table1[[#All],[Time]],,0,1),"")</f>
        <v/>
      </c>
      <c r="G795" s="25" t="str" cm="1">
        <f t="array" ref="G795">IFERROR(_xlfn.XLOOKUP(Table57[[#This Row],[Code]],Table1[[#All],[Code]],Table1[[#All],[Time]],,0,-1),"")</f>
        <v/>
      </c>
      <c r="H795" s="23" t="str">
        <f>IFERROR(IF(Table57[[#This Row],[Out]]&gt;=Table57[[#This Row],[In]],Table57[[#This Row],[Out]]-Table57[[#This Row],[In]],(0.5+Table57[[#This Row],[Out]])-Table57[[#This Row],[In]]),"")</f>
        <v/>
      </c>
      <c r="I795" s="31" t="str">
        <f>IFERROR(IF(Table57[[#This Row],[In]]&gt;$C$2,Table57[[#This Row],[In]]-$C$2,""),"")</f>
        <v/>
      </c>
      <c r="J795" s="31" t="str">
        <f>IF(Table57[[#This Row],[Work_Hours]]=0,"",(IF(Table57[[#This Row],[Out]]&lt;$C$3,$C$3-Table57[[#This Row],[Out]],"")))</f>
        <v/>
      </c>
      <c r="K795" s="32" t="str">
        <f>IFERROR(Table57[[#This Row],[In]]+$C$1,"")</f>
        <v/>
      </c>
      <c r="L795" s="29"/>
      <c r="M795" s="31" t="str">
        <f>IF($C$2&gt;Table57[[#This Row],[In]],$C$2-Table57[[#This Row],[In]],"")</f>
        <v/>
      </c>
      <c r="N795" s="29" t="str">
        <f>IFERROR(IF(Table57[[#This Row],[Out]]&gt;$C$3,(Table57[[#This Row],[Out]])-($C$3),""),"")</f>
        <v/>
      </c>
    </row>
    <row r="796" spans="1:14" hidden="1" x14ac:dyDescent="0.25">
      <c r="A796" s="23" t="str">
        <f>Table57[[#This Row],[No.]]&amp;Table57[[#This Row],[Date]]</f>
        <v>00</v>
      </c>
      <c r="B796" s="22">
        <f>'Unique Dates'!A793</f>
        <v>0</v>
      </c>
      <c r="C796" s="22" t="e" cm="1">
        <f t="array" ref="C796">_xlfn.XLOOKUP(Table57[[#This Row],[No.]],Table2[[#All],[CODE]],Table2[[#All],[NAME]],,0,1)</f>
        <v>#N/A</v>
      </c>
      <c r="D796" s="6">
        <f>'Unique Dates'!B793</f>
        <v>0</v>
      </c>
      <c r="E796" t="str">
        <f>TEXT(Table57[[#This Row],[Date]],"dddd")</f>
        <v>Saturday</v>
      </c>
      <c r="F796" s="25" t="str" cm="1">
        <f t="array" ref="F796">IFERROR(_xlfn.XLOOKUP(Table57[[#This Row],[Code]],Table1[[#All],[Code]],Table1[[#All],[Time]],,0,1),"")</f>
        <v/>
      </c>
      <c r="G796" s="25" t="str" cm="1">
        <f t="array" ref="G796">IFERROR(_xlfn.XLOOKUP(Table57[[#This Row],[Code]],Table1[[#All],[Code]],Table1[[#All],[Time]],,0,-1),"")</f>
        <v/>
      </c>
      <c r="H796" s="23" t="str">
        <f>IFERROR(IF(Table57[[#This Row],[Out]]&gt;=Table57[[#This Row],[In]],Table57[[#This Row],[Out]]-Table57[[#This Row],[In]],(0.5+Table57[[#This Row],[Out]])-Table57[[#This Row],[In]]),"")</f>
        <v/>
      </c>
      <c r="I796" s="31" t="str">
        <f>IFERROR(IF(Table57[[#This Row],[In]]&gt;$C$2,Table57[[#This Row],[In]]-$C$2,""),"")</f>
        <v/>
      </c>
      <c r="J796" s="31" t="str">
        <f>IF(Table57[[#This Row],[Work_Hours]]=0,"",(IF(Table57[[#This Row],[Out]]&lt;$C$3,$C$3-Table57[[#This Row],[Out]],"")))</f>
        <v/>
      </c>
      <c r="K796" s="32" t="str">
        <f>IFERROR(Table57[[#This Row],[In]]+$C$1,"")</f>
        <v/>
      </c>
      <c r="L796" s="29"/>
      <c r="M796" s="31" t="str">
        <f>IF($C$2&gt;Table57[[#This Row],[In]],$C$2-Table57[[#This Row],[In]],"")</f>
        <v/>
      </c>
      <c r="N796" s="29" t="str">
        <f>IFERROR(IF(Table57[[#This Row],[Out]]&gt;$C$3,(Table57[[#This Row],[Out]])-($C$3),""),"")</f>
        <v/>
      </c>
    </row>
    <row r="797" spans="1:14" hidden="1" x14ac:dyDescent="0.25">
      <c r="A797" s="23" t="str">
        <f>Table57[[#This Row],[No.]]&amp;Table57[[#This Row],[Date]]</f>
        <v>00</v>
      </c>
      <c r="B797" s="22">
        <f>'Unique Dates'!A794</f>
        <v>0</v>
      </c>
      <c r="C797" s="22" t="e" cm="1">
        <f t="array" ref="C797">_xlfn.XLOOKUP(Table57[[#This Row],[No.]],Table2[[#All],[CODE]],Table2[[#All],[NAME]],,0,1)</f>
        <v>#N/A</v>
      </c>
      <c r="D797" s="6">
        <f>'Unique Dates'!B794</f>
        <v>0</v>
      </c>
      <c r="E797" t="str">
        <f>TEXT(Table57[[#This Row],[Date]],"dddd")</f>
        <v>Saturday</v>
      </c>
      <c r="F797" s="25" t="str" cm="1">
        <f t="array" ref="F797">IFERROR(_xlfn.XLOOKUP(Table57[[#This Row],[Code]],Table1[[#All],[Code]],Table1[[#All],[Time]],,0,1),"")</f>
        <v/>
      </c>
      <c r="G797" s="25" t="str" cm="1">
        <f t="array" ref="G797">IFERROR(_xlfn.XLOOKUP(Table57[[#This Row],[Code]],Table1[[#All],[Code]],Table1[[#All],[Time]],,0,-1),"")</f>
        <v/>
      </c>
      <c r="H797" s="23" t="str">
        <f>IFERROR(IF(Table57[[#This Row],[Out]]&gt;=Table57[[#This Row],[In]],Table57[[#This Row],[Out]]-Table57[[#This Row],[In]],(0.5+Table57[[#This Row],[Out]])-Table57[[#This Row],[In]]),"")</f>
        <v/>
      </c>
      <c r="I797" s="31" t="str">
        <f>IFERROR(IF(Table57[[#This Row],[In]]&gt;$C$2,Table57[[#This Row],[In]]-$C$2,""),"")</f>
        <v/>
      </c>
      <c r="J797" s="31" t="str">
        <f>IF(Table57[[#This Row],[Work_Hours]]=0,"",(IF(Table57[[#This Row],[Out]]&lt;$C$3,$C$3-Table57[[#This Row],[Out]],"")))</f>
        <v/>
      </c>
      <c r="K797" s="32" t="str">
        <f>IFERROR(Table57[[#This Row],[In]]+$C$1,"")</f>
        <v/>
      </c>
      <c r="L797" s="29"/>
      <c r="M797" s="31" t="str">
        <f>IF($C$2&gt;Table57[[#This Row],[In]],$C$2-Table57[[#This Row],[In]],"")</f>
        <v/>
      </c>
      <c r="N797" s="29" t="str">
        <f>IFERROR(IF(Table57[[#This Row],[Out]]&gt;$C$3,(Table57[[#This Row],[Out]])-($C$3),""),"")</f>
        <v/>
      </c>
    </row>
    <row r="798" spans="1:14" hidden="1" x14ac:dyDescent="0.25">
      <c r="A798" s="23" t="str">
        <f>Table57[[#This Row],[No.]]&amp;Table57[[#This Row],[Date]]</f>
        <v>00</v>
      </c>
      <c r="B798" s="22">
        <f>'Unique Dates'!A795</f>
        <v>0</v>
      </c>
      <c r="C798" s="22" t="e" cm="1">
        <f t="array" ref="C798">_xlfn.XLOOKUP(Table57[[#This Row],[No.]],Table2[[#All],[CODE]],Table2[[#All],[NAME]],,0,1)</f>
        <v>#N/A</v>
      </c>
      <c r="D798" s="6">
        <f>'Unique Dates'!B795</f>
        <v>0</v>
      </c>
      <c r="E798" t="str">
        <f>TEXT(Table57[[#This Row],[Date]],"dddd")</f>
        <v>Saturday</v>
      </c>
      <c r="F798" s="25" t="str" cm="1">
        <f t="array" ref="F798">IFERROR(_xlfn.XLOOKUP(Table57[[#This Row],[Code]],Table1[[#All],[Code]],Table1[[#All],[Time]],,0,1),"")</f>
        <v/>
      </c>
      <c r="G798" s="25" t="str" cm="1">
        <f t="array" ref="G798">IFERROR(_xlfn.XLOOKUP(Table57[[#This Row],[Code]],Table1[[#All],[Code]],Table1[[#All],[Time]],,0,-1),"")</f>
        <v/>
      </c>
      <c r="H798" s="23" t="str">
        <f>IFERROR(IF(Table57[[#This Row],[Out]]&gt;=Table57[[#This Row],[In]],Table57[[#This Row],[Out]]-Table57[[#This Row],[In]],(0.5+Table57[[#This Row],[Out]])-Table57[[#This Row],[In]]),"")</f>
        <v/>
      </c>
      <c r="I798" s="31" t="str">
        <f>IFERROR(IF(Table57[[#This Row],[In]]&gt;$C$2,Table57[[#This Row],[In]]-$C$2,""),"")</f>
        <v/>
      </c>
      <c r="J798" s="31" t="str">
        <f>IF(Table57[[#This Row],[Work_Hours]]=0,"",(IF(Table57[[#This Row],[Out]]&lt;$C$3,$C$3-Table57[[#This Row],[Out]],"")))</f>
        <v/>
      </c>
      <c r="K798" s="32" t="str">
        <f>IFERROR(Table57[[#This Row],[In]]+$C$1,"")</f>
        <v/>
      </c>
      <c r="L798" s="29"/>
      <c r="M798" s="31" t="str">
        <f>IF($C$2&gt;Table57[[#This Row],[In]],$C$2-Table57[[#This Row],[In]],"")</f>
        <v/>
      </c>
      <c r="N798" s="29" t="str">
        <f>IFERROR(IF(Table57[[#This Row],[Out]]&gt;$C$3,(Table57[[#This Row],[Out]])-($C$3),""),"")</f>
        <v/>
      </c>
    </row>
    <row r="799" spans="1:14" hidden="1" x14ac:dyDescent="0.25">
      <c r="A799" s="23" t="str">
        <f>Table57[[#This Row],[No.]]&amp;Table57[[#This Row],[Date]]</f>
        <v>00</v>
      </c>
      <c r="B799" s="22">
        <f>'Unique Dates'!A796</f>
        <v>0</v>
      </c>
      <c r="C799" s="22" t="e" cm="1">
        <f t="array" ref="C799">_xlfn.XLOOKUP(Table57[[#This Row],[No.]],Table2[[#All],[CODE]],Table2[[#All],[NAME]],,0,1)</f>
        <v>#N/A</v>
      </c>
      <c r="D799" s="6">
        <f>'Unique Dates'!B796</f>
        <v>0</v>
      </c>
      <c r="E799" t="str">
        <f>TEXT(Table57[[#This Row],[Date]],"dddd")</f>
        <v>Saturday</v>
      </c>
      <c r="F799" s="25" t="str" cm="1">
        <f t="array" ref="F799">IFERROR(_xlfn.XLOOKUP(Table57[[#This Row],[Code]],Table1[[#All],[Code]],Table1[[#All],[Time]],,0,1),"")</f>
        <v/>
      </c>
      <c r="G799" s="25" t="str" cm="1">
        <f t="array" ref="G799">IFERROR(_xlfn.XLOOKUP(Table57[[#This Row],[Code]],Table1[[#All],[Code]],Table1[[#All],[Time]],,0,-1),"")</f>
        <v/>
      </c>
      <c r="H799" s="23" t="str">
        <f>IFERROR(IF(Table57[[#This Row],[Out]]&gt;=Table57[[#This Row],[In]],Table57[[#This Row],[Out]]-Table57[[#This Row],[In]],(0.5+Table57[[#This Row],[Out]])-Table57[[#This Row],[In]]),"")</f>
        <v/>
      </c>
      <c r="I799" s="31" t="str">
        <f>IFERROR(IF(Table57[[#This Row],[In]]&gt;$C$2,Table57[[#This Row],[In]]-$C$2,""),"")</f>
        <v/>
      </c>
      <c r="J799" s="31" t="str">
        <f>IF(Table57[[#This Row],[Work_Hours]]=0,"",(IF(Table57[[#This Row],[Out]]&lt;$C$3,$C$3-Table57[[#This Row],[Out]],"")))</f>
        <v/>
      </c>
      <c r="K799" s="32" t="str">
        <f>IFERROR(Table57[[#This Row],[In]]+$C$1,"")</f>
        <v/>
      </c>
      <c r="L799" s="29"/>
      <c r="M799" s="31" t="str">
        <f>IF($C$2&gt;Table57[[#This Row],[In]],$C$2-Table57[[#This Row],[In]],"")</f>
        <v/>
      </c>
      <c r="N799" s="29" t="str">
        <f>IFERROR(IF(Table57[[#This Row],[Out]]&gt;$C$3,(Table57[[#This Row],[Out]])-($C$3),""),"")</f>
        <v/>
      </c>
    </row>
    <row r="800" spans="1:14" hidden="1" x14ac:dyDescent="0.25">
      <c r="A800" s="23" t="str">
        <f>Table57[[#This Row],[No.]]&amp;Table57[[#This Row],[Date]]</f>
        <v>00</v>
      </c>
      <c r="B800" s="22">
        <f>'Unique Dates'!A797</f>
        <v>0</v>
      </c>
      <c r="C800" s="22" t="e" cm="1">
        <f t="array" ref="C800">_xlfn.XLOOKUP(Table57[[#This Row],[No.]],Table2[[#All],[CODE]],Table2[[#All],[NAME]],,0,1)</f>
        <v>#N/A</v>
      </c>
      <c r="D800" s="6">
        <f>'Unique Dates'!B797</f>
        <v>0</v>
      </c>
      <c r="E800" t="str">
        <f>TEXT(Table57[[#This Row],[Date]],"dddd")</f>
        <v>Saturday</v>
      </c>
      <c r="F800" s="25" t="str" cm="1">
        <f t="array" ref="F800">IFERROR(_xlfn.XLOOKUP(Table57[[#This Row],[Code]],Table1[[#All],[Code]],Table1[[#All],[Time]],,0,1),"")</f>
        <v/>
      </c>
      <c r="G800" s="25" t="str" cm="1">
        <f t="array" ref="G800">IFERROR(_xlfn.XLOOKUP(Table57[[#This Row],[Code]],Table1[[#All],[Code]],Table1[[#All],[Time]],,0,-1),"")</f>
        <v/>
      </c>
      <c r="H800" s="23" t="str">
        <f>IFERROR(IF(Table57[[#This Row],[Out]]&gt;=Table57[[#This Row],[In]],Table57[[#This Row],[Out]]-Table57[[#This Row],[In]],(0.5+Table57[[#This Row],[Out]])-Table57[[#This Row],[In]]),"")</f>
        <v/>
      </c>
      <c r="I800" s="31" t="str">
        <f>IFERROR(IF(Table57[[#This Row],[In]]&gt;$C$2,Table57[[#This Row],[In]]-$C$2,""),"")</f>
        <v/>
      </c>
      <c r="J800" s="31" t="str">
        <f>IF(Table57[[#This Row],[Work_Hours]]=0,"",(IF(Table57[[#This Row],[Out]]&lt;$C$3,$C$3-Table57[[#This Row],[Out]],"")))</f>
        <v/>
      </c>
      <c r="K800" s="32" t="str">
        <f>IFERROR(Table57[[#This Row],[In]]+$C$1,"")</f>
        <v/>
      </c>
      <c r="L800" s="29"/>
      <c r="M800" s="31" t="str">
        <f>IF($C$2&gt;Table57[[#This Row],[In]],$C$2-Table57[[#This Row],[In]],"")</f>
        <v/>
      </c>
      <c r="N800" s="29" t="str">
        <f>IFERROR(IF(Table57[[#This Row],[Out]]&gt;$C$3,(Table57[[#This Row],[Out]])-($C$3),""),"")</f>
        <v/>
      </c>
    </row>
    <row r="801" spans="1:14" hidden="1" x14ac:dyDescent="0.25">
      <c r="A801" s="23" t="str">
        <f>Table57[[#This Row],[No.]]&amp;Table57[[#This Row],[Date]]</f>
        <v>00</v>
      </c>
      <c r="B801" s="22">
        <f>'Unique Dates'!A798</f>
        <v>0</v>
      </c>
      <c r="C801" s="22" t="e" cm="1">
        <f t="array" ref="C801">_xlfn.XLOOKUP(Table57[[#This Row],[No.]],Table2[[#All],[CODE]],Table2[[#All],[NAME]],,0,1)</f>
        <v>#N/A</v>
      </c>
      <c r="D801" s="6">
        <f>'Unique Dates'!B798</f>
        <v>0</v>
      </c>
      <c r="E801" t="str">
        <f>TEXT(Table57[[#This Row],[Date]],"dddd")</f>
        <v>Saturday</v>
      </c>
      <c r="F801" s="25" t="str" cm="1">
        <f t="array" ref="F801">IFERROR(_xlfn.XLOOKUP(Table57[[#This Row],[Code]],Table1[[#All],[Code]],Table1[[#All],[Time]],,0,1),"")</f>
        <v/>
      </c>
      <c r="G801" s="25" t="str" cm="1">
        <f t="array" ref="G801">IFERROR(_xlfn.XLOOKUP(Table57[[#This Row],[Code]],Table1[[#All],[Code]],Table1[[#All],[Time]],,0,-1),"")</f>
        <v/>
      </c>
      <c r="H801" s="23" t="str">
        <f>IFERROR(IF(Table57[[#This Row],[Out]]&gt;=Table57[[#This Row],[In]],Table57[[#This Row],[Out]]-Table57[[#This Row],[In]],(0.5+Table57[[#This Row],[Out]])-Table57[[#This Row],[In]]),"")</f>
        <v/>
      </c>
      <c r="I801" s="31" t="str">
        <f>IFERROR(IF(Table57[[#This Row],[In]]&gt;$C$2,Table57[[#This Row],[In]]-$C$2,""),"")</f>
        <v/>
      </c>
      <c r="J801" s="31" t="str">
        <f>IF(Table57[[#This Row],[Work_Hours]]=0,"",(IF(Table57[[#This Row],[Out]]&lt;$C$3,$C$3-Table57[[#This Row],[Out]],"")))</f>
        <v/>
      </c>
      <c r="K801" s="32" t="str">
        <f>IFERROR(Table57[[#This Row],[In]]+$C$1,"")</f>
        <v/>
      </c>
      <c r="L801" s="29"/>
      <c r="M801" s="31" t="str">
        <f>IF($C$2&gt;Table57[[#This Row],[In]],$C$2-Table57[[#This Row],[In]],"")</f>
        <v/>
      </c>
      <c r="N801" s="29" t="str">
        <f>IFERROR(IF(Table57[[#This Row],[Out]]&gt;$C$3,(Table57[[#This Row],[Out]])-($C$3),""),"")</f>
        <v/>
      </c>
    </row>
    <row r="802" spans="1:14" hidden="1" x14ac:dyDescent="0.25">
      <c r="A802" s="23" t="str">
        <f>Table57[[#This Row],[No.]]&amp;Table57[[#This Row],[Date]]</f>
        <v>00</v>
      </c>
      <c r="B802" s="22">
        <f>'Unique Dates'!A799</f>
        <v>0</v>
      </c>
      <c r="C802" s="22" t="e" cm="1">
        <f t="array" ref="C802">_xlfn.XLOOKUP(Table57[[#This Row],[No.]],Table2[[#All],[CODE]],Table2[[#All],[NAME]],,0,1)</f>
        <v>#N/A</v>
      </c>
      <c r="D802" s="6">
        <f>'Unique Dates'!B799</f>
        <v>0</v>
      </c>
      <c r="E802" t="str">
        <f>TEXT(Table57[[#This Row],[Date]],"dddd")</f>
        <v>Saturday</v>
      </c>
      <c r="F802" s="25" t="str" cm="1">
        <f t="array" ref="F802">IFERROR(_xlfn.XLOOKUP(Table57[[#This Row],[Code]],Table1[[#All],[Code]],Table1[[#All],[Time]],,0,1),"")</f>
        <v/>
      </c>
      <c r="G802" s="25" t="str" cm="1">
        <f t="array" ref="G802">IFERROR(_xlfn.XLOOKUP(Table57[[#This Row],[Code]],Table1[[#All],[Code]],Table1[[#All],[Time]],,0,-1),"")</f>
        <v/>
      </c>
      <c r="H802" s="23" t="str">
        <f>IFERROR(IF(Table57[[#This Row],[Out]]&gt;=Table57[[#This Row],[In]],Table57[[#This Row],[Out]]-Table57[[#This Row],[In]],(0.5+Table57[[#This Row],[Out]])-Table57[[#This Row],[In]]),"")</f>
        <v/>
      </c>
      <c r="I802" s="31" t="str">
        <f>IFERROR(IF(Table57[[#This Row],[In]]&gt;$C$2,Table57[[#This Row],[In]]-$C$2,""),"")</f>
        <v/>
      </c>
      <c r="J802" s="31" t="str">
        <f>IF(Table57[[#This Row],[Work_Hours]]=0,"",(IF(Table57[[#This Row],[Out]]&lt;$C$3,$C$3-Table57[[#This Row],[Out]],"")))</f>
        <v/>
      </c>
      <c r="K802" s="32" t="str">
        <f>IFERROR(Table57[[#This Row],[In]]+$C$1,"")</f>
        <v/>
      </c>
      <c r="L802" s="29"/>
      <c r="M802" s="31" t="str">
        <f>IF($C$2&gt;Table57[[#This Row],[In]],$C$2-Table57[[#This Row],[In]],"")</f>
        <v/>
      </c>
      <c r="N802" s="29" t="str">
        <f>IFERROR(IF(Table57[[#This Row],[Out]]&gt;$C$3,(Table57[[#This Row],[Out]])-($C$3),""),"")</f>
        <v/>
      </c>
    </row>
    <row r="803" spans="1:14" hidden="1" x14ac:dyDescent="0.25">
      <c r="A803" s="23" t="str">
        <f>Table57[[#This Row],[No.]]&amp;Table57[[#This Row],[Date]]</f>
        <v>00</v>
      </c>
      <c r="B803" s="22">
        <f>'Unique Dates'!A800</f>
        <v>0</v>
      </c>
      <c r="C803" s="22" t="e" cm="1">
        <f t="array" ref="C803">_xlfn.XLOOKUP(Table57[[#This Row],[No.]],Table2[[#All],[CODE]],Table2[[#All],[NAME]],,0,1)</f>
        <v>#N/A</v>
      </c>
      <c r="D803" s="6">
        <f>'Unique Dates'!B800</f>
        <v>0</v>
      </c>
      <c r="E803" t="str">
        <f>TEXT(Table57[[#This Row],[Date]],"dddd")</f>
        <v>Saturday</v>
      </c>
      <c r="F803" s="25" t="str" cm="1">
        <f t="array" ref="F803">IFERROR(_xlfn.XLOOKUP(Table57[[#This Row],[Code]],Table1[[#All],[Code]],Table1[[#All],[Time]],,0,1),"")</f>
        <v/>
      </c>
      <c r="G803" s="25" t="str" cm="1">
        <f t="array" ref="G803">IFERROR(_xlfn.XLOOKUP(Table57[[#This Row],[Code]],Table1[[#All],[Code]],Table1[[#All],[Time]],,0,-1),"")</f>
        <v/>
      </c>
      <c r="H803" s="23" t="str">
        <f>IFERROR(IF(Table57[[#This Row],[Out]]&gt;=Table57[[#This Row],[In]],Table57[[#This Row],[Out]]-Table57[[#This Row],[In]],(0.5+Table57[[#This Row],[Out]])-Table57[[#This Row],[In]]),"")</f>
        <v/>
      </c>
      <c r="I803" s="31" t="str">
        <f>IFERROR(IF(Table57[[#This Row],[In]]&gt;$C$2,Table57[[#This Row],[In]]-$C$2,""),"")</f>
        <v/>
      </c>
      <c r="J803" s="31" t="str">
        <f>IF(Table57[[#This Row],[Work_Hours]]=0,"",(IF(Table57[[#This Row],[Out]]&lt;$C$3,$C$3-Table57[[#This Row],[Out]],"")))</f>
        <v/>
      </c>
      <c r="K803" s="32" t="str">
        <f>IFERROR(Table57[[#This Row],[In]]+$C$1,"")</f>
        <v/>
      </c>
      <c r="L803" s="29"/>
      <c r="M803" s="31" t="str">
        <f>IF($C$2&gt;Table57[[#This Row],[In]],$C$2-Table57[[#This Row],[In]],"")</f>
        <v/>
      </c>
      <c r="N803" s="29" t="str">
        <f>IFERROR(IF(Table57[[#This Row],[Out]]&gt;$C$3,(Table57[[#This Row],[Out]])-($C$3),""),"")</f>
        <v/>
      </c>
    </row>
    <row r="804" spans="1:14" hidden="1" x14ac:dyDescent="0.25">
      <c r="A804" s="23" t="str">
        <f>Table57[[#This Row],[No.]]&amp;Table57[[#This Row],[Date]]</f>
        <v>00</v>
      </c>
      <c r="B804" s="22">
        <f>'Unique Dates'!A801</f>
        <v>0</v>
      </c>
      <c r="C804" s="22" t="e" cm="1">
        <f t="array" ref="C804">_xlfn.XLOOKUP(Table57[[#This Row],[No.]],Table2[[#All],[CODE]],Table2[[#All],[NAME]],,0,1)</f>
        <v>#N/A</v>
      </c>
      <c r="D804" s="6">
        <f>'Unique Dates'!B801</f>
        <v>0</v>
      </c>
      <c r="E804" t="str">
        <f>TEXT(Table57[[#This Row],[Date]],"dddd")</f>
        <v>Saturday</v>
      </c>
      <c r="F804" s="25" t="str" cm="1">
        <f t="array" ref="F804">IFERROR(_xlfn.XLOOKUP(Table57[[#This Row],[Code]],Table1[[#All],[Code]],Table1[[#All],[Time]],,0,1),"")</f>
        <v/>
      </c>
      <c r="G804" s="25" t="str" cm="1">
        <f t="array" ref="G804">IFERROR(_xlfn.XLOOKUP(Table57[[#This Row],[Code]],Table1[[#All],[Code]],Table1[[#All],[Time]],,0,-1),"")</f>
        <v/>
      </c>
      <c r="H804" s="23" t="str">
        <f>IFERROR(IF(Table57[[#This Row],[Out]]&gt;=Table57[[#This Row],[In]],Table57[[#This Row],[Out]]-Table57[[#This Row],[In]],(0.5+Table57[[#This Row],[Out]])-Table57[[#This Row],[In]]),"")</f>
        <v/>
      </c>
      <c r="I804" s="31" t="str">
        <f>IFERROR(IF(Table57[[#This Row],[In]]&gt;$C$2,Table57[[#This Row],[In]]-$C$2,""),"")</f>
        <v/>
      </c>
      <c r="J804" s="31" t="str">
        <f>IF(Table57[[#This Row],[Work_Hours]]=0,"",(IF(Table57[[#This Row],[Out]]&lt;$C$3,$C$3-Table57[[#This Row],[Out]],"")))</f>
        <v/>
      </c>
      <c r="K804" s="32" t="str">
        <f>IFERROR(Table57[[#This Row],[In]]+$C$1,"")</f>
        <v/>
      </c>
      <c r="L804" s="29"/>
      <c r="M804" s="31" t="str">
        <f>IF($C$2&gt;Table57[[#This Row],[In]],$C$2-Table57[[#This Row],[In]],"")</f>
        <v/>
      </c>
      <c r="N804" s="29" t="str">
        <f>IFERROR(IF(Table57[[#This Row],[Out]]&gt;$C$3,(Table57[[#This Row],[Out]])-($C$3),""),"")</f>
        <v/>
      </c>
    </row>
    <row r="805" spans="1:14" hidden="1" x14ac:dyDescent="0.25">
      <c r="A805" s="23" t="str">
        <f>Table57[[#This Row],[No.]]&amp;Table57[[#This Row],[Date]]</f>
        <v>00</v>
      </c>
      <c r="B805" s="22">
        <f>'Unique Dates'!A802</f>
        <v>0</v>
      </c>
      <c r="C805" s="22" t="e" cm="1">
        <f t="array" ref="C805">_xlfn.XLOOKUP(Table57[[#This Row],[No.]],Table2[[#All],[CODE]],Table2[[#All],[NAME]],,0,1)</f>
        <v>#N/A</v>
      </c>
      <c r="D805" s="6">
        <f>'Unique Dates'!B802</f>
        <v>0</v>
      </c>
      <c r="E805" t="str">
        <f>TEXT(Table57[[#This Row],[Date]],"dddd")</f>
        <v>Saturday</v>
      </c>
      <c r="F805" s="25" t="str" cm="1">
        <f t="array" ref="F805">IFERROR(_xlfn.XLOOKUP(Table57[[#This Row],[Code]],Table1[[#All],[Code]],Table1[[#All],[Time]],,0,1),"")</f>
        <v/>
      </c>
      <c r="G805" s="25" t="str" cm="1">
        <f t="array" ref="G805">IFERROR(_xlfn.XLOOKUP(Table57[[#This Row],[Code]],Table1[[#All],[Code]],Table1[[#All],[Time]],,0,-1),"")</f>
        <v/>
      </c>
      <c r="H805" s="23" t="str">
        <f>IFERROR(IF(Table57[[#This Row],[Out]]&gt;=Table57[[#This Row],[In]],Table57[[#This Row],[Out]]-Table57[[#This Row],[In]],(0.5+Table57[[#This Row],[Out]])-Table57[[#This Row],[In]]),"")</f>
        <v/>
      </c>
      <c r="I805" s="31" t="str">
        <f>IFERROR(IF(Table57[[#This Row],[In]]&gt;$C$2,Table57[[#This Row],[In]]-$C$2,""),"")</f>
        <v/>
      </c>
      <c r="J805" s="31" t="str">
        <f>IF(Table57[[#This Row],[Work_Hours]]=0,"",(IF(Table57[[#This Row],[Out]]&lt;$C$3,$C$3-Table57[[#This Row],[Out]],"")))</f>
        <v/>
      </c>
      <c r="K805" s="32" t="str">
        <f>IFERROR(Table57[[#This Row],[In]]+$C$1,"")</f>
        <v/>
      </c>
      <c r="L805" s="29"/>
      <c r="M805" s="31" t="str">
        <f>IF($C$2&gt;Table57[[#This Row],[In]],$C$2-Table57[[#This Row],[In]],"")</f>
        <v/>
      </c>
      <c r="N805" s="29" t="str">
        <f>IFERROR(IF(Table57[[#This Row],[Out]]&gt;$C$3,(Table57[[#This Row],[Out]])-($C$3),""),"")</f>
        <v/>
      </c>
    </row>
    <row r="806" spans="1:14" hidden="1" x14ac:dyDescent="0.25">
      <c r="A806" s="23" t="str">
        <f>Table57[[#This Row],[No.]]&amp;Table57[[#This Row],[Date]]</f>
        <v>00</v>
      </c>
      <c r="B806" s="22">
        <f>'Unique Dates'!A803</f>
        <v>0</v>
      </c>
      <c r="C806" s="22" t="e" cm="1">
        <f t="array" ref="C806">_xlfn.XLOOKUP(Table57[[#This Row],[No.]],Table2[[#All],[CODE]],Table2[[#All],[NAME]],,0,1)</f>
        <v>#N/A</v>
      </c>
      <c r="D806" s="6">
        <f>'Unique Dates'!B803</f>
        <v>0</v>
      </c>
      <c r="E806" t="str">
        <f>TEXT(Table57[[#This Row],[Date]],"dddd")</f>
        <v>Saturday</v>
      </c>
      <c r="F806" s="25" t="str" cm="1">
        <f t="array" ref="F806">IFERROR(_xlfn.XLOOKUP(Table57[[#This Row],[Code]],Table1[[#All],[Code]],Table1[[#All],[Time]],,0,1),"")</f>
        <v/>
      </c>
      <c r="G806" s="25" t="str" cm="1">
        <f t="array" ref="G806">IFERROR(_xlfn.XLOOKUP(Table57[[#This Row],[Code]],Table1[[#All],[Code]],Table1[[#All],[Time]],,0,-1),"")</f>
        <v/>
      </c>
      <c r="H806" s="23" t="str">
        <f>IFERROR(IF(Table57[[#This Row],[Out]]&gt;=Table57[[#This Row],[In]],Table57[[#This Row],[Out]]-Table57[[#This Row],[In]],(0.5+Table57[[#This Row],[Out]])-Table57[[#This Row],[In]]),"")</f>
        <v/>
      </c>
      <c r="I806" s="31" t="str">
        <f>IFERROR(IF(Table57[[#This Row],[In]]&gt;$C$2,Table57[[#This Row],[In]]-$C$2,""),"")</f>
        <v/>
      </c>
      <c r="J806" s="31" t="str">
        <f>IF(Table57[[#This Row],[Work_Hours]]=0,"",(IF(Table57[[#This Row],[Out]]&lt;$C$3,$C$3-Table57[[#This Row],[Out]],"")))</f>
        <v/>
      </c>
      <c r="K806" s="32" t="str">
        <f>IFERROR(Table57[[#This Row],[In]]+$C$1,"")</f>
        <v/>
      </c>
      <c r="L806" s="29"/>
      <c r="M806" s="31" t="str">
        <f>IF($C$2&gt;Table57[[#This Row],[In]],$C$2-Table57[[#This Row],[In]],"")</f>
        <v/>
      </c>
      <c r="N806" s="29" t="str">
        <f>IFERROR(IF(Table57[[#This Row],[Out]]&gt;$C$3,(Table57[[#This Row],[Out]])-($C$3),""),"")</f>
        <v/>
      </c>
    </row>
    <row r="807" spans="1:14" hidden="1" x14ac:dyDescent="0.25">
      <c r="A807" s="23" t="str">
        <f>Table57[[#This Row],[No.]]&amp;Table57[[#This Row],[Date]]</f>
        <v>00</v>
      </c>
      <c r="B807" s="22">
        <f>'Unique Dates'!A804</f>
        <v>0</v>
      </c>
      <c r="C807" s="22" t="e" cm="1">
        <f t="array" ref="C807">_xlfn.XLOOKUP(Table57[[#This Row],[No.]],Table2[[#All],[CODE]],Table2[[#All],[NAME]],,0,1)</f>
        <v>#N/A</v>
      </c>
      <c r="D807" s="6">
        <f>'Unique Dates'!B804</f>
        <v>0</v>
      </c>
      <c r="E807" t="str">
        <f>TEXT(Table57[[#This Row],[Date]],"dddd")</f>
        <v>Saturday</v>
      </c>
      <c r="F807" s="25" t="str" cm="1">
        <f t="array" ref="F807">IFERROR(_xlfn.XLOOKUP(Table57[[#This Row],[Code]],Table1[[#All],[Code]],Table1[[#All],[Time]],,0,1),"")</f>
        <v/>
      </c>
      <c r="G807" s="25" t="str" cm="1">
        <f t="array" ref="G807">IFERROR(_xlfn.XLOOKUP(Table57[[#This Row],[Code]],Table1[[#All],[Code]],Table1[[#All],[Time]],,0,-1),"")</f>
        <v/>
      </c>
      <c r="H807" s="23" t="str">
        <f>IFERROR(IF(Table57[[#This Row],[Out]]&gt;=Table57[[#This Row],[In]],Table57[[#This Row],[Out]]-Table57[[#This Row],[In]],(0.5+Table57[[#This Row],[Out]])-Table57[[#This Row],[In]]),"")</f>
        <v/>
      </c>
      <c r="I807" s="31" t="str">
        <f>IFERROR(IF(Table57[[#This Row],[In]]&gt;$C$2,Table57[[#This Row],[In]]-$C$2,""),"")</f>
        <v/>
      </c>
      <c r="J807" s="31" t="str">
        <f>IF(Table57[[#This Row],[Work_Hours]]=0,"",(IF(Table57[[#This Row],[Out]]&lt;$C$3,$C$3-Table57[[#This Row],[Out]],"")))</f>
        <v/>
      </c>
      <c r="K807" s="32" t="str">
        <f>IFERROR(Table57[[#This Row],[In]]+$C$1,"")</f>
        <v/>
      </c>
      <c r="L807" s="29"/>
      <c r="M807" s="31" t="str">
        <f>IF($C$2&gt;Table57[[#This Row],[In]],$C$2-Table57[[#This Row],[In]],"")</f>
        <v/>
      </c>
      <c r="N807" s="29" t="str">
        <f>IFERROR(IF(Table57[[#This Row],[Out]]&gt;$C$3,(Table57[[#This Row],[Out]])-($C$3),""),"")</f>
        <v/>
      </c>
    </row>
    <row r="808" spans="1:14" hidden="1" x14ac:dyDescent="0.25">
      <c r="A808" s="23" t="str">
        <f>Table57[[#This Row],[No.]]&amp;Table57[[#This Row],[Date]]</f>
        <v>00</v>
      </c>
      <c r="B808" s="22">
        <f>'Unique Dates'!A805</f>
        <v>0</v>
      </c>
      <c r="C808" s="22" t="e" cm="1">
        <f t="array" ref="C808">_xlfn.XLOOKUP(Table57[[#This Row],[No.]],Table2[[#All],[CODE]],Table2[[#All],[NAME]],,0,1)</f>
        <v>#N/A</v>
      </c>
      <c r="D808" s="6">
        <f>'Unique Dates'!B805</f>
        <v>0</v>
      </c>
      <c r="E808" t="str">
        <f>TEXT(Table57[[#This Row],[Date]],"dddd")</f>
        <v>Saturday</v>
      </c>
      <c r="F808" s="25" t="str" cm="1">
        <f t="array" ref="F808">IFERROR(_xlfn.XLOOKUP(Table57[[#This Row],[Code]],Table1[[#All],[Code]],Table1[[#All],[Time]],,0,1),"")</f>
        <v/>
      </c>
      <c r="G808" s="25" t="str" cm="1">
        <f t="array" ref="G808">IFERROR(_xlfn.XLOOKUP(Table57[[#This Row],[Code]],Table1[[#All],[Code]],Table1[[#All],[Time]],,0,-1),"")</f>
        <v/>
      </c>
      <c r="H808" s="23" t="str">
        <f>IFERROR(IF(Table57[[#This Row],[Out]]&gt;=Table57[[#This Row],[In]],Table57[[#This Row],[Out]]-Table57[[#This Row],[In]],(0.5+Table57[[#This Row],[Out]])-Table57[[#This Row],[In]]),"")</f>
        <v/>
      </c>
      <c r="I808" s="31" t="str">
        <f>IFERROR(IF(Table57[[#This Row],[In]]&gt;$C$2,Table57[[#This Row],[In]]-$C$2,""),"")</f>
        <v/>
      </c>
      <c r="J808" s="31" t="str">
        <f>IF(Table57[[#This Row],[Work_Hours]]=0,"",(IF(Table57[[#This Row],[Out]]&lt;$C$3,$C$3-Table57[[#This Row],[Out]],"")))</f>
        <v/>
      </c>
      <c r="K808" s="32" t="str">
        <f>IFERROR(Table57[[#This Row],[In]]+$C$1,"")</f>
        <v/>
      </c>
      <c r="L808" s="29"/>
      <c r="M808" s="31" t="str">
        <f>IF($C$2&gt;Table57[[#This Row],[In]],$C$2-Table57[[#This Row],[In]],"")</f>
        <v/>
      </c>
      <c r="N808" s="29" t="str">
        <f>IFERROR(IF(Table57[[#This Row],[Out]]&gt;$C$3,(Table57[[#This Row],[Out]])-($C$3),""),"")</f>
        <v/>
      </c>
    </row>
    <row r="809" spans="1:14" hidden="1" x14ac:dyDescent="0.25">
      <c r="A809" s="23" t="str">
        <f>Table57[[#This Row],[No.]]&amp;Table57[[#This Row],[Date]]</f>
        <v>00</v>
      </c>
      <c r="B809" s="22">
        <f>'Unique Dates'!A806</f>
        <v>0</v>
      </c>
      <c r="C809" s="22" t="e" cm="1">
        <f t="array" ref="C809">_xlfn.XLOOKUP(Table57[[#This Row],[No.]],Table2[[#All],[CODE]],Table2[[#All],[NAME]],,0,1)</f>
        <v>#N/A</v>
      </c>
      <c r="D809" s="6">
        <f>'Unique Dates'!B806</f>
        <v>0</v>
      </c>
      <c r="E809" t="str">
        <f>TEXT(Table57[[#This Row],[Date]],"dddd")</f>
        <v>Saturday</v>
      </c>
      <c r="F809" s="25" t="str" cm="1">
        <f t="array" ref="F809">IFERROR(_xlfn.XLOOKUP(Table57[[#This Row],[Code]],Table1[[#All],[Code]],Table1[[#All],[Time]],,0,1),"")</f>
        <v/>
      </c>
      <c r="G809" s="25" t="str" cm="1">
        <f t="array" ref="G809">IFERROR(_xlfn.XLOOKUP(Table57[[#This Row],[Code]],Table1[[#All],[Code]],Table1[[#All],[Time]],,0,-1),"")</f>
        <v/>
      </c>
      <c r="H809" s="23" t="str">
        <f>IFERROR(IF(Table57[[#This Row],[Out]]&gt;=Table57[[#This Row],[In]],Table57[[#This Row],[Out]]-Table57[[#This Row],[In]],(0.5+Table57[[#This Row],[Out]])-Table57[[#This Row],[In]]),"")</f>
        <v/>
      </c>
      <c r="I809" s="31" t="str">
        <f>IFERROR(IF(Table57[[#This Row],[In]]&gt;$C$2,Table57[[#This Row],[In]]-$C$2,""),"")</f>
        <v/>
      </c>
      <c r="J809" s="31" t="str">
        <f>IF(Table57[[#This Row],[Work_Hours]]=0,"",(IF(Table57[[#This Row],[Out]]&lt;$C$3,$C$3-Table57[[#This Row],[Out]],"")))</f>
        <v/>
      </c>
      <c r="K809" s="32" t="str">
        <f>IFERROR(Table57[[#This Row],[In]]+$C$1,"")</f>
        <v/>
      </c>
      <c r="L809" s="29"/>
      <c r="M809" s="31" t="str">
        <f>IF($C$2&gt;Table57[[#This Row],[In]],$C$2-Table57[[#This Row],[In]],"")</f>
        <v/>
      </c>
      <c r="N809" s="29" t="str">
        <f>IFERROR(IF(Table57[[#This Row],[Out]]&gt;$C$3,(Table57[[#This Row],[Out]])-($C$3),""),"")</f>
        <v/>
      </c>
    </row>
    <row r="810" spans="1:14" hidden="1" x14ac:dyDescent="0.25">
      <c r="A810" s="23" t="str">
        <f>Table57[[#This Row],[No.]]&amp;Table57[[#This Row],[Date]]</f>
        <v>00</v>
      </c>
      <c r="B810" s="22">
        <f>'Unique Dates'!A807</f>
        <v>0</v>
      </c>
      <c r="C810" s="22" t="e" cm="1">
        <f t="array" ref="C810">_xlfn.XLOOKUP(Table57[[#This Row],[No.]],Table2[[#All],[CODE]],Table2[[#All],[NAME]],,0,1)</f>
        <v>#N/A</v>
      </c>
      <c r="D810" s="6">
        <f>'Unique Dates'!B807</f>
        <v>0</v>
      </c>
      <c r="E810" t="str">
        <f>TEXT(Table57[[#This Row],[Date]],"dddd")</f>
        <v>Saturday</v>
      </c>
      <c r="F810" s="25" t="str" cm="1">
        <f t="array" ref="F810">IFERROR(_xlfn.XLOOKUP(Table57[[#This Row],[Code]],Table1[[#All],[Code]],Table1[[#All],[Time]],,0,1),"")</f>
        <v/>
      </c>
      <c r="G810" s="25" t="str" cm="1">
        <f t="array" ref="G810">IFERROR(_xlfn.XLOOKUP(Table57[[#This Row],[Code]],Table1[[#All],[Code]],Table1[[#All],[Time]],,0,-1),"")</f>
        <v/>
      </c>
      <c r="H810" s="23" t="str">
        <f>IFERROR(IF(Table57[[#This Row],[Out]]&gt;=Table57[[#This Row],[In]],Table57[[#This Row],[Out]]-Table57[[#This Row],[In]],(0.5+Table57[[#This Row],[Out]])-Table57[[#This Row],[In]]),"")</f>
        <v/>
      </c>
      <c r="I810" s="31" t="str">
        <f>IFERROR(IF(Table57[[#This Row],[In]]&gt;$C$2,Table57[[#This Row],[In]]-$C$2,""),"")</f>
        <v/>
      </c>
      <c r="J810" s="31" t="str">
        <f>IF(Table57[[#This Row],[Work_Hours]]=0,"",(IF(Table57[[#This Row],[Out]]&lt;$C$3,$C$3-Table57[[#This Row],[Out]],"")))</f>
        <v/>
      </c>
      <c r="K810" s="32" t="str">
        <f>IFERROR(Table57[[#This Row],[In]]+$C$1,"")</f>
        <v/>
      </c>
      <c r="L810" s="29"/>
      <c r="M810" s="31" t="str">
        <f>IF($C$2&gt;Table57[[#This Row],[In]],$C$2-Table57[[#This Row],[In]],"")</f>
        <v/>
      </c>
      <c r="N810" s="29" t="str">
        <f>IFERROR(IF(Table57[[#This Row],[Out]]&gt;$C$3,(Table57[[#This Row],[Out]])-($C$3),""),"")</f>
        <v/>
      </c>
    </row>
    <row r="811" spans="1:14" hidden="1" x14ac:dyDescent="0.25">
      <c r="A811" s="23" t="str">
        <f>Table57[[#This Row],[No.]]&amp;Table57[[#This Row],[Date]]</f>
        <v>00</v>
      </c>
      <c r="B811" s="22">
        <f>'Unique Dates'!A808</f>
        <v>0</v>
      </c>
      <c r="C811" s="22" t="e" cm="1">
        <f t="array" ref="C811">_xlfn.XLOOKUP(Table57[[#This Row],[No.]],Table2[[#All],[CODE]],Table2[[#All],[NAME]],,0,1)</f>
        <v>#N/A</v>
      </c>
      <c r="D811" s="6">
        <f>'Unique Dates'!B808</f>
        <v>0</v>
      </c>
      <c r="E811" t="str">
        <f>TEXT(Table57[[#This Row],[Date]],"dddd")</f>
        <v>Saturday</v>
      </c>
      <c r="F811" s="25" t="str" cm="1">
        <f t="array" ref="F811">IFERROR(_xlfn.XLOOKUP(Table57[[#This Row],[Code]],Table1[[#All],[Code]],Table1[[#All],[Time]],,0,1),"")</f>
        <v/>
      </c>
      <c r="G811" s="25" t="str" cm="1">
        <f t="array" ref="G811">IFERROR(_xlfn.XLOOKUP(Table57[[#This Row],[Code]],Table1[[#All],[Code]],Table1[[#All],[Time]],,0,-1),"")</f>
        <v/>
      </c>
      <c r="H811" s="23" t="str">
        <f>IFERROR(IF(Table57[[#This Row],[Out]]&gt;=Table57[[#This Row],[In]],Table57[[#This Row],[Out]]-Table57[[#This Row],[In]],(0.5+Table57[[#This Row],[Out]])-Table57[[#This Row],[In]]),"")</f>
        <v/>
      </c>
      <c r="I811" s="31" t="str">
        <f>IFERROR(IF(Table57[[#This Row],[In]]&gt;$C$2,Table57[[#This Row],[In]]-$C$2,""),"")</f>
        <v/>
      </c>
      <c r="J811" s="31" t="str">
        <f>IF(Table57[[#This Row],[Work_Hours]]=0,"",(IF(Table57[[#This Row],[Out]]&lt;$C$3,$C$3-Table57[[#This Row],[Out]],"")))</f>
        <v/>
      </c>
      <c r="K811" s="32" t="str">
        <f>IFERROR(Table57[[#This Row],[In]]+$C$1,"")</f>
        <v/>
      </c>
      <c r="L811" s="29"/>
      <c r="M811" s="31" t="str">
        <f>IF($C$2&gt;Table57[[#This Row],[In]],$C$2-Table57[[#This Row],[In]],"")</f>
        <v/>
      </c>
      <c r="N811" s="29" t="str">
        <f>IFERROR(IF(Table57[[#This Row],[Out]]&gt;$C$3,(Table57[[#This Row],[Out]])-($C$3),""),"")</f>
        <v/>
      </c>
    </row>
    <row r="812" spans="1:14" hidden="1" x14ac:dyDescent="0.25">
      <c r="A812" s="23" t="str">
        <f>Table57[[#This Row],[No.]]&amp;Table57[[#This Row],[Date]]</f>
        <v>00</v>
      </c>
      <c r="B812" s="22">
        <f>'Unique Dates'!A809</f>
        <v>0</v>
      </c>
      <c r="C812" s="22" t="e" cm="1">
        <f t="array" ref="C812">_xlfn.XLOOKUP(Table57[[#This Row],[No.]],Table2[[#All],[CODE]],Table2[[#All],[NAME]],,0,1)</f>
        <v>#N/A</v>
      </c>
      <c r="D812" s="6">
        <f>'Unique Dates'!B809</f>
        <v>0</v>
      </c>
      <c r="E812" t="str">
        <f>TEXT(Table57[[#This Row],[Date]],"dddd")</f>
        <v>Saturday</v>
      </c>
      <c r="F812" s="25" t="str" cm="1">
        <f t="array" ref="F812">IFERROR(_xlfn.XLOOKUP(Table57[[#This Row],[Code]],Table1[[#All],[Code]],Table1[[#All],[Time]],,0,1),"")</f>
        <v/>
      </c>
      <c r="G812" s="25" t="str" cm="1">
        <f t="array" ref="G812">IFERROR(_xlfn.XLOOKUP(Table57[[#This Row],[Code]],Table1[[#All],[Code]],Table1[[#All],[Time]],,0,-1),"")</f>
        <v/>
      </c>
      <c r="H812" s="23" t="str">
        <f>IFERROR(IF(Table57[[#This Row],[Out]]&gt;=Table57[[#This Row],[In]],Table57[[#This Row],[Out]]-Table57[[#This Row],[In]],(0.5+Table57[[#This Row],[Out]])-Table57[[#This Row],[In]]),"")</f>
        <v/>
      </c>
      <c r="I812" s="31" t="str">
        <f>IFERROR(IF(Table57[[#This Row],[In]]&gt;$C$2,Table57[[#This Row],[In]]-$C$2,""),"")</f>
        <v/>
      </c>
      <c r="J812" s="31" t="str">
        <f>IF(Table57[[#This Row],[Work_Hours]]=0,"",(IF(Table57[[#This Row],[Out]]&lt;$C$3,$C$3-Table57[[#This Row],[Out]],"")))</f>
        <v/>
      </c>
      <c r="K812" s="32" t="str">
        <f>IFERROR(Table57[[#This Row],[In]]+$C$1,"")</f>
        <v/>
      </c>
      <c r="L812" s="29"/>
      <c r="M812" s="31" t="str">
        <f>IF($C$2&gt;Table57[[#This Row],[In]],$C$2-Table57[[#This Row],[In]],"")</f>
        <v/>
      </c>
      <c r="N812" s="29" t="str">
        <f>IFERROR(IF(Table57[[#This Row],[Out]]&gt;$C$3,(Table57[[#This Row],[Out]])-($C$3),""),"")</f>
        <v/>
      </c>
    </row>
    <row r="813" spans="1:14" hidden="1" x14ac:dyDescent="0.25">
      <c r="A813" s="23" t="str">
        <f>Table57[[#This Row],[No.]]&amp;Table57[[#This Row],[Date]]</f>
        <v>00</v>
      </c>
      <c r="B813" s="22">
        <f>'Unique Dates'!A810</f>
        <v>0</v>
      </c>
      <c r="C813" s="22" t="e" cm="1">
        <f t="array" ref="C813">_xlfn.XLOOKUP(Table57[[#This Row],[No.]],Table2[[#All],[CODE]],Table2[[#All],[NAME]],,0,1)</f>
        <v>#N/A</v>
      </c>
      <c r="D813" s="6">
        <f>'Unique Dates'!B810</f>
        <v>0</v>
      </c>
      <c r="E813" t="str">
        <f>TEXT(Table57[[#This Row],[Date]],"dddd")</f>
        <v>Saturday</v>
      </c>
      <c r="F813" s="25" t="str" cm="1">
        <f t="array" ref="F813">IFERROR(_xlfn.XLOOKUP(Table57[[#This Row],[Code]],Table1[[#All],[Code]],Table1[[#All],[Time]],,0,1),"")</f>
        <v/>
      </c>
      <c r="G813" s="25" t="str" cm="1">
        <f t="array" ref="G813">IFERROR(_xlfn.XLOOKUP(Table57[[#This Row],[Code]],Table1[[#All],[Code]],Table1[[#All],[Time]],,0,-1),"")</f>
        <v/>
      </c>
      <c r="H813" s="23" t="str">
        <f>IFERROR(IF(Table57[[#This Row],[Out]]&gt;=Table57[[#This Row],[In]],Table57[[#This Row],[Out]]-Table57[[#This Row],[In]],(0.5+Table57[[#This Row],[Out]])-Table57[[#This Row],[In]]),"")</f>
        <v/>
      </c>
      <c r="I813" s="31" t="str">
        <f>IFERROR(IF(Table57[[#This Row],[In]]&gt;$C$2,Table57[[#This Row],[In]]-$C$2,""),"")</f>
        <v/>
      </c>
      <c r="J813" s="31" t="str">
        <f>IF(Table57[[#This Row],[Work_Hours]]=0,"",(IF(Table57[[#This Row],[Out]]&lt;$C$3,$C$3-Table57[[#This Row],[Out]],"")))</f>
        <v/>
      </c>
      <c r="K813" s="32" t="str">
        <f>IFERROR(Table57[[#This Row],[In]]+$C$1,"")</f>
        <v/>
      </c>
      <c r="L813" s="29"/>
      <c r="M813" s="31" t="str">
        <f>IF($C$2&gt;Table57[[#This Row],[In]],$C$2-Table57[[#This Row],[In]],"")</f>
        <v/>
      </c>
      <c r="N813" s="29" t="str">
        <f>IFERROR(IF(Table57[[#This Row],[Out]]&gt;$C$3,(Table57[[#This Row],[Out]])-($C$3),""),"")</f>
        <v/>
      </c>
    </row>
    <row r="814" spans="1:14" hidden="1" x14ac:dyDescent="0.25">
      <c r="A814" s="23" t="str">
        <f>Table57[[#This Row],[No.]]&amp;Table57[[#This Row],[Date]]</f>
        <v>00</v>
      </c>
      <c r="B814" s="22">
        <f>'Unique Dates'!A811</f>
        <v>0</v>
      </c>
      <c r="C814" s="22" t="e" cm="1">
        <f t="array" ref="C814">_xlfn.XLOOKUP(Table57[[#This Row],[No.]],Table2[[#All],[CODE]],Table2[[#All],[NAME]],,0,1)</f>
        <v>#N/A</v>
      </c>
      <c r="D814" s="6">
        <f>'Unique Dates'!B811</f>
        <v>0</v>
      </c>
      <c r="E814" t="str">
        <f>TEXT(Table57[[#This Row],[Date]],"dddd")</f>
        <v>Saturday</v>
      </c>
      <c r="F814" s="25" t="str" cm="1">
        <f t="array" ref="F814">IFERROR(_xlfn.XLOOKUP(Table57[[#This Row],[Code]],Table1[[#All],[Code]],Table1[[#All],[Time]],,0,1),"")</f>
        <v/>
      </c>
      <c r="G814" s="25" t="str" cm="1">
        <f t="array" ref="G814">IFERROR(_xlfn.XLOOKUP(Table57[[#This Row],[Code]],Table1[[#All],[Code]],Table1[[#All],[Time]],,0,-1),"")</f>
        <v/>
      </c>
      <c r="H814" s="23" t="str">
        <f>IFERROR(IF(Table57[[#This Row],[Out]]&gt;=Table57[[#This Row],[In]],Table57[[#This Row],[Out]]-Table57[[#This Row],[In]],(0.5+Table57[[#This Row],[Out]])-Table57[[#This Row],[In]]),"")</f>
        <v/>
      </c>
      <c r="I814" s="31" t="str">
        <f>IFERROR(IF(Table57[[#This Row],[In]]&gt;$C$2,Table57[[#This Row],[In]]-$C$2,""),"")</f>
        <v/>
      </c>
      <c r="J814" s="31" t="str">
        <f>IF(Table57[[#This Row],[Work_Hours]]=0,"",(IF(Table57[[#This Row],[Out]]&lt;$C$3,$C$3-Table57[[#This Row],[Out]],"")))</f>
        <v/>
      </c>
      <c r="K814" s="32" t="str">
        <f>IFERROR(Table57[[#This Row],[In]]+$C$1,"")</f>
        <v/>
      </c>
      <c r="L814" s="29"/>
      <c r="M814" s="31" t="str">
        <f>IF($C$2&gt;Table57[[#This Row],[In]],$C$2-Table57[[#This Row],[In]],"")</f>
        <v/>
      </c>
      <c r="N814" s="29" t="str">
        <f>IFERROR(IF(Table57[[#This Row],[Out]]&gt;$C$3,(Table57[[#This Row],[Out]])-($C$3),""),"")</f>
        <v/>
      </c>
    </row>
    <row r="815" spans="1:14" hidden="1" x14ac:dyDescent="0.25">
      <c r="A815" s="23" t="str">
        <f>Table57[[#This Row],[No.]]&amp;Table57[[#This Row],[Date]]</f>
        <v>00</v>
      </c>
      <c r="B815" s="22">
        <f>'Unique Dates'!A812</f>
        <v>0</v>
      </c>
      <c r="C815" s="22" t="e" cm="1">
        <f t="array" ref="C815">_xlfn.XLOOKUP(Table57[[#This Row],[No.]],Table2[[#All],[CODE]],Table2[[#All],[NAME]],,0,1)</f>
        <v>#N/A</v>
      </c>
      <c r="D815" s="6">
        <f>'Unique Dates'!B812</f>
        <v>0</v>
      </c>
      <c r="E815" t="str">
        <f>TEXT(Table57[[#This Row],[Date]],"dddd")</f>
        <v>Saturday</v>
      </c>
      <c r="F815" s="25" t="str" cm="1">
        <f t="array" ref="F815">IFERROR(_xlfn.XLOOKUP(Table57[[#This Row],[Code]],Table1[[#All],[Code]],Table1[[#All],[Time]],,0,1),"")</f>
        <v/>
      </c>
      <c r="G815" s="25" t="str" cm="1">
        <f t="array" ref="G815">IFERROR(_xlfn.XLOOKUP(Table57[[#This Row],[Code]],Table1[[#All],[Code]],Table1[[#All],[Time]],,0,-1),"")</f>
        <v/>
      </c>
      <c r="H815" s="23" t="str">
        <f>IFERROR(IF(Table57[[#This Row],[Out]]&gt;=Table57[[#This Row],[In]],Table57[[#This Row],[Out]]-Table57[[#This Row],[In]],(0.5+Table57[[#This Row],[Out]])-Table57[[#This Row],[In]]),"")</f>
        <v/>
      </c>
      <c r="I815" s="31" t="str">
        <f>IFERROR(IF(Table57[[#This Row],[In]]&gt;$C$2,Table57[[#This Row],[In]]-$C$2,""),"")</f>
        <v/>
      </c>
      <c r="J815" s="31" t="str">
        <f>IF(Table57[[#This Row],[Work_Hours]]=0,"",(IF(Table57[[#This Row],[Out]]&lt;$C$3,$C$3-Table57[[#This Row],[Out]],"")))</f>
        <v/>
      </c>
      <c r="K815" s="32" t="str">
        <f>IFERROR(Table57[[#This Row],[In]]+$C$1,"")</f>
        <v/>
      </c>
      <c r="L815" s="29"/>
      <c r="M815" s="31" t="str">
        <f>IF($C$2&gt;Table57[[#This Row],[In]],$C$2-Table57[[#This Row],[In]],"")</f>
        <v/>
      </c>
      <c r="N815" s="29" t="str">
        <f>IFERROR(IF(Table57[[#This Row],[Out]]&gt;$C$3,(Table57[[#This Row],[Out]])-($C$3),""),"")</f>
        <v/>
      </c>
    </row>
    <row r="816" spans="1:14" hidden="1" x14ac:dyDescent="0.25">
      <c r="A816" s="23" t="str">
        <f>Table57[[#This Row],[No.]]&amp;Table57[[#This Row],[Date]]</f>
        <v>00</v>
      </c>
      <c r="B816" s="22">
        <f>'Unique Dates'!A813</f>
        <v>0</v>
      </c>
      <c r="C816" s="22" t="e" cm="1">
        <f t="array" ref="C816">_xlfn.XLOOKUP(Table57[[#This Row],[No.]],Table2[[#All],[CODE]],Table2[[#All],[NAME]],,0,1)</f>
        <v>#N/A</v>
      </c>
      <c r="D816" s="6">
        <f>'Unique Dates'!B813</f>
        <v>0</v>
      </c>
      <c r="E816" t="str">
        <f>TEXT(Table57[[#This Row],[Date]],"dddd")</f>
        <v>Saturday</v>
      </c>
      <c r="F816" s="25" t="str" cm="1">
        <f t="array" ref="F816">IFERROR(_xlfn.XLOOKUP(Table57[[#This Row],[Code]],Table1[[#All],[Code]],Table1[[#All],[Time]],,0,1),"")</f>
        <v/>
      </c>
      <c r="G816" s="25" t="str" cm="1">
        <f t="array" ref="G816">IFERROR(_xlfn.XLOOKUP(Table57[[#This Row],[Code]],Table1[[#All],[Code]],Table1[[#All],[Time]],,0,-1),"")</f>
        <v/>
      </c>
      <c r="H816" s="23" t="str">
        <f>IFERROR(IF(Table57[[#This Row],[Out]]&gt;=Table57[[#This Row],[In]],Table57[[#This Row],[Out]]-Table57[[#This Row],[In]],(0.5+Table57[[#This Row],[Out]])-Table57[[#This Row],[In]]),"")</f>
        <v/>
      </c>
      <c r="I816" s="31" t="str">
        <f>IFERROR(IF(Table57[[#This Row],[In]]&gt;$C$2,Table57[[#This Row],[In]]-$C$2,""),"")</f>
        <v/>
      </c>
      <c r="J816" s="31" t="str">
        <f>IF(Table57[[#This Row],[Work_Hours]]=0,"",(IF(Table57[[#This Row],[Out]]&lt;$C$3,$C$3-Table57[[#This Row],[Out]],"")))</f>
        <v/>
      </c>
      <c r="K816" s="32" t="str">
        <f>IFERROR(Table57[[#This Row],[In]]+$C$1,"")</f>
        <v/>
      </c>
      <c r="L816" s="29"/>
      <c r="M816" s="31" t="str">
        <f>IF($C$2&gt;Table57[[#This Row],[In]],$C$2-Table57[[#This Row],[In]],"")</f>
        <v/>
      </c>
      <c r="N816" s="29" t="str">
        <f>IFERROR(IF(Table57[[#This Row],[Out]]&gt;$C$3,(Table57[[#This Row],[Out]])-($C$3),""),"")</f>
        <v/>
      </c>
    </row>
    <row r="817" spans="1:14" hidden="1" x14ac:dyDescent="0.25">
      <c r="A817" s="23" t="str">
        <f>Table57[[#This Row],[No.]]&amp;Table57[[#This Row],[Date]]</f>
        <v>00</v>
      </c>
      <c r="B817" s="22">
        <f>'Unique Dates'!A814</f>
        <v>0</v>
      </c>
      <c r="C817" s="22" t="e" cm="1">
        <f t="array" ref="C817">_xlfn.XLOOKUP(Table57[[#This Row],[No.]],Table2[[#All],[CODE]],Table2[[#All],[NAME]],,0,1)</f>
        <v>#N/A</v>
      </c>
      <c r="D817" s="6">
        <f>'Unique Dates'!B814</f>
        <v>0</v>
      </c>
      <c r="E817" t="str">
        <f>TEXT(Table57[[#This Row],[Date]],"dddd")</f>
        <v>Saturday</v>
      </c>
      <c r="F817" s="25" t="str" cm="1">
        <f t="array" ref="F817">IFERROR(_xlfn.XLOOKUP(Table57[[#This Row],[Code]],Table1[[#All],[Code]],Table1[[#All],[Time]],,0,1),"")</f>
        <v/>
      </c>
      <c r="G817" s="25" t="str" cm="1">
        <f t="array" ref="G817">IFERROR(_xlfn.XLOOKUP(Table57[[#This Row],[Code]],Table1[[#All],[Code]],Table1[[#All],[Time]],,0,-1),"")</f>
        <v/>
      </c>
      <c r="H817" s="23" t="str">
        <f>IFERROR(IF(Table57[[#This Row],[Out]]&gt;=Table57[[#This Row],[In]],Table57[[#This Row],[Out]]-Table57[[#This Row],[In]],(0.5+Table57[[#This Row],[Out]])-Table57[[#This Row],[In]]),"")</f>
        <v/>
      </c>
      <c r="I817" s="31" t="str">
        <f>IFERROR(IF(Table57[[#This Row],[In]]&gt;$C$2,Table57[[#This Row],[In]]-$C$2,""),"")</f>
        <v/>
      </c>
      <c r="J817" s="31" t="str">
        <f>IF(Table57[[#This Row],[Work_Hours]]=0,"",(IF(Table57[[#This Row],[Out]]&lt;$C$3,$C$3-Table57[[#This Row],[Out]],"")))</f>
        <v/>
      </c>
      <c r="K817" s="32" t="str">
        <f>IFERROR(Table57[[#This Row],[In]]+$C$1,"")</f>
        <v/>
      </c>
      <c r="L817" s="29"/>
      <c r="M817" s="31" t="str">
        <f>IF($C$2&gt;Table57[[#This Row],[In]],$C$2-Table57[[#This Row],[In]],"")</f>
        <v/>
      </c>
      <c r="N817" s="29" t="str">
        <f>IFERROR(IF(Table57[[#This Row],[Out]]&gt;$C$3,(Table57[[#This Row],[Out]])-($C$3),""),"")</f>
        <v/>
      </c>
    </row>
    <row r="818" spans="1:14" hidden="1" x14ac:dyDescent="0.25">
      <c r="A818" s="23" t="str">
        <f>Table57[[#This Row],[No.]]&amp;Table57[[#This Row],[Date]]</f>
        <v>00</v>
      </c>
      <c r="B818" s="22">
        <f>'Unique Dates'!A815</f>
        <v>0</v>
      </c>
      <c r="C818" s="22" t="e" cm="1">
        <f t="array" ref="C818">_xlfn.XLOOKUP(Table57[[#This Row],[No.]],Table2[[#All],[CODE]],Table2[[#All],[NAME]],,0,1)</f>
        <v>#N/A</v>
      </c>
      <c r="D818" s="6">
        <f>'Unique Dates'!B815</f>
        <v>0</v>
      </c>
      <c r="E818" t="str">
        <f>TEXT(Table57[[#This Row],[Date]],"dddd")</f>
        <v>Saturday</v>
      </c>
      <c r="F818" s="25" t="str" cm="1">
        <f t="array" ref="F818">IFERROR(_xlfn.XLOOKUP(Table57[[#This Row],[Code]],Table1[[#All],[Code]],Table1[[#All],[Time]],,0,1),"")</f>
        <v/>
      </c>
      <c r="G818" s="25" t="str" cm="1">
        <f t="array" ref="G818">IFERROR(_xlfn.XLOOKUP(Table57[[#This Row],[Code]],Table1[[#All],[Code]],Table1[[#All],[Time]],,0,-1),"")</f>
        <v/>
      </c>
      <c r="H818" s="23" t="str">
        <f>IFERROR(IF(Table57[[#This Row],[Out]]&gt;=Table57[[#This Row],[In]],Table57[[#This Row],[Out]]-Table57[[#This Row],[In]],(0.5+Table57[[#This Row],[Out]])-Table57[[#This Row],[In]]),"")</f>
        <v/>
      </c>
      <c r="I818" s="31" t="str">
        <f>IFERROR(IF(Table57[[#This Row],[In]]&gt;$C$2,Table57[[#This Row],[In]]-$C$2,""),"")</f>
        <v/>
      </c>
      <c r="J818" s="31" t="str">
        <f>IF(Table57[[#This Row],[Work_Hours]]=0,"",(IF(Table57[[#This Row],[Out]]&lt;$C$3,$C$3-Table57[[#This Row],[Out]],"")))</f>
        <v/>
      </c>
      <c r="K818" s="32" t="str">
        <f>IFERROR(Table57[[#This Row],[In]]+$C$1,"")</f>
        <v/>
      </c>
      <c r="L818" s="29"/>
      <c r="M818" s="31" t="str">
        <f>IF($C$2&gt;Table57[[#This Row],[In]],$C$2-Table57[[#This Row],[In]],"")</f>
        <v/>
      </c>
      <c r="N818" s="29" t="str">
        <f>IFERROR(IF(Table57[[#This Row],[Out]]&gt;$C$3,(Table57[[#This Row],[Out]])-($C$3),""),"")</f>
        <v/>
      </c>
    </row>
    <row r="819" spans="1:14" hidden="1" x14ac:dyDescent="0.25">
      <c r="A819" s="23" t="str">
        <f>Table57[[#This Row],[No.]]&amp;Table57[[#This Row],[Date]]</f>
        <v>00</v>
      </c>
      <c r="B819" s="22">
        <f>'Unique Dates'!A816</f>
        <v>0</v>
      </c>
      <c r="C819" s="22" t="e" cm="1">
        <f t="array" ref="C819">_xlfn.XLOOKUP(Table57[[#This Row],[No.]],Table2[[#All],[CODE]],Table2[[#All],[NAME]],,0,1)</f>
        <v>#N/A</v>
      </c>
      <c r="D819" s="6">
        <f>'Unique Dates'!B816</f>
        <v>0</v>
      </c>
      <c r="E819" t="str">
        <f>TEXT(Table57[[#This Row],[Date]],"dddd")</f>
        <v>Saturday</v>
      </c>
      <c r="F819" s="25" t="str" cm="1">
        <f t="array" ref="F819">IFERROR(_xlfn.XLOOKUP(Table57[[#This Row],[Code]],Table1[[#All],[Code]],Table1[[#All],[Time]],,0,1),"")</f>
        <v/>
      </c>
      <c r="G819" s="25" t="str" cm="1">
        <f t="array" ref="G819">IFERROR(_xlfn.XLOOKUP(Table57[[#This Row],[Code]],Table1[[#All],[Code]],Table1[[#All],[Time]],,0,-1),"")</f>
        <v/>
      </c>
      <c r="H819" s="23" t="str">
        <f>IFERROR(IF(Table57[[#This Row],[Out]]&gt;=Table57[[#This Row],[In]],Table57[[#This Row],[Out]]-Table57[[#This Row],[In]],(0.5+Table57[[#This Row],[Out]])-Table57[[#This Row],[In]]),"")</f>
        <v/>
      </c>
      <c r="I819" s="31" t="str">
        <f>IFERROR(IF(Table57[[#This Row],[In]]&gt;$C$2,Table57[[#This Row],[In]]-$C$2,""),"")</f>
        <v/>
      </c>
      <c r="J819" s="31" t="str">
        <f>IF(Table57[[#This Row],[Work_Hours]]=0,"",(IF(Table57[[#This Row],[Out]]&lt;$C$3,$C$3-Table57[[#This Row],[Out]],"")))</f>
        <v/>
      </c>
      <c r="K819" s="32" t="str">
        <f>IFERROR(Table57[[#This Row],[In]]+$C$1,"")</f>
        <v/>
      </c>
      <c r="L819" s="29"/>
      <c r="M819" s="31" t="str">
        <f>IF($C$2&gt;Table57[[#This Row],[In]],$C$2-Table57[[#This Row],[In]],"")</f>
        <v/>
      </c>
      <c r="N819" s="29" t="str">
        <f>IFERROR(IF(Table57[[#This Row],[Out]]&gt;$C$3,(Table57[[#This Row],[Out]])-($C$3),""),"")</f>
        <v/>
      </c>
    </row>
    <row r="820" spans="1:14" hidden="1" x14ac:dyDescent="0.25">
      <c r="A820" s="23" t="str">
        <f>Table57[[#This Row],[No.]]&amp;Table57[[#This Row],[Date]]</f>
        <v>00</v>
      </c>
      <c r="B820" s="22">
        <f>'Unique Dates'!A817</f>
        <v>0</v>
      </c>
      <c r="C820" s="22" t="e" cm="1">
        <f t="array" ref="C820">_xlfn.XLOOKUP(Table57[[#This Row],[No.]],Table2[[#All],[CODE]],Table2[[#All],[NAME]],,0,1)</f>
        <v>#N/A</v>
      </c>
      <c r="D820" s="6">
        <f>'Unique Dates'!B817</f>
        <v>0</v>
      </c>
      <c r="E820" t="str">
        <f>TEXT(Table57[[#This Row],[Date]],"dddd")</f>
        <v>Saturday</v>
      </c>
      <c r="F820" s="25" t="str" cm="1">
        <f t="array" ref="F820">IFERROR(_xlfn.XLOOKUP(Table57[[#This Row],[Code]],Table1[[#All],[Code]],Table1[[#All],[Time]],,0,1),"")</f>
        <v/>
      </c>
      <c r="G820" s="25" t="str" cm="1">
        <f t="array" ref="G820">IFERROR(_xlfn.XLOOKUP(Table57[[#This Row],[Code]],Table1[[#All],[Code]],Table1[[#All],[Time]],,0,-1),"")</f>
        <v/>
      </c>
      <c r="H820" s="23" t="str">
        <f>IFERROR(IF(Table57[[#This Row],[Out]]&gt;=Table57[[#This Row],[In]],Table57[[#This Row],[Out]]-Table57[[#This Row],[In]],(0.5+Table57[[#This Row],[Out]])-Table57[[#This Row],[In]]),"")</f>
        <v/>
      </c>
      <c r="I820" s="31" t="str">
        <f>IFERROR(IF(Table57[[#This Row],[In]]&gt;$C$2,Table57[[#This Row],[In]]-$C$2,""),"")</f>
        <v/>
      </c>
      <c r="J820" s="31" t="str">
        <f>IF(Table57[[#This Row],[Work_Hours]]=0,"",(IF(Table57[[#This Row],[Out]]&lt;$C$3,$C$3-Table57[[#This Row],[Out]],"")))</f>
        <v/>
      </c>
      <c r="K820" s="32" t="str">
        <f>IFERROR(Table57[[#This Row],[In]]+$C$1,"")</f>
        <v/>
      </c>
      <c r="L820" s="29"/>
      <c r="M820" s="31" t="str">
        <f>IF($C$2&gt;Table57[[#This Row],[In]],$C$2-Table57[[#This Row],[In]],"")</f>
        <v/>
      </c>
      <c r="N820" s="29" t="str">
        <f>IFERROR(IF(Table57[[#This Row],[Out]]&gt;$C$3,(Table57[[#This Row],[Out]])-($C$3),""),"")</f>
        <v/>
      </c>
    </row>
    <row r="821" spans="1:14" hidden="1" x14ac:dyDescent="0.25">
      <c r="A821" s="23" t="str">
        <f>Table57[[#This Row],[No.]]&amp;Table57[[#This Row],[Date]]</f>
        <v>00</v>
      </c>
      <c r="B821" s="22">
        <f>'Unique Dates'!A818</f>
        <v>0</v>
      </c>
      <c r="C821" s="22" t="e" cm="1">
        <f t="array" ref="C821">_xlfn.XLOOKUP(Table57[[#This Row],[No.]],Table2[[#All],[CODE]],Table2[[#All],[NAME]],,0,1)</f>
        <v>#N/A</v>
      </c>
      <c r="D821" s="6">
        <f>'Unique Dates'!B818</f>
        <v>0</v>
      </c>
      <c r="E821" t="str">
        <f>TEXT(Table57[[#This Row],[Date]],"dddd")</f>
        <v>Saturday</v>
      </c>
      <c r="F821" s="25" t="str" cm="1">
        <f t="array" ref="F821">IFERROR(_xlfn.XLOOKUP(Table57[[#This Row],[Code]],Table1[[#All],[Code]],Table1[[#All],[Time]],,0,1),"")</f>
        <v/>
      </c>
      <c r="G821" s="25" t="str" cm="1">
        <f t="array" ref="G821">IFERROR(_xlfn.XLOOKUP(Table57[[#This Row],[Code]],Table1[[#All],[Code]],Table1[[#All],[Time]],,0,-1),"")</f>
        <v/>
      </c>
      <c r="H821" s="23" t="str">
        <f>IFERROR(IF(Table57[[#This Row],[Out]]&gt;=Table57[[#This Row],[In]],Table57[[#This Row],[Out]]-Table57[[#This Row],[In]],(0.5+Table57[[#This Row],[Out]])-Table57[[#This Row],[In]]),"")</f>
        <v/>
      </c>
      <c r="I821" s="31" t="str">
        <f>IFERROR(IF(Table57[[#This Row],[In]]&gt;$C$2,Table57[[#This Row],[In]]-$C$2,""),"")</f>
        <v/>
      </c>
      <c r="J821" s="31" t="str">
        <f>IF(Table57[[#This Row],[Work_Hours]]=0,"",(IF(Table57[[#This Row],[Out]]&lt;$C$3,$C$3-Table57[[#This Row],[Out]],"")))</f>
        <v/>
      </c>
      <c r="K821" s="32" t="str">
        <f>IFERROR(Table57[[#This Row],[In]]+$C$1,"")</f>
        <v/>
      </c>
      <c r="L821" s="29"/>
      <c r="M821" s="31" t="str">
        <f>IF($C$2&gt;Table57[[#This Row],[In]],$C$2-Table57[[#This Row],[In]],"")</f>
        <v/>
      </c>
      <c r="N821" s="29" t="str">
        <f>IFERROR(IF(Table57[[#This Row],[Out]]&gt;$C$3,(Table57[[#This Row],[Out]])-($C$3),""),"")</f>
        <v/>
      </c>
    </row>
    <row r="822" spans="1:14" hidden="1" x14ac:dyDescent="0.25">
      <c r="A822" s="23" t="str">
        <f>Table57[[#This Row],[No.]]&amp;Table57[[#This Row],[Date]]</f>
        <v>00</v>
      </c>
      <c r="B822" s="22">
        <f>'Unique Dates'!A819</f>
        <v>0</v>
      </c>
      <c r="C822" s="22" t="e" cm="1">
        <f t="array" ref="C822">_xlfn.XLOOKUP(Table57[[#This Row],[No.]],Table2[[#All],[CODE]],Table2[[#All],[NAME]],,0,1)</f>
        <v>#N/A</v>
      </c>
      <c r="D822" s="6">
        <f>'Unique Dates'!B819</f>
        <v>0</v>
      </c>
      <c r="E822" t="str">
        <f>TEXT(Table57[[#This Row],[Date]],"dddd")</f>
        <v>Saturday</v>
      </c>
      <c r="F822" s="25" t="str" cm="1">
        <f t="array" ref="F822">IFERROR(_xlfn.XLOOKUP(Table57[[#This Row],[Code]],Table1[[#All],[Code]],Table1[[#All],[Time]],,0,1),"")</f>
        <v/>
      </c>
      <c r="G822" s="25" t="str" cm="1">
        <f t="array" ref="G822">IFERROR(_xlfn.XLOOKUP(Table57[[#This Row],[Code]],Table1[[#All],[Code]],Table1[[#All],[Time]],,0,-1),"")</f>
        <v/>
      </c>
      <c r="H822" s="23" t="str">
        <f>IFERROR(IF(Table57[[#This Row],[Out]]&gt;=Table57[[#This Row],[In]],Table57[[#This Row],[Out]]-Table57[[#This Row],[In]],(0.5+Table57[[#This Row],[Out]])-Table57[[#This Row],[In]]),"")</f>
        <v/>
      </c>
      <c r="I822" s="31" t="str">
        <f>IFERROR(IF(Table57[[#This Row],[In]]&gt;$C$2,Table57[[#This Row],[In]]-$C$2,""),"")</f>
        <v/>
      </c>
      <c r="J822" s="31" t="str">
        <f>IF(Table57[[#This Row],[Work_Hours]]=0,"",(IF(Table57[[#This Row],[Out]]&lt;$C$3,$C$3-Table57[[#This Row],[Out]],"")))</f>
        <v/>
      </c>
      <c r="K822" s="32" t="str">
        <f>IFERROR(Table57[[#This Row],[In]]+$C$1,"")</f>
        <v/>
      </c>
      <c r="L822" s="29"/>
      <c r="M822" s="31" t="str">
        <f>IF($C$2&gt;Table57[[#This Row],[In]],$C$2-Table57[[#This Row],[In]],"")</f>
        <v/>
      </c>
      <c r="N822" s="29" t="str">
        <f>IFERROR(IF(Table57[[#This Row],[Out]]&gt;$C$3,(Table57[[#This Row],[Out]])-($C$3),""),"")</f>
        <v/>
      </c>
    </row>
    <row r="823" spans="1:14" hidden="1" x14ac:dyDescent="0.25">
      <c r="A823" s="23" t="str">
        <f>Table57[[#This Row],[No.]]&amp;Table57[[#This Row],[Date]]</f>
        <v>00</v>
      </c>
      <c r="B823" s="22">
        <f>'Unique Dates'!A820</f>
        <v>0</v>
      </c>
      <c r="C823" s="22" t="e" cm="1">
        <f t="array" ref="C823">_xlfn.XLOOKUP(Table57[[#This Row],[No.]],Table2[[#All],[CODE]],Table2[[#All],[NAME]],,0,1)</f>
        <v>#N/A</v>
      </c>
      <c r="D823" s="6">
        <f>'Unique Dates'!B820</f>
        <v>0</v>
      </c>
      <c r="E823" t="str">
        <f>TEXT(Table57[[#This Row],[Date]],"dddd")</f>
        <v>Saturday</v>
      </c>
      <c r="F823" s="25" t="str" cm="1">
        <f t="array" ref="F823">IFERROR(_xlfn.XLOOKUP(Table57[[#This Row],[Code]],Table1[[#All],[Code]],Table1[[#All],[Time]],,0,1),"")</f>
        <v/>
      </c>
      <c r="G823" s="25" t="str" cm="1">
        <f t="array" ref="G823">IFERROR(_xlfn.XLOOKUP(Table57[[#This Row],[Code]],Table1[[#All],[Code]],Table1[[#All],[Time]],,0,-1),"")</f>
        <v/>
      </c>
      <c r="H823" s="23" t="str">
        <f>IFERROR(IF(Table57[[#This Row],[Out]]&gt;=Table57[[#This Row],[In]],Table57[[#This Row],[Out]]-Table57[[#This Row],[In]],(0.5+Table57[[#This Row],[Out]])-Table57[[#This Row],[In]]),"")</f>
        <v/>
      </c>
      <c r="I823" s="31" t="str">
        <f>IFERROR(IF(Table57[[#This Row],[In]]&gt;$C$2,Table57[[#This Row],[In]]-$C$2,""),"")</f>
        <v/>
      </c>
      <c r="J823" s="31" t="str">
        <f>IF(Table57[[#This Row],[Work_Hours]]=0,"",(IF(Table57[[#This Row],[Out]]&lt;$C$3,$C$3-Table57[[#This Row],[Out]],"")))</f>
        <v/>
      </c>
      <c r="K823" s="32" t="str">
        <f>IFERROR(Table57[[#This Row],[In]]+$C$1,"")</f>
        <v/>
      </c>
      <c r="L823" s="29"/>
      <c r="M823" s="31" t="str">
        <f>IF($C$2&gt;Table57[[#This Row],[In]],$C$2-Table57[[#This Row],[In]],"")</f>
        <v/>
      </c>
      <c r="N823" s="29" t="str">
        <f>IFERROR(IF(Table57[[#This Row],[Out]]&gt;$C$3,(Table57[[#This Row],[Out]])-($C$3),""),"")</f>
        <v/>
      </c>
    </row>
    <row r="824" spans="1:14" hidden="1" x14ac:dyDescent="0.25">
      <c r="A824" s="23" t="str">
        <f>Table57[[#This Row],[No.]]&amp;Table57[[#This Row],[Date]]</f>
        <v>00</v>
      </c>
      <c r="B824" s="22">
        <f>'Unique Dates'!A821</f>
        <v>0</v>
      </c>
      <c r="C824" s="22" t="e" cm="1">
        <f t="array" ref="C824">_xlfn.XLOOKUP(Table57[[#This Row],[No.]],Table2[[#All],[CODE]],Table2[[#All],[NAME]],,0,1)</f>
        <v>#N/A</v>
      </c>
      <c r="D824" s="6">
        <f>'Unique Dates'!B821</f>
        <v>0</v>
      </c>
      <c r="E824" t="str">
        <f>TEXT(Table57[[#This Row],[Date]],"dddd")</f>
        <v>Saturday</v>
      </c>
      <c r="F824" s="25" t="str" cm="1">
        <f t="array" ref="F824">IFERROR(_xlfn.XLOOKUP(Table57[[#This Row],[Code]],Table1[[#All],[Code]],Table1[[#All],[Time]],,0,1),"")</f>
        <v/>
      </c>
      <c r="G824" s="25" t="str" cm="1">
        <f t="array" ref="G824">IFERROR(_xlfn.XLOOKUP(Table57[[#This Row],[Code]],Table1[[#All],[Code]],Table1[[#All],[Time]],,0,-1),"")</f>
        <v/>
      </c>
      <c r="H824" s="23" t="str">
        <f>IFERROR(IF(Table57[[#This Row],[Out]]&gt;=Table57[[#This Row],[In]],Table57[[#This Row],[Out]]-Table57[[#This Row],[In]],(0.5+Table57[[#This Row],[Out]])-Table57[[#This Row],[In]]),"")</f>
        <v/>
      </c>
      <c r="I824" s="31" t="str">
        <f>IFERROR(IF(Table57[[#This Row],[In]]&gt;$C$2,Table57[[#This Row],[In]]-$C$2,""),"")</f>
        <v/>
      </c>
      <c r="J824" s="31" t="str">
        <f>IF(Table57[[#This Row],[Work_Hours]]=0,"",(IF(Table57[[#This Row],[Out]]&lt;$C$3,$C$3-Table57[[#This Row],[Out]],"")))</f>
        <v/>
      </c>
      <c r="K824" s="32" t="str">
        <f>IFERROR(Table57[[#This Row],[In]]+$C$1,"")</f>
        <v/>
      </c>
      <c r="L824" s="29"/>
      <c r="M824" s="31" t="str">
        <f>IF($C$2&gt;Table57[[#This Row],[In]],$C$2-Table57[[#This Row],[In]],"")</f>
        <v/>
      </c>
      <c r="N824" s="29" t="str">
        <f>IFERROR(IF(Table57[[#This Row],[Out]]&gt;$C$3,(Table57[[#This Row],[Out]])-($C$3),""),"")</f>
        <v/>
      </c>
    </row>
    <row r="825" spans="1:14" hidden="1" x14ac:dyDescent="0.25">
      <c r="A825" s="23" t="str">
        <f>Table57[[#This Row],[No.]]&amp;Table57[[#This Row],[Date]]</f>
        <v>00</v>
      </c>
      <c r="B825" s="22">
        <f>'Unique Dates'!A822</f>
        <v>0</v>
      </c>
      <c r="C825" s="22" t="e" cm="1">
        <f t="array" ref="C825">_xlfn.XLOOKUP(Table57[[#This Row],[No.]],Table2[[#All],[CODE]],Table2[[#All],[NAME]],,0,1)</f>
        <v>#N/A</v>
      </c>
      <c r="D825" s="6">
        <f>'Unique Dates'!B822</f>
        <v>0</v>
      </c>
      <c r="E825" t="str">
        <f>TEXT(Table57[[#This Row],[Date]],"dddd")</f>
        <v>Saturday</v>
      </c>
      <c r="F825" s="25" t="str" cm="1">
        <f t="array" ref="F825">IFERROR(_xlfn.XLOOKUP(Table57[[#This Row],[Code]],Table1[[#All],[Code]],Table1[[#All],[Time]],,0,1),"")</f>
        <v/>
      </c>
      <c r="G825" s="25" t="str" cm="1">
        <f t="array" ref="G825">IFERROR(_xlfn.XLOOKUP(Table57[[#This Row],[Code]],Table1[[#All],[Code]],Table1[[#All],[Time]],,0,-1),"")</f>
        <v/>
      </c>
      <c r="H825" s="23" t="str">
        <f>IFERROR(IF(Table57[[#This Row],[Out]]&gt;=Table57[[#This Row],[In]],Table57[[#This Row],[Out]]-Table57[[#This Row],[In]],(0.5+Table57[[#This Row],[Out]])-Table57[[#This Row],[In]]),"")</f>
        <v/>
      </c>
      <c r="I825" s="31" t="str">
        <f>IFERROR(IF(Table57[[#This Row],[In]]&gt;$C$2,Table57[[#This Row],[In]]-$C$2,""),"")</f>
        <v/>
      </c>
      <c r="J825" s="31" t="str">
        <f>IF(Table57[[#This Row],[Work_Hours]]=0,"",(IF(Table57[[#This Row],[Out]]&lt;$C$3,$C$3-Table57[[#This Row],[Out]],"")))</f>
        <v/>
      </c>
      <c r="K825" s="32" t="str">
        <f>IFERROR(Table57[[#This Row],[In]]+$C$1,"")</f>
        <v/>
      </c>
      <c r="L825" s="29"/>
      <c r="M825" s="31" t="str">
        <f>IF($C$2&gt;Table57[[#This Row],[In]],$C$2-Table57[[#This Row],[In]],"")</f>
        <v/>
      </c>
      <c r="N825" s="29" t="str">
        <f>IFERROR(IF(Table57[[#This Row],[Out]]&gt;$C$3,(Table57[[#This Row],[Out]])-($C$3),""),"")</f>
        <v/>
      </c>
    </row>
    <row r="826" spans="1:14" hidden="1" x14ac:dyDescent="0.25">
      <c r="A826" s="23" t="str">
        <f>Table57[[#This Row],[No.]]&amp;Table57[[#This Row],[Date]]</f>
        <v>00</v>
      </c>
      <c r="B826" s="22">
        <f>'Unique Dates'!A823</f>
        <v>0</v>
      </c>
      <c r="C826" s="22" t="e" cm="1">
        <f t="array" ref="C826">_xlfn.XLOOKUP(Table57[[#This Row],[No.]],Table2[[#All],[CODE]],Table2[[#All],[NAME]],,0,1)</f>
        <v>#N/A</v>
      </c>
      <c r="D826" s="6">
        <f>'Unique Dates'!B823</f>
        <v>0</v>
      </c>
      <c r="E826" t="str">
        <f>TEXT(Table57[[#This Row],[Date]],"dddd")</f>
        <v>Saturday</v>
      </c>
      <c r="F826" s="25" t="str" cm="1">
        <f t="array" ref="F826">IFERROR(_xlfn.XLOOKUP(Table57[[#This Row],[Code]],Table1[[#All],[Code]],Table1[[#All],[Time]],,0,1),"")</f>
        <v/>
      </c>
      <c r="G826" s="25" t="str" cm="1">
        <f t="array" ref="G826">IFERROR(_xlfn.XLOOKUP(Table57[[#This Row],[Code]],Table1[[#All],[Code]],Table1[[#All],[Time]],,0,-1),"")</f>
        <v/>
      </c>
      <c r="H826" s="23" t="str">
        <f>IFERROR(IF(Table57[[#This Row],[Out]]&gt;=Table57[[#This Row],[In]],Table57[[#This Row],[Out]]-Table57[[#This Row],[In]],(0.5+Table57[[#This Row],[Out]])-Table57[[#This Row],[In]]),"")</f>
        <v/>
      </c>
      <c r="I826" s="31" t="str">
        <f>IFERROR(IF(Table57[[#This Row],[In]]&gt;$C$2,Table57[[#This Row],[In]]-$C$2,""),"")</f>
        <v/>
      </c>
      <c r="J826" s="31" t="str">
        <f>IF(Table57[[#This Row],[Work_Hours]]=0,"",(IF(Table57[[#This Row],[Out]]&lt;$C$3,$C$3-Table57[[#This Row],[Out]],"")))</f>
        <v/>
      </c>
      <c r="K826" s="32" t="str">
        <f>IFERROR(Table57[[#This Row],[In]]+$C$1,"")</f>
        <v/>
      </c>
      <c r="L826" s="29"/>
      <c r="M826" s="31" t="str">
        <f>IF($C$2&gt;Table57[[#This Row],[In]],$C$2-Table57[[#This Row],[In]],"")</f>
        <v/>
      </c>
      <c r="N826" s="29" t="str">
        <f>IFERROR(IF(Table57[[#This Row],[Out]]&gt;$C$3,(Table57[[#This Row],[Out]])-($C$3),""),"")</f>
        <v/>
      </c>
    </row>
    <row r="827" spans="1:14" hidden="1" x14ac:dyDescent="0.25">
      <c r="A827" s="23" t="str">
        <f>Table57[[#This Row],[No.]]&amp;Table57[[#This Row],[Date]]</f>
        <v>00</v>
      </c>
      <c r="B827" s="22">
        <f>'Unique Dates'!A824</f>
        <v>0</v>
      </c>
      <c r="C827" s="22" t="e" cm="1">
        <f t="array" ref="C827">_xlfn.XLOOKUP(Table57[[#This Row],[No.]],Table2[[#All],[CODE]],Table2[[#All],[NAME]],,0,1)</f>
        <v>#N/A</v>
      </c>
      <c r="D827" s="6">
        <f>'Unique Dates'!B824</f>
        <v>0</v>
      </c>
      <c r="E827" t="str">
        <f>TEXT(Table57[[#This Row],[Date]],"dddd")</f>
        <v>Saturday</v>
      </c>
      <c r="F827" s="25" t="str" cm="1">
        <f t="array" ref="F827">IFERROR(_xlfn.XLOOKUP(Table57[[#This Row],[Code]],Table1[[#All],[Code]],Table1[[#All],[Time]],,0,1),"")</f>
        <v/>
      </c>
      <c r="G827" s="25" t="str" cm="1">
        <f t="array" ref="G827">IFERROR(_xlfn.XLOOKUP(Table57[[#This Row],[Code]],Table1[[#All],[Code]],Table1[[#All],[Time]],,0,-1),"")</f>
        <v/>
      </c>
      <c r="H827" s="23" t="str">
        <f>IFERROR(IF(Table57[[#This Row],[Out]]&gt;=Table57[[#This Row],[In]],Table57[[#This Row],[Out]]-Table57[[#This Row],[In]],(0.5+Table57[[#This Row],[Out]])-Table57[[#This Row],[In]]),"")</f>
        <v/>
      </c>
      <c r="I827" s="31" t="str">
        <f>IFERROR(IF(Table57[[#This Row],[In]]&gt;$C$2,Table57[[#This Row],[In]]-$C$2,""),"")</f>
        <v/>
      </c>
      <c r="J827" s="31" t="str">
        <f>IF(Table57[[#This Row],[Work_Hours]]=0,"",(IF(Table57[[#This Row],[Out]]&lt;$C$3,$C$3-Table57[[#This Row],[Out]],"")))</f>
        <v/>
      </c>
      <c r="K827" s="32" t="str">
        <f>IFERROR(Table57[[#This Row],[In]]+$C$1,"")</f>
        <v/>
      </c>
      <c r="L827" s="29"/>
      <c r="M827" s="31" t="str">
        <f>IF($C$2&gt;Table57[[#This Row],[In]],$C$2-Table57[[#This Row],[In]],"")</f>
        <v/>
      </c>
      <c r="N827" s="29" t="str">
        <f>IFERROR(IF(Table57[[#This Row],[Out]]&gt;$C$3,(Table57[[#This Row],[Out]])-($C$3),""),"")</f>
        <v/>
      </c>
    </row>
    <row r="828" spans="1:14" hidden="1" x14ac:dyDescent="0.25">
      <c r="A828" s="23" t="str">
        <f>Table57[[#This Row],[No.]]&amp;Table57[[#This Row],[Date]]</f>
        <v>00</v>
      </c>
      <c r="B828" s="22">
        <f>'Unique Dates'!A825</f>
        <v>0</v>
      </c>
      <c r="C828" s="22" t="e" cm="1">
        <f t="array" ref="C828">_xlfn.XLOOKUP(Table57[[#This Row],[No.]],Table2[[#All],[CODE]],Table2[[#All],[NAME]],,0,1)</f>
        <v>#N/A</v>
      </c>
      <c r="D828" s="6">
        <f>'Unique Dates'!B825</f>
        <v>0</v>
      </c>
      <c r="E828" t="str">
        <f>TEXT(Table57[[#This Row],[Date]],"dddd")</f>
        <v>Saturday</v>
      </c>
      <c r="F828" s="25" t="str" cm="1">
        <f t="array" ref="F828">IFERROR(_xlfn.XLOOKUP(Table57[[#This Row],[Code]],Table1[[#All],[Code]],Table1[[#All],[Time]],,0,1),"")</f>
        <v/>
      </c>
      <c r="G828" s="25" t="str" cm="1">
        <f t="array" ref="G828">IFERROR(_xlfn.XLOOKUP(Table57[[#This Row],[Code]],Table1[[#All],[Code]],Table1[[#All],[Time]],,0,-1),"")</f>
        <v/>
      </c>
      <c r="H828" s="23" t="str">
        <f>IFERROR(IF(Table57[[#This Row],[Out]]&gt;=Table57[[#This Row],[In]],Table57[[#This Row],[Out]]-Table57[[#This Row],[In]],(0.5+Table57[[#This Row],[Out]])-Table57[[#This Row],[In]]),"")</f>
        <v/>
      </c>
      <c r="I828" s="31" t="str">
        <f>IFERROR(IF(Table57[[#This Row],[In]]&gt;$C$2,Table57[[#This Row],[In]]-$C$2,""),"")</f>
        <v/>
      </c>
      <c r="J828" s="31" t="str">
        <f>IF(Table57[[#This Row],[Work_Hours]]=0,"",(IF(Table57[[#This Row],[Out]]&lt;$C$3,$C$3-Table57[[#This Row],[Out]],"")))</f>
        <v/>
      </c>
      <c r="K828" s="32" t="str">
        <f>IFERROR(Table57[[#This Row],[In]]+$C$1,"")</f>
        <v/>
      </c>
      <c r="L828" s="29"/>
      <c r="M828" s="31" t="str">
        <f>IF($C$2&gt;Table57[[#This Row],[In]],$C$2-Table57[[#This Row],[In]],"")</f>
        <v/>
      </c>
      <c r="N828" s="29" t="str">
        <f>IFERROR(IF(Table57[[#This Row],[Out]]&gt;$C$3,(Table57[[#This Row],[Out]])-($C$3),""),"")</f>
        <v/>
      </c>
    </row>
    <row r="829" spans="1:14" hidden="1" x14ac:dyDescent="0.25">
      <c r="A829" s="23" t="str">
        <f>Table57[[#This Row],[No.]]&amp;Table57[[#This Row],[Date]]</f>
        <v>00</v>
      </c>
      <c r="B829" s="22">
        <f>'Unique Dates'!A826</f>
        <v>0</v>
      </c>
      <c r="C829" s="22" t="e" cm="1">
        <f t="array" ref="C829">_xlfn.XLOOKUP(Table57[[#This Row],[No.]],Table2[[#All],[CODE]],Table2[[#All],[NAME]],,0,1)</f>
        <v>#N/A</v>
      </c>
      <c r="D829" s="6">
        <f>'Unique Dates'!B826</f>
        <v>0</v>
      </c>
      <c r="E829" t="str">
        <f>TEXT(Table57[[#This Row],[Date]],"dddd")</f>
        <v>Saturday</v>
      </c>
      <c r="F829" s="25" t="str" cm="1">
        <f t="array" ref="F829">IFERROR(_xlfn.XLOOKUP(Table57[[#This Row],[Code]],Table1[[#All],[Code]],Table1[[#All],[Time]],,0,1),"")</f>
        <v/>
      </c>
      <c r="G829" s="25" t="str" cm="1">
        <f t="array" ref="G829">IFERROR(_xlfn.XLOOKUP(Table57[[#This Row],[Code]],Table1[[#All],[Code]],Table1[[#All],[Time]],,0,-1),"")</f>
        <v/>
      </c>
      <c r="H829" s="23" t="str">
        <f>IFERROR(IF(Table57[[#This Row],[Out]]&gt;=Table57[[#This Row],[In]],Table57[[#This Row],[Out]]-Table57[[#This Row],[In]],(0.5+Table57[[#This Row],[Out]])-Table57[[#This Row],[In]]),"")</f>
        <v/>
      </c>
      <c r="I829" s="31" t="str">
        <f>IFERROR(IF(Table57[[#This Row],[In]]&gt;$C$2,Table57[[#This Row],[In]]-$C$2,""),"")</f>
        <v/>
      </c>
      <c r="J829" s="31" t="str">
        <f>IF(Table57[[#This Row],[Work_Hours]]=0,"",(IF(Table57[[#This Row],[Out]]&lt;$C$3,$C$3-Table57[[#This Row],[Out]],"")))</f>
        <v/>
      </c>
      <c r="K829" s="32" t="str">
        <f>IFERROR(Table57[[#This Row],[In]]+$C$1,"")</f>
        <v/>
      </c>
      <c r="L829" s="29"/>
      <c r="M829" s="31" t="str">
        <f>IF($C$2&gt;Table57[[#This Row],[In]],$C$2-Table57[[#This Row],[In]],"")</f>
        <v/>
      </c>
      <c r="N829" s="29" t="str">
        <f>IFERROR(IF(Table57[[#This Row],[Out]]&gt;$C$3,(Table57[[#This Row],[Out]])-($C$3),""),"")</f>
        <v/>
      </c>
    </row>
    <row r="830" spans="1:14" hidden="1" x14ac:dyDescent="0.25">
      <c r="A830" s="23" t="str">
        <f>Table57[[#This Row],[No.]]&amp;Table57[[#This Row],[Date]]</f>
        <v>00</v>
      </c>
      <c r="B830" s="22">
        <f>'Unique Dates'!A827</f>
        <v>0</v>
      </c>
      <c r="C830" s="22" t="e" cm="1">
        <f t="array" ref="C830">_xlfn.XLOOKUP(Table57[[#This Row],[No.]],Table2[[#All],[CODE]],Table2[[#All],[NAME]],,0,1)</f>
        <v>#N/A</v>
      </c>
      <c r="D830" s="6">
        <f>'Unique Dates'!B827</f>
        <v>0</v>
      </c>
      <c r="E830" t="str">
        <f>TEXT(Table57[[#This Row],[Date]],"dddd")</f>
        <v>Saturday</v>
      </c>
      <c r="F830" s="25" t="str" cm="1">
        <f t="array" ref="F830">IFERROR(_xlfn.XLOOKUP(Table57[[#This Row],[Code]],Table1[[#All],[Code]],Table1[[#All],[Time]],,0,1),"")</f>
        <v/>
      </c>
      <c r="G830" s="25" t="str" cm="1">
        <f t="array" ref="G830">IFERROR(_xlfn.XLOOKUP(Table57[[#This Row],[Code]],Table1[[#All],[Code]],Table1[[#All],[Time]],,0,-1),"")</f>
        <v/>
      </c>
      <c r="H830" s="23" t="str">
        <f>IFERROR(IF(Table57[[#This Row],[Out]]&gt;=Table57[[#This Row],[In]],Table57[[#This Row],[Out]]-Table57[[#This Row],[In]],(0.5+Table57[[#This Row],[Out]])-Table57[[#This Row],[In]]),"")</f>
        <v/>
      </c>
      <c r="I830" s="31" t="str">
        <f>IFERROR(IF(Table57[[#This Row],[In]]&gt;$C$2,Table57[[#This Row],[In]]-$C$2,""),"")</f>
        <v/>
      </c>
      <c r="J830" s="31" t="str">
        <f>IF(Table57[[#This Row],[Work_Hours]]=0,"",(IF(Table57[[#This Row],[Out]]&lt;$C$3,$C$3-Table57[[#This Row],[Out]],"")))</f>
        <v/>
      </c>
      <c r="K830" s="32" t="str">
        <f>IFERROR(Table57[[#This Row],[In]]+$C$1,"")</f>
        <v/>
      </c>
      <c r="L830" s="29"/>
      <c r="M830" s="31" t="str">
        <f>IF($C$2&gt;Table57[[#This Row],[In]],$C$2-Table57[[#This Row],[In]],"")</f>
        <v/>
      </c>
      <c r="N830" s="29" t="str">
        <f>IFERROR(IF(Table57[[#This Row],[Out]]&gt;$C$3,(Table57[[#This Row],[Out]])-($C$3),""),"")</f>
        <v/>
      </c>
    </row>
    <row r="831" spans="1:14" hidden="1" x14ac:dyDescent="0.25">
      <c r="A831" s="23" t="str">
        <f>Table57[[#This Row],[No.]]&amp;Table57[[#This Row],[Date]]</f>
        <v>00</v>
      </c>
      <c r="B831" s="22">
        <f>'Unique Dates'!A828</f>
        <v>0</v>
      </c>
      <c r="C831" s="22" t="e" cm="1">
        <f t="array" ref="C831">_xlfn.XLOOKUP(Table57[[#This Row],[No.]],Table2[[#All],[CODE]],Table2[[#All],[NAME]],,0,1)</f>
        <v>#N/A</v>
      </c>
      <c r="D831" s="6">
        <f>'Unique Dates'!B828</f>
        <v>0</v>
      </c>
      <c r="E831" t="str">
        <f>TEXT(Table57[[#This Row],[Date]],"dddd")</f>
        <v>Saturday</v>
      </c>
      <c r="F831" s="25" t="str" cm="1">
        <f t="array" ref="F831">IFERROR(_xlfn.XLOOKUP(Table57[[#This Row],[Code]],Table1[[#All],[Code]],Table1[[#All],[Time]],,0,1),"")</f>
        <v/>
      </c>
      <c r="G831" s="25" t="str" cm="1">
        <f t="array" ref="G831">IFERROR(_xlfn.XLOOKUP(Table57[[#This Row],[Code]],Table1[[#All],[Code]],Table1[[#All],[Time]],,0,-1),"")</f>
        <v/>
      </c>
      <c r="H831" s="23" t="str">
        <f>IFERROR(IF(Table57[[#This Row],[Out]]&gt;=Table57[[#This Row],[In]],Table57[[#This Row],[Out]]-Table57[[#This Row],[In]],(0.5+Table57[[#This Row],[Out]])-Table57[[#This Row],[In]]),"")</f>
        <v/>
      </c>
      <c r="I831" s="31" t="str">
        <f>IFERROR(IF(Table57[[#This Row],[In]]&gt;$C$2,Table57[[#This Row],[In]]-$C$2,""),"")</f>
        <v/>
      </c>
      <c r="J831" s="31" t="str">
        <f>IF(Table57[[#This Row],[Work_Hours]]=0,"",(IF(Table57[[#This Row],[Out]]&lt;$C$3,$C$3-Table57[[#This Row],[Out]],"")))</f>
        <v/>
      </c>
      <c r="K831" s="32" t="str">
        <f>IFERROR(Table57[[#This Row],[In]]+$C$1,"")</f>
        <v/>
      </c>
      <c r="L831" s="29"/>
      <c r="M831" s="31" t="str">
        <f>IF($C$2&gt;Table57[[#This Row],[In]],$C$2-Table57[[#This Row],[In]],"")</f>
        <v/>
      </c>
      <c r="N831" s="29" t="str">
        <f>IFERROR(IF(Table57[[#This Row],[Out]]&gt;$C$3,(Table57[[#This Row],[Out]])-($C$3),""),"")</f>
        <v/>
      </c>
    </row>
    <row r="832" spans="1:14" hidden="1" x14ac:dyDescent="0.25">
      <c r="A832" s="23" t="str">
        <f>Table57[[#This Row],[No.]]&amp;Table57[[#This Row],[Date]]</f>
        <v>00</v>
      </c>
      <c r="B832" s="22">
        <f>'Unique Dates'!A829</f>
        <v>0</v>
      </c>
      <c r="C832" s="22" t="e" cm="1">
        <f t="array" ref="C832">_xlfn.XLOOKUP(Table57[[#This Row],[No.]],Table2[[#All],[CODE]],Table2[[#All],[NAME]],,0,1)</f>
        <v>#N/A</v>
      </c>
      <c r="D832" s="6">
        <f>'Unique Dates'!B829</f>
        <v>0</v>
      </c>
      <c r="E832" t="str">
        <f>TEXT(Table57[[#This Row],[Date]],"dddd")</f>
        <v>Saturday</v>
      </c>
      <c r="F832" s="25" t="str" cm="1">
        <f t="array" ref="F832">IFERROR(_xlfn.XLOOKUP(Table57[[#This Row],[Code]],Table1[[#All],[Code]],Table1[[#All],[Time]],,0,1),"")</f>
        <v/>
      </c>
      <c r="G832" s="25" t="str" cm="1">
        <f t="array" ref="G832">IFERROR(_xlfn.XLOOKUP(Table57[[#This Row],[Code]],Table1[[#All],[Code]],Table1[[#All],[Time]],,0,-1),"")</f>
        <v/>
      </c>
      <c r="H832" s="23" t="str">
        <f>IFERROR(IF(Table57[[#This Row],[Out]]&gt;=Table57[[#This Row],[In]],Table57[[#This Row],[Out]]-Table57[[#This Row],[In]],(0.5+Table57[[#This Row],[Out]])-Table57[[#This Row],[In]]),"")</f>
        <v/>
      </c>
      <c r="I832" s="31" t="str">
        <f>IFERROR(IF(Table57[[#This Row],[In]]&gt;$C$2,Table57[[#This Row],[In]]-$C$2,""),"")</f>
        <v/>
      </c>
      <c r="J832" s="31" t="str">
        <f>IF(Table57[[#This Row],[Work_Hours]]=0,"",(IF(Table57[[#This Row],[Out]]&lt;$C$3,$C$3-Table57[[#This Row],[Out]],"")))</f>
        <v/>
      </c>
      <c r="K832" s="32" t="str">
        <f>IFERROR(Table57[[#This Row],[In]]+$C$1,"")</f>
        <v/>
      </c>
      <c r="L832" s="29"/>
      <c r="M832" s="31" t="str">
        <f>IF($C$2&gt;Table57[[#This Row],[In]],$C$2-Table57[[#This Row],[In]],"")</f>
        <v/>
      </c>
      <c r="N832" s="29" t="str">
        <f>IFERROR(IF(Table57[[#This Row],[Out]]&gt;$C$3,(Table57[[#This Row],[Out]])-($C$3),""),"")</f>
        <v/>
      </c>
    </row>
    <row r="833" spans="1:14" hidden="1" x14ac:dyDescent="0.25">
      <c r="A833" s="23" t="str">
        <f>Table57[[#This Row],[No.]]&amp;Table57[[#This Row],[Date]]</f>
        <v>00</v>
      </c>
      <c r="B833" s="22">
        <f>'Unique Dates'!A830</f>
        <v>0</v>
      </c>
      <c r="C833" s="22" t="e" cm="1">
        <f t="array" ref="C833">_xlfn.XLOOKUP(Table57[[#This Row],[No.]],Table2[[#All],[CODE]],Table2[[#All],[NAME]],,0,1)</f>
        <v>#N/A</v>
      </c>
      <c r="D833" s="6">
        <f>'Unique Dates'!B830</f>
        <v>0</v>
      </c>
      <c r="E833" t="str">
        <f>TEXT(Table57[[#This Row],[Date]],"dddd")</f>
        <v>Saturday</v>
      </c>
      <c r="F833" s="25" t="str" cm="1">
        <f t="array" ref="F833">IFERROR(_xlfn.XLOOKUP(Table57[[#This Row],[Code]],Table1[[#All],[Code]],Table1[[#All],[Time]],,0,1),"")</f>
        <v/>
      </c>
      <c r="G833" s="25" t="str" cm="1">
        <f t="array" ref="G833">IFERROR(_xlfn.XLOOKUP(Table57[[#This Row],[Code]],Table1[[#All],[Code]],Table1[[#All],[Time]],,0,-1),"")</f>
        <v/>
      </c>
      <c r="H833" s="23" t="str">
        <f>IFERROR(IF(Table57[[#This Row],[Out]]&gt;=Table57[[#This Row],[In]],Table57[[#This Row],[Out]]-Table57[[#This Row],[In]],(0.5+Table57[[#This Row],[Out]])-Table57[[#This Row],[In]]),"")</f>
        <v/>
      </c>
      <c r="I833" s="31" t="str">
        <f>IFERROR(IF(Table57[[#This Row],[In]]&gt;$C$2,Table57[[#This Row],[In]]-$C$2,""),"")</f>
        <v/>
      </c>
      <c r="J833" s="31" t="str">
        <f>IF(Table57[[#This Row],[Work_Hours]]=0,"",(IF(Table57[[#This Row],[Out]]&lt;$C$3,$C$3-Table57[[#This Row],[Out]],"")))</f>
        <v/>
      </c>
      <c r="K833" s="32" t="str">
        <f>IFERROR(Table57[[#This Row],[In]]+$C$1,"")</f>
        <v/>
      </c>
      <c r="L833" s="29"/>
      <c r="M833" s="31" t="str">
        <f>IF($C$2&gt;Table57[[#This Row],[In]],$C$2-Table57[[#This Row],[In]],"")</f>
        <v/>
      </c>
      <c r="N833" s="29" t="str">
        <f>IFERROR(IF(Table57[[#This Row],[Out]]&gt;$C$3,(Table57[[#This Row],[Out]])-($C$3),""),"")</f>
        <v/>
      </c>
    </row>
    <row r="834" spans="1:14" hidden="1" x14ac:dyDescent="0.25">
      <c r="A834" s="23" t="str">
        <f>Table57[[#This Row],[No.]]&amp;Table57[[#This Row],[Date]]</f>
        <v>00</v>
      </c>
      <c r="B834" s="22">
        <f>'Unique Dates'!A831</f>
        <v>0</v>
      </c>
      <c r="C834" s="22" t="e" cm="1">
        <f t="array" ref="C834">_xlfn.XLOOKUP(Table57[[#This Row],[No.]],Table2[[#All],[CODE]],Table2[[#All],[NAME]],,0,1)</f>
        <v>#N/A</v>
      </c>
      <c r="D834" s="6">
        <f>'Unique Dates'!B831</f>
        <v>0</v>
      </c>
      <c r="E834" t="str">
        <f>TEXT(Table57[[#This Row],[Date]],"dddd")</f>
        <v>Saturday</v>
      </c>
      <c r="F834" s="25" t="str" cm="1">
        <f t="array" ref="F834">IFERROR(_xlfn.XLOOKUP(Table57[[#This Row],[Code]],Table1[[#All],[Code]],Table1[[#All],[Time]],,0,1),"")</f>
        <v/>
      </c>
      <c r="G834" s="25" t="str" cm="1">
        <f t="array" ref="G834">IFERROR(_xlfn.XLOOKUP(Table57[[#This Row],[Code]],Table1[[#All],[Code]],Table1[[#All],[Time]],,0,-1),"")</f>
        <v/>
      </c>
      <c r="H834" s="23" t="str">
        <f>IFERROR(IF(Table57[[#This Row],[Out]]&gt;=Table57[[#This Row],[In]],Table57[[#This Row],[Out]]-Table57[[#This Row],[In]],(0.5+Table57[[#This Row],[Out]])-Table57[[#This Row],[In]]),"")</f>
        <v/>
      </c>
      <c r="I834" s="31" t="str">
        <f>IFERROR(IF(Table57[[#This Row],[In]]&gt;$C$2,Table57[[#This Row],[In]]-$C$2,""),"")</f>
        <v/>
      </c>
      <c r="J834" s="31" t="str">
        <f>IF(Table57[[#This Row],[Work_Hours]]=0,"",(IF(Table57[[#This Row],[Out]]&lt;$C$3,$C$3-Table57[[#This Row],[Out]],"")))</f>
        <v/>
      </c>
      <c r="K834" s="32" t="str">
        <f>IFERROR(Table57[[#This Row],[In]]+$C$1,"")</f>
        <v/>
      </c>
      <c r="L834" s="29"/>
      <c r="M834" s="31" t="str">
        <f>IF($C$2&gt;Table57[[#This Row],[In]],$C$2-Table57[[#This Row],[In]],"")</f>
        <v/>
      </c>
      <c r="N834" s="29" t="str">
        <f>IFERROR(IF(Table57[[#This Row],[Out]]&gt;$C$3,(Table57[[#This Row],[Out]])-($C$3),""),"")</f>
        <v/>
      </c>
    </row>
    <row r="835" spans="1:14" hidden="1" x14ac:dyDescent="0.25">
      <c r="A835" s="23" t="str">
        <f>Table57[[#This Row],[No.]]&amp;Table57[[#This Row],[Date]]</f>
        <v>00</v>
      </c>
      <c r="B835" s="22">
        <f>'Unique Dates'!A832</f>
        <v>0</v>
      </c>
      <c r="C835" s="22" t="e" cm="1">
        <f t="array" ref="C835">_xlfn.XLOOKUP(Table57[[#This Row],[No.]],Table2[[#All],[CODE]],Table2[[#All],[NAME]],,0,1)</f>
        <v>#N/A</v>
      </c>
      <c r="D835" s="6">
        <f>'Unique Dates'!B832</f>
        <v>0</v>
      </c>
      <c r="E835" t="str">
        <f>TEXT(Table57[[#This Row],[Date]],"dddd")</f>
        <v>Saturday</v>
      </c>
      <c r="F835" s="25" t="str" cm="1">
        <f t="array" ref="F835">IFERROR(_xlfn.XLOOKUP(Table57[[#This Row],[Code]],Table1[[#All],[Code]],Table1[[#All],[Time]],,0,1),"")</f>
        <v/>
      </c>
      <c r="G835" s="25" t="str" cm="1">
        <f t="array" ref="G835">IFERROR(_xlfn.XLOOKUP(Table57[[#This Row],[Code]],Table1[[#All],[Code]],Table1[[#All],[Time]],,0,-1),"")</f>
        <v/>
      </c>
      <c r="H835" s="23" t="str">
        <f>IFERROR(IF(Table57[[#This Row],[Out]]&gt;=Table57[[#This Row],[In]],Table57[[#This Row],[Out]]-Table57[[#This Row],[In]],(0.5+Table57[[#This Row],[Out]])-Table57[[#This Row],[In]]),"")</f>
        <v/>
      </c>
      <c r="I835" s="31" t="str">
        <f>IFERROR(IF(Table57[[#This Row],[In]]&gt;$C$2,Table57[[#This Row],[In]]-$C$2,""),"")</f>
        <v/>
      </c>
      <c r="J835" s="31" t="str">
        <f>IF(Table57[[#This Row],[Work_Hours]]=0,"",(IF(Table57[[#This Row],[Out]]&lt;$C$3,$C$3-Table57[[#This Row],[Out]],"")))</f>
        <v/>
      </c>
      <c r="K835" s="32" t="str">
        <f>IFERROR(Table57[[#This Row],[In]]+$C$1,"")</f>
        <v/>
      </c>
      <c r="L835" s="29"/>
      <c r="M835" s="31" t="str">
        <f>IF($C$2&gt;Table57[[#This Row],[In]],$C$2-Table57[[#This Row],[In]],"")</f>
        <v/>
      </c>
      <c r="N835" s="29" t="str">
        <f>IFERROR(IF(Table57[[#This Row],[Out]]&gt;$C$3,(Table57[[#This Row],[Out]])-($C$3),""),"")</f>
        <v/>
      </c>
    </row>
    <row r="836" spans="1:14" hidden="1" x14ac:dyDescent="0.25">
      <c r="A836" s="23" t="str">
        <f>Table57[[#This Row],[No.]]&amp;Table57[[#This Row],[Date]]</f>
        <v>00</v>
      </c>
      <c r="B836" s="22">
        <f>'Unique Dates'!A833</f>
        <v>0</v>
      </c>
      <c r="C836" s="22" t="e" cm="1">
        <f t="array" ref="C836">_xlfn.XLOOKUP(Table57[[#This Row],[No.]],Table2[[#All],[CODE]],Table2[[#All],[NAME]],,0,1)</f>
        <v>#N/A</v>
      </c>
      <c r="D836" s="6">
        <f>'Unique Dates'!B833</f>
        <v>0</v>
      </c>
      <c r="E836" t="str">
        <f>TEXT(Table57[[#This Row],[Date]],"dddd")</f>
        <v>Saturday</v>
      </c>
      <c r="F836" s="25" t="str" cm="1">
        <f t="array" ref="F836">IFERROR(_xlfn.XLOOKUP(Table57[[#This Row],[Code]],Table1[[#All],[Code]],Table1[[#All],[Time]],,0,1),"")</f>
        <v/>
      </c>
      <c r="G836" s="25" t="str" cm="1">
        <f t="array" ref="G836">IFERROR(_xlfn.XLOOKUP(Table57[[#This Row],[Code]],Table1[[#All],[Code]],Table1[[#All],[Time]],,0,-1),"")</f>
        <v/>
      </c>
      <c r="H836" s="23" t="str">
        <f>IFERROR(IF(Table57[[#This Row],[Out]]&gt;=Table57[[#This Row],[In]],Table57[[#This Row],[Out]]-Table57[[#This Row],[In]],(0.5+Table57[[#This Row],[Out]])-Table57[[#This Row],[In]]),"")</f>
        <v/>
      </c>
      <c r="I836" s="31" t="str">
        <f>IFERROR(IF(Table57[[#This Row],[In]]&gt;$C$2,Table57[[#This Row],[In]]-$C$2,""),"")</f>
        <v/>
      </c>
      <c r="J836" s="31" t="str">
        <f>IF(Table57[[#This Row],[Work_Hours]]=0,"",(IF(Table57[[#This Row],[Out]]&lt;$C$3,$C$3-Table57[[#This Row],[Out]],"")))</f>
        <v/>
      </c>
      <c r="K836" s="32" t="str">
        <f>IFERROR(Table57[[#This Row],[In]]+$C$1,"")</f>
        <v/>
      </c>
      <c r="L836" s="29"/>
      <c r="M836" s="31" t="str">
        <f>IF($C$2&gt;Table57[[#This Row],[In]],$C$2-Table57[[#This Row],[In]],"")</f>
        <v/>
      </c>
      <c r="N836" s="29" t="str">
        <f>IFERROR(IF(Table57[[#This Row],[Out]]&gt;$C$3,(Table57[[#This Row],[Out]])-($C$3),""),"")</f>
        <v/>
      </c>
    </row>
    <row r="837" spans="1:14" hidden="1" x14ac:dyDescent="0.25">
      <c r="A837" s="23" t="str">
        <f>Table57[[#This Row],[No.]]&amp;Table57[[#This Row],[Date]]</f>
        <v>00</v>
      </c>
      <c r="B837" s="22">
        <f>'Unique Dates'!A834</f>
        <v>0</v>
      </c>
      <c r="C837" s="22" t="e" cm="1">
        <f t="array" ref="C837">_xlfn.XLOOKUP(Table57[[#This Row],[No.]],Table2[[#All],[CODE]],Table2[[#All],[NAME]],,0,1)</f>
        <v>#N/A</v>
      </c>
      <c r="D837" s="6">
        <f>'Unique Dates'!B834</f>
        <v>0</v>
      </c>
      <c r="E837" t="str">
        <f>TEXT(Table57[[#This Row],[Date]],"dddd")</f>
        <v>Saturday</v>
      </c>
      <c r="F837" s="25" t="str" cm="1">
        <f t="array" ref="F837">IFERROR(_xlfn.XLOOKUP(Table57[[#This Row],[Code]],Table1[[#All],[Code]],Table1[[#All],[Time]],,0,1),"")</f>
        <v/>
      </c>
      <c r="G837" s="25" t="str" cm="1">
        <f t="array" ref="G837">IFERROR(_xlfn.XLOOKUP(Table57[[#This Row],[Code]],Table1[[#All],[Code]],Table1[[#All],[Time]],,0,-1),"")</f>
        <v/>
      </c>
      <c r="H837" s="23" t="str">
        <f>IFERROR(IF(Table57[[#This Row],[Out]]&gt;=Table57[[#This Row],[In]],Table57[[#This Row],[Out]]-Table57[[#This Row],[In]],(0.5+Table57[[#This Row],[Out]])-Table57[[#This Row],[In]]),"")</f>
        <v/>
      </c>
      <c r="I837" s="31" t="str">
        <f>IFERROR(IF(Table57[[#This Row],[In]]&gt;$C$2,Table57[[#This Row],[In]]-$C$2,""),"")</f>
        <v/>
      </c>
      <c r="J837" s="31" t="str">
        <f>IF(Table57[[#This Row],[Work_Hours]]=0,"",(IF(Table57[[#This Row],[Out]]&lt;$C$3,$C$3-Table57[[#This Row],[Out]],"")))</f>
        <v/>
      </c>
      <c r="K837" s="32" t="str">
        <f>IFERROR(Table57[[#This Row],[In]]+$C$1,"")</f>
        <v/>
      </c>
      <c r="L837" s="29"/>
      <c r="M837" s="31" t="str">
        <f>IF($C$2&gt;Table57[[#This Row],[In]],$C$2-Table57[[#This Row],[In]],"")</f>
        <v/>
      </c>
      <c r="N837" s="29" t="str">
        <f>IFERROR(IF(Table57[[#This Row],[Out]]&gt;$C$3,(Table57[[#This Row],[Out]])-($C$3),""),"")</f>
        <v/>
      </c>
    </row>
    <row r="838" spans="1:14" hidden="1" x14ac:dyDescent="0.25">
      <c r="A838" s="23" t="str">
        <f>Table57[[#This Row],[No.]]&amp;Table57[[#This Row],[Date]]</f>
        <v>00</v>
      </c>
      <c r="B838" s="22">
        <f>'Unique Dates'!A835</f>
        <v>0</v>
      </c>
      <c r="C838" s="22" t="e" cm="1">
        <f t="array" ref="C838">_xlfn.XLOOKUP(Table57[[#This Row],[No.]],Table2[[#All],[CODE]],Table2[[#All],[NAME]],,0,1)</f>
        <v>#N/A</v>
      </c>
      <c r="D838" s="6">
        <f>'Unique Dates'!B835</f>
        <v>0</v>
      </c>
      <c r="E838" t="str">
        <f>TEXT(Table57[[#This Row],[Date]],"dddd")</f>
        <v>Saturday</v>
      </c>
      <c r="F838" s="25" t="str" cm="1">
        <f t="array" ref="F838">IFERROR(_xlfn.XLOOKUP(Table57[[#This Row],[Code]],Table1[[#All],[Code]],Table1[[#All],[Time]],,0,1),"")</f>
        <v/>
      </c>
      <c r="G838" s="25" t="str" cm="1">
        <f t="array" ref="G838">IFERROR(_xlfn.XLOOKUP(Table57[[#This Row],[Code]],Table1[[#All],[Code]],Table1[[#All],[Time]],,0,-1),"")</f>
        <v/>
      </c>
      <c r="H838" s="23" t="str">
        <f>IFERROR(IF(Table57[[#This Row],[Out]]&gt;=Table57[[#This Row],[In]],Table57[[#This Row],[Out]]-Table57[[#This Row],[In]],(0.5+Table57[[#This Row],[Out]])-Table57[[#This Row],[In]]),"")</f>
        <v/>
      </c>
      <c r="I838" s="31" t="str">
        <f>IFERROR(IF(Table57[[#This Row],[In]]&gt;$C$2,Table57[[#This Row],[In]]-$C$2,""),"")</f>
        <v/>
      </c>
      <c r="J838" s="31" t="str">
        <f>IF(Table57[[#This Row],[Work_Hours]]=0,"",(IF(Table57[[#This Row],[Out]]&lt;$C$3,$C$3-Table57[[#This Row],[Out]],"")))</f>
        <v/>
      </c>
      <c r="K838" s="32" t="str">
        <f>IFERROR(Table57[[#This Row],[In]]+$C$1,"")</f>
        <v/>
      </c>
      <c r="L838" s="29"/>
      <c r="M838" s="31" t="str">
        <f>IF($C$2&gt;Table57[[#This Row],[In]],$C$2-Table57[[#This Row],[In]],"")</f>
        <v/>
      </c>
      <c r="N838" s="29" t="str">
        <f>IFERROR(IF(Table57[[#This Row],[Out]]&gt;$C$3,(Table57[[#This Row],[Out]])-($C$3),""),"")</f>
        <v/>
      </c>
    </row>
    <row r="839" spans="1:14" hidden="1" x14ac:dyDescent="0.25">
      <c r="A839" s="23" t="str">
        <f>Table57[[#This Row],[No.]]&amp;Table57[[#This Row],[Date]]</f>
        <v>00</v>
      </c>
      <c r="B839" s="22">
        <f>'Unique Dates'!A836</f>
        <v>0</v>
      </c>
      <c r="C839" s="22" t="e" cm="1">
        <f t="array" ref="C839">_xlfn.XLOOKUP(Table57[[#This Row],[No.]],Table2[[#All],[CODE]],Table2[[#All],[NAME]],,0,1)</f>
        <v>#N/A</v>
      </c>
      <c r="D839" s="6">
        <f>'Unique Dates'!B836</f>
        <v>0</v>
      </c>
      <c r="E839" t="str">
        <f>TEXT(Table57[[#This Row],[Date]],"dddd")</f>
        <v>Saturday</v>
      </c>
      <c r="F839" s="25" t="str" cm="1">
        <f t="array" ref="F839">IFERROR(_xlfn.XLOOKUP(Table57[[#This Row],[Code]],Table1[[#All],[Code]],Table1[[#All],[Time]],,0,1),"")</f>
        <v/>
      </c>
      <c r="G839" s="25" t="str" cm="1">
        <f t="array" ref="G839">IFERROR(_xlfn.XLOOKUP(Table57[[#This Row],[Code]],Table1[[#All],[Code]],Table1[[#All],[Time]],,0,-1),"")</f>
        <v/>
      </c>
      <c r="H839" s="23" t="str">
        <f>IFERROR(IF(Table57[[#This Row],[Out]]&gt;=Table57[[#This Row],[In]],Table57[[#This Row],[Out]]-Table57[[#This Row],[In]],(0.5+Table57[[#This Row],[Out]])-Table57[[#This Row],[In]]),"")</f>
        <v/>
      </c>
      <c r="I839" s="31" t="str">
        <f>IFERROR(IF(Table57[[#This Row],[In]]&gt;$C$2,Table57[[#This Row],[In]]-$C$2,""),"")</f>
        <v/>
      </c>
      <c r="J839" s="31" t="str">
        <f>IF(Table57[[#This Row],[Work_Hours]]=0,"",(IF(Table57[[#This Row],[Out]]&lt;$C$3,$C$3-Table57[[#This Row],[Out]],"")))</f>
        <v/>
      </c>
      <c r="K839" s="32" t="str">
        <f>IFERROR(Table57[[#This Row],[In]]+$C$1,"")</f>
        <v/>
      </c>
      <c r="L839" s="29"/>
      <c r="M839" s="31" t="str">
        <f>IF($C$2&gt;Table57[[#This Row],[In]],$C$2-Table57[[#This Row],[In]],"")</f>
        <v/>
      </c>
      <c r="N839" s="29" t="str">
        <f>IFERROR(IF(Table57[[#This Row],[Out]]&gt;$C$3,(Table57[[#This Row],[Out]])-($C$3),""),"")</f>
        <v/>
      </c>
    </row>
    <row r="840" spans="1:14" hidden="1" x14ac:dyDescent="0.25">
      <c r="A840" s="23" t="str">
        <f>Table57[[#This Row],[No.]]&amp;Table57[[#This Row],[Date]]</f>
        <v>00</v>
      </c>
      <c r="B840" s="22">
        <f>'Unique Dates'!A837</f>
        <v>0</v>
      </c>
      <c r="C840" s="22" t="e" cm="1">
        <f t="array" ref="C840">_xlfn.XLOOKUP(Table57[[#This Row],[No.]],Table2[[#All],[CODE]],Table2[[#All],[NAME]],,0,1)</f>
        <v>#N/A</v>
      </c>
      <c r="D840" s="6">
        <f>'Unique Dates'!B837</f>
        <v>0</v>
      </c>
      <c r="E840" t="str">
        <f>TEXT(Table57[[#This Row],[Date]],"dddd")</f>
        <v>Saturday</v>
      </c>
      <c r="F840" s="25" t="str" cm="1">
        <f t="array" ref="F840">IFERROR(_xlfn.XLOOKUP(Table57[[#This Row],[Code]],Table1[[#All],[Code]],Table1[[#All],[Time]],,0,1),"")</f>
        <v/>
      </c>
      <c r="G840" s="25" t="str" cm="1">
        <f t="array" ref="G840">IFERROR(_xlfn.XLOOKUP(Table57[[#This Row],[Code]],Table1[[#All],[Code]],Table1[[#All],[Time]],,0,-1),"")</f>
        <v/>
      </c>
      <c r="H840" s="23" t="str">
        <f>IFERROR(IF(Table57[[#This Row],[Out]]&gt;=Table57[[#This Row],[In]],Table57[[#This Row],[Out]]-Table57[[#This Row],[In]],(0.5+Table57[[#This Row],[Out]])-Table57[[#This Row],[In]]),"")</f>
        <v/>
      </c>
      <c r="I840" s="31" t="str">
        <f>IFERROR(IF(Table57[[#This Row],[In]]&gt;$C$2,Table57[[#This Row],[In]]-$C$2,""),"")</f>
        <v/>
      </c>
      <c r="J840" s="31" t="str">
        <f>IF(Table57[[#This Row],[Work_Hours]]=0,"",(IF(Table57[[#This Row],[Out]]&lt;$C$3,$C$3-Table57[[#This Row],[Out]],"")))</f>
        <v/>
      </c>
      <c r="K840" s="32" t="str">
        <f>IFERROR(Table57[[#This Row],[In]]+$C$1,"")</f>
        <v/>
      </c>
      <c r="L840" s="29"/>
      <c r="M840" s="31" t="str">
        <f>IF($C$2&gt;Table57[[#This Row],[In]],$C$2-Table57[[#This Row],[In]],"")</f>
        <v/>
      </c>
      <c r="N840" s="29" t="str">
        <f>IFERROR(IF(Table57[[#This Row],[Out]]&gt;$C$3,(Table57[[#This Row],[Out]])-($C$3),""),"")</f>
        <v/>
      </c>
    </row>
    <row r="841" spans="1:14" hidden="1" x14ac:dyDescent="0.25">
      <c r="A841" s="23" t="str">
        <f>Table57[[#This Row],[No.]]&amp;Table57[[#This Row],[Date]]</f>
        <v>00</v>
      </c>
      <c r="B841" s="22">
        <f>'Unique Dates'!A838</f>
        <v>0</v>
      </c>
      <c r="C841" s="22" t="e" cm="1">
        <f t="array" ref="C841">_xlfn.XLOOKUP(Table57[[#This Row],[No.]],Table2[[#All],[CODE]],Table2[[#All],[NAME]],,0,1)</f>
        <v>#N/A</v>
      </c>
      <c r="D841" s="6">
        <f>'Unique Dates'!B838</f>
        <v>0</v>
      </c>
      <c r="E841" t="str">
        <f>TEXT(Table57[[#This Row],[Date]],"dddd")</f>
        <v>Saturday</v>
      </c>
      <c r="F841" s="25" t="str" cm="1">
        <f t="array" ref="F841">IFERROR(_xlfn.XLOOKUP(Table57[[#This Row],[Code]],Table1[[#All],[Code]],Table1[[#All],[Time]],,0,1),"")</f>
        <v/>
      </c>
      <c r="G841" s="25" t="str" cm="1">
        <f t="array" ref="G841">IFERROR(_xlfn.XLOOKUP(Table57[[#This Row],[Code]],Table1[[#All],[Code]],Table1[[#All],[Time]],,0,-1),"")</f>
        <v/>
      </c>
      <c r="H841" s="23" t="str">
        <f>IFERROR(IF(Table57[[#This Row],[Out]]&gt;=Table57[[#This Row],[In]],Table57[[#This Row],[Out]]-Table57[[#This Row],[In]],(0.5+Table57[[#This Row],[Out]])-Table57[[#This Row],[In]]),"")</f>
        <v/>
      </c>
      <c r="I841" s="31" t="str">
        <f>IFERROR(IF(Table57[[#This Row],[In]]&gt;$C$2,Table57[[#This Row],[In]]-$C$2,""),"")</f>
        <v/>
      </c>
      <c r="J841" s="31" t="str">
        <f>IF(Table57[[#This Row],[Work_Hours]]=0,"",(IF(Table57[[#This Row],[Out]]&lt;$C$3,$C$3-Table57[[#This Row],[Out]],"")))</f>
        <v/>
      </c>
      <c r="K841" s="32" t="str">
        <f>IFERROR(Table57[[#This Row],[In]]+$C$1,"")</f>
        <v/>
      </c>
      <c r="L841" s="29"/>
      <c r="M841" s="31" t="str">
        <f>IF($C$2&gt;Table57[[#This Row],[In]],$C$2-Table57[[#This Row],[In]],"")</f>
        <v/>
      </c>
      <c r="N841" s="29" t="str">
        <f>IFERROR(IF(Table57[[#This Row],[Out]]&gt;$C$3,(Table57[[#This Row],[Out]])-($C$3),""),"")</f>
        <v/>
      </c>
    </row>
    <row r="842" spans="1:14" hidden="1" x14ac:dyDescent="0.25">
      <c r="A842" s="23" t="str">
        <f>Table57[[#This Row],[No.]]&amp;Table57[[#This Row],[Date]]</f>
        <v>00</v>
      </c>
      <c r="B842" s="22">
        <f>'Unique Dates'!A839</f>
        <v>0</v>
      </c>
      <c r="C842" s="22" t="e" cm="1">
        <f t="array" ref="C842">_xlfn.XLOOKUP(Table57[[#This Row],[No.]],Table2[[#All],[CODE]],Table2[[#All],[NAME]],,0,1)</f>
        <v>#N/A</v>
      </c>
      <c r="D842" s="6">
        <f>'Unique Dates'!B839</f>
        <v>0</v>
      </c>
      <c r="E842" t="str">
        <f>TEXT(Table57[[#This Row],[Date]],"dddd")</f>
        <v>Saturday</v>
      </c>
      <c r="F842" s="25" t="str" cm="1">
        <f t="array" ref="F842">IFERROR(_xlfn.XLOOKUP(Table57[[#This Row],[Code]],Table1[[#All],[Code]],Table1[[#All],[Time]],,0,1),"")</f>
        <v/>
      </c>
      <c r="G842" s="25" t="str" cm="1">
        <f t="array" ref="G842">IFERROR(_xlfn.XLOOKUP(Table57[[#This Row],[Code]],Table1[[#All],[Code]],Table1[[#All],[Time]],,0,-1),"")</f>
        <v/>
      </c>
      <c r="H842" s="23" t="str">
        <f>IFERROR(IF(Table57[[#This Row],[Out]]&gt;=Table57[[#This Row],[In]],Table57[[#This Row],[Out]]-Table57[[#This Row],[In]],(0.5+Table57[[#This Row],[Out]])-Table57[[#This Row],[In]]),"")</f>
        <v/>
      </c>
      <c r="I842" s="31" t="str">
        <f>IFERROR(IF(Table57[[#This Row],[In]]&gt;$C$2,Table57[[#This Row],[In]]-$C$2,""),"")</f>
        <v/>
      </c>
      <c r="J842" s="31" t="str">
        <f>IF(Table57[[#This Row],[Work_Hours]]=0,"",(IF(Table57[[#This Row],[Out]]&lt;$C$3,$C$3-Table57[[#This Row],[Out]],"")))</f>
        <v/>
      </c>
      <c r="K842" s="32" t="str">
        <f>IFERROR(Table57[[#This Row],[In]]+$C$1,"")</f>
        <v/>
      </c>
      <c r="L842" s="29"/>
      <c r="M842" s="31" t="str">
        <f>IF($C$2&gt;Table57[[#This Row],[In]],$C$2-Table57[[#This Row],[In]],"")</f>
        <v/>
      </c>
      <c r="N842" s="29" t="str">
        <f>IFERROR(IF(Table57[[#This Row],[Out]]&gt;$C$3,(Table57[[#This Row],[Out]])-($C$3),""),"")</f>
        <v/>
      </c>
    </row>
    <row r="843" spans="1:14" hidden="1" x14ac:dyDescent="0.25">
      <c r="A843" s="23" t="str">
        <f>Table57[[#This Row],[No.]]&amp;Table57[[#This Row],[Date]]</f>
        <v>00</v>
      </c>
      <c r="B843" s="22">
        <f>'Unique Dates'!A840</f>
        <v>0</v>
      </c>
      <c r="C843" s="22" t="e" cm="1">
        <f t="array" ref="C843">_xlfn.XLOOKUP(Table57[[#This Row],[No.]],Table2[[#All],[CODE]],Table2[[#All],[NAME]],,0,1)</f>
        <v>#N/A</v>
      </c>
      <c r="D843" s="6">
        <f>'Unique Dates'!B840</f>
        <v>0</v>
      </c>
      <c r="E843" t="str">
        <f>TEXT(Table57[[#This Row],[Date]],"dddd")</f>
        <v>Saturday</v>
      </c>
      <c r="F843" s="25" t="str" cm="1">
        <f t="array" ref="F843">IFERROR(_xlfn.XLOOKUP(Table57[[#This Row],[Code]],Table1[[#All],[Code]],Table1[[#All],[Time]],,0,1),"")</f>
        <v/>
      </c>
      <c r="G843" s="25" t="str" cm="1">
        <f t="array" ref="G843">IFERROR(_xlfn.XLOOKUP(Table57[[#This Row],[Code]],Table1[[#All],[Code]],Table1[[#All],[Time]],,0,-1),"")</f>
        <v/>
      </c>
      <c r="H843" s="23" t="str">
        <f>IFERROR(IF(Table57[[#This Row],[Out]]&gt;=Table57[[#This Row],[In]],Table57[[#This Row],[Out]]-Table57[[#This Row],[In]],(0.5+Table57[[#This Row],[Out]])-Table57[[#This Row],[In]]),"")</f>
        <v/>
      </c>
      <c r="I843" s="31" t="str">
        <f>IFERROR(IF(Table57[[#This Row],[In]]&gt;$C$2,Table57[[#This Row],[In]]-$C$2,""),"")</f>
        <v/>
      </c>
      <c r="J843" s="31" t="str">
        <f>IF(Table57[[#This Row],[Work_Hours]]=0,"",(IF(Table57[[#This Row],[Out]]&lt;$C$3,$C$3-Table57[[#This Row],[Out]],"")))</f>
        <v/>
      </c>
      <c r="K843" s="32" t="str">
        <f>IFERROR(Table57[[#This Row],[In]]+$C$1,"")</f>
        <v/>
      </c>
      <c r="L843" s="29"/>
      <c r="M843" s="31" t="str">
        <f>IF($C$2&gt;Table57[[#This Row],[In]],$C$2-Table57[[#This Row],[In]],"")</f>
        <v/>
      </c>
      <c r="N843" s="29" t="str">
        <f>IFERROR(IF(Table57[[#This Row],[Out]]&gt;$C$3,(Table57[[#This Row],[Out]])-($C$3),""),"")</f>
        <v/>
      </c>
    </row>
    <row r="844" spans="1:14" hidden="1" x14ac:dyDescent="0.25">
      <c r="A844" s="23" t="str">
        <f>Table57[[#This Row],[No.]]&amp;Table57[[#This Row],[Date]]</f>
        <v>00</v>
      </c>
      <c r="B844" s="22">
        <f>'Unique Dates'!A841</f>
        <v>0</v>
      </c>
      <c r="C844" s="22" t="e" cm="1">
        <f t="array" ref="C844">_xlfn.XLOOKUP(Table57[[#This Row],[No.]],Table2[[#All],[CODE]],Table2[[#All],[NAME]],,0,1)</f>
        <v>#N/A</v>
      </c>
      <c r="D844" s="6">
        <f>'Unique Dates'!B841</f>
        <v>0</v>
      </c>
      <c r="E844" t="str">
        <f>TEXT(Table57[[#This Row],[Date]],"dddd")</f>
        <v>Saturday</v>
      </c>
      <c r="F844" s="25" t="str" cm="1">
        <f t="array" ref="F844">IFERROR(_xlfn.XLOOKUP(Table57[[#This Row],[Code]],Table1[[#All],[Code]],Table1[[#All],[Time]],,0,1),"")</f>
        <v/>
      </c>
      <c r="G844" s="25" t="str" cm="1">
        <f t="array" ref="G844">IFERROR(_xlfn.XLOOKUP(Table57[[#This Row],[Code]],Table1[[#All],[Code]],Table1[[#All],[Time]],,0,-1),"")</f>
        <v/>
      </c>
      <c r="H844" s="23" t="str">
        <f>IFERROR(IF(Table57[[#This Row],[Out]]&gt;=Table57[[#This Row],[In]],Table57[[#This Row],[Out]]-Table57[[#This Row],[In]],(0.5+Table57[[#This Row],[Out]])-Table57[[#This Row],[In]]),"")</f>
        <v/>
      </c>
      <c r="I844" s="31" t="str">
        <f>IFERROR(IF(Table57[[#This Row],[In]]&gt;$C$2,Table57[[#This Row],[In]]-$C$2,""),"")</f>
        <v/>
      </c>
      <c r="J844" s="31" t="str">
        <f>IF(Table57[[#This Row],[Work_Hours]]=0,"",(IF(Table57[[#This Row],[Out]]&lt;$C$3,$C$3-Table57[[#This Row],[Out]],"")))</f>
        <v/>
      </c>
      <c r="K844" s="32" t="str">
        <f>IFERROR(Table57[[#This Row],[In]]+$C$1,"")</f>
        <v/>
      </c>
      <c r="L844" s="29"/>
      <c r="M844" s="31" t="str">
        <f>IF($C$2&gt;Table57[[#This Row],[In]],$C$2-Table57[[#This Row],[In]],"")</f>
        <v/>
      </c>
      <c r="N844" s="29" t="str">
        <f>IFERROR(IF(Table57[[#This Row],[Out]]&gt;$C$3,(Table57[[#This Row],[Out]])-($C$3),""),"")</f>
        <v/>
      </c>
    </row>
    <row r="845" spans="1:14" hidden="1" x14ac:dyDescent="0.25">
      <c r="A845" s="23" t="str">
        <f>Table57[[#This Row],[No.]]&amp;Table57[[#This Row],[Date]]</f>
        <v>00</v>
      </c>
      <c r="B845" s="22">
        <f>'Unique Dates'!A842</f>
        <v>0</v>
      </c>
      <c r="C845" s="22" t="e" cm="1">
        <f t="array" ref="C845">_xlfn.XLOOKUP(Table57[[#This Row],[No.]],Table2[[#All],[CODE]],Table2[[#All],[NAME]],,0,1)</f>
        <v>#N/A</v>
      </c>
      <c r="D845" s="6">
        <f>'Unique Dates'!B842</f>
        <v>0</v>
      </c>
      <c r="E845" t="str">
        <f>TEXT(Table57[[#This Row],[Date]],"dddd")</f>
        <v>Saturday</v>
      </c>
      <c r="F845" s="25" t="str" cm="1">
        <f t="array" ref="F845">IFERROR(_xlfn.XLOOKUP(Table57[[#This Row],[Code]],Table1[[#All],[Code]],Table1[[#All],[Time]],,0,1),"")</f>
        <v/>
      </c>
      <c r="G845" s="25" t="str" cm="1">
        <f t="array" ref="G845">IFERROR(_xlfn.XLOOKUP(Table57[[#This Row],[Code]],Table1[[#All],[Code]],Table1[[#All],[Time]],,0,-1),"")</f>
        <v/>
      </c>
      <c r="H845" s="23" t="str">
        <f>IFERROR(IF(Table57[[#This Row],[Out]]&gt;=Table57[[#This Row],[In]],Table57[[#This Row],[Out]]-Table57[[#This Row],[In]],(0.5+Table57[[#This Row],[Out]])-Table57[[#This Row],[In]]),"")</f>
        <v/>
      </c>
      <c r="I845" s="31" t="str">
        <f>IFERROR(IF(Table57[[#This Row],[In]]&gt;$C$2,Table57[[#This Row],[In]]-$C$2,""),"")</f>
        <v/>
      </c>
      <c r="J845" s="31" t="str">
        <f>IF(Table57[[#This Row],[Work_Hours]]=0,"",(IF(Table57[[#This Row],[Out]]&lt;$C$3,$C$3-Table57[[#This Row],[Out]],"")))</f>
        <v/>
      </c>
      <c r="K845" s="32" t="str">
        <f>IFERROR(Table57[[#This Row],[In]]+$C$1,"")</f>
        <v/>
      </c>
      <c r="L845" s="29"/>
      <c r="M845" s="31" t="str">
        <f>IF($C$2&gt;Table57[[#This Row],[In]],$C$2-Table57[[#This Row],[In]],"")</f>
        <v/>
      </c>
      <c r="N845" s="29" t="str">
        <f>IFERROR(IF(Table57[[#This Row],[Out]]&gt;$C$3,(Table57[[#This Row],[Out]])-($C$3),""),"")</f>
        <v/>
      </c>
    </row>
    <row r="846" spans="1:14" hidden="1" x14ac:dyDescent="0.25">
      <c r="A846" s="23" t="str">
        <f>Table57[[#This Row],[No.]]&amp;Table57[[#This Row],[Date]]</f>
        <v>00</v>
      </c>
      <c r="B846" s="22">
        <f>'Unique Dates'!A843</f>
        <v>0</v>
      </c>
      <c r="C846" s="22" t="e" cm="1">
        <f t="array" ref="C846">_xlfn.XLOOKUP(Table57[[#This Row],[No.]],Table2[[#All],[CODE]],Table2[[#All],[NAME]],,0,1)</f>
        <v>#N/A</v>
      </c>
      <c r="D846" s="6">
        <f>'Unique Dates'!B843</f>
        <v>0</v>
      </c>
      <c r="E846" t="str">
        <f>TEXT(Table57[[#This Row],[Date]],"dddd")</f>
        <v>Saturday</v>
      </c>
      <c r="F846" s="25" t="str" cm="1">
        <f t="array" ref="F846">IFERROR(_xlfn.XLOOKUP(Table57[[#This Row],[Code]],Table1[[#All],[Code]],Table1[[#All],[Time]],,0,1),"")</f>
        <v/>
      </c>
      <c r="G846" s="25" t="str" cm="1">
        <f t="array" ref="G846">IFERROR(_xlfn.XLOOKUP(Table57[[#This Row],[Code]],Table1[[#All],[Code]],Table1[[#All],[Time]],,0,-1),"")</f>
        <v/>
      </c>
      <c r="H846" s="23" t="str">
        <f>IFERROR(IF(Table57[[#This Row],[Out]]&gt;=Table57[[#This Row],[In]],Table57[[#This Row],[Out]]-Table57[[#This Row],[In]],(0.5+Table57[[#This Row],[Out]])-Table57[[#This Row],[In]]),"")</f>
        <v/>
      </c>
      <c r="I846" s="31" t="str">
        <f>IFERROR(IF(Table57[[#This Row],[In]]&gt;$C$2,Table57[[#This Row],[In]]-$C$2,""),"")</f>
        <v/>
      </c>
      <c r="J846" s="31" t="str">
        <f>IF(Table57[[#This Row],[Work_Hours]]=0,"",(IF(Table57[[#This Row],[Out]]&lt;$C$3,$C$3-Table57[[#This Row],[Out]],"")))</f>
        <v/>
      </c>
      <c r="K846" s="32" t="str">
        <f>IFERROR(Table57[[#This Row],[In]]+$C$1,"")</f>
        <v/>
      </c>
      <c r="L846" s="29"/>
      <c r="M846" s="31" t="str">
        <f>IF($C$2&gt;Table57[[#This Row],[In]],$C$2-Table57[[#This Row],[In]],"")</f>
        <v/>
      </c>
      <c r="N846" s="29" t="str">
        <f>IFERROR(IF(Table57[[#This Row],[Out]]&gt;$C$3,(Table57[[#This Row],[Out]])-($C$3),""),"")</f>
        <v/>
      </c>
    </row>
    <row r="847" spans="1:14" hidden="1" x14ac:dyDescent="0.25">
      <c r="A847" s="23" t="str">
        <f>Table57[[#This Row],[No.]]&amp;Table57[[#This Row],[Date]]</f>
        <v>00</v>
      </c>
      <c r="B847" s="22">
        <f>'Unique Dates'!A844</f>
        <v>0</v>
      </c>
      <c r="C847" s="22" t="e" cm="1">
        <f t="array" ref="C847">_xlfn.XLOOKUP(Table57[[#This Row],[No.]],Table2[[#All],[CODE]],Table2[[#All],[NAME]],,0,1)</f>
        <v>#N/A</v>
      </c>
      <c r="D847" s="6">
        <f>'Unique Dates'!B844</f>
        <v>0</v>
      </c>
      <c r="E847" t="str">
        <f>TEXT(Table57[[#This Row],[Date]],"dddd")</f>
        <v>Saturday</v>
      </c>
      <c r="F847" s="25" t="str" cm="1">
        <f t="array" ref="F847">IFERROR(_xlfn.XLOOKUP(Table57[[#This Row],[Code]],Table1[[#All],[Code]],Table1[[#All],[Time]],,0,1),"")</f>
        <v/>
      </c>
      <c r="G847" s="25" t="str" cm="1">
        <f t="array" ref="G847">IFERROR(_xlfn.XLOOKUP(Table57[[#This Row],[Code]],Table1[[#All],[Code]],Table1[[#All],[Time]],,0,-1),"")</f>
        <v/>
      </c>
      <c r="H847" s="23" t="str">
        <f>IFERROR(IF(Table57[[#This Row],[Out]]&gt;=Table57[[#This Row],[In]],Table57[[#This Row],[Out]]-Table57[[#This Row],[In]],(0.5+Table57[[#This Row],[Out]])-Table57[[#This Row],[In]]),"")</f>
        <v/>
      </c>
      <c r="I847" s="31" t="str">
        <f>IFERROR(IF(Table57[[#This Row],[In]]&gt;$C$2,Table57[[#This Row],[In]]-$C$2,""),"")</f>
        <v/>
      </c>
      <c r="J847" s="31" t="str">
        <f>IF(Table57[[#This Row],[Work_Hours]]=0,"",(IF(Table57[[#This Row],[Out]]&lt;$C$3,$C$3-Table57[[#This Row],[Out]],"")))</f>
        <v/>
      </c>
      <c r="K847" s="32" t="str">
        <f>IFERROR(Table57[[#This Row],[In]]+$C$1,"")</f>
        <v/>
      </c>
      <c r="L847" s="29"/>
      <c r="M847" s="31" t="str">
        <f>IF($C$2&gt;Table57[[#This Row],[In]],$C$2-Table57[[#This Row],[In]],"")</f>
        <v/>
      </c>
      <c r="N847" s="29" t="str">
        <f>IFERROR(IF(Table57[[#This Row],[Out]]&gt;$C$3,(Table57[[#This Row],[Out]])-($C$3),""),"")</f>
        <v/>
      </c>
    </row>
    <row r="848" spans="1:14" hidden="1" x14ac:dyDescent="0.25">
      <c r="A848" s="23" t="str">
        <f>Table57[[#This Row],[No.]]&amp;Table57[[#This Row],[Date]]</f>
        <v>00</v>
      </c>
      <c r="B848" s="22">
        <f>'Unique Dates'!A845</f>
        <v>0</v>
      </c>
      <c r="C848" s="22" t="e" cm="1">
        <f t="array" ref="C848">_xlfn.XLOOKUP(Table57[[#This Row],[No.]],Table2[[#All],[CODE]],Table2[[#All],[NAME]],,0,1)</f>
        <v>#N/A</v>
      </c>
      <c r="D848" s="6">
        <f>'Unique Dates'!B845</f>
        <v>0</v>
      </c>
      <c r="E848" t="str">
        <f>TEXT(Table57[[#This Row],[Date]],"dddd")</f>
        <v>Saturday</v>
      </c>
      <c r="F848" s="25" t="str" cm="1">
        <f t="array" ref="F848">IFERROR(_xlfn.XLOOKUP(Table57[[#This Row],[Code]],Table1[[#All],[Code]],Table1[[#All],[Time]],,0,1),"")</f>
        <v/>
      </c>
      <c r="G848" s="25" t="str" cm="1">
        <f t="array" ref="G848">IFERROR(_xlfn.XLOOKUP(Table57[[#This Row],[Code]],Table1[[#All],[Code]],Table1[[#All],[Time]],,0,-1),"")</f>
        <v/>
      </c>
      <c r="H848" s="23" t="str">
        <f>IFERROR(IF(Table57[[#This Row],[Out]]&gt;=Table57[[#This Row],[In]],Table57[[#This Row],[Out]]-Table57[[#This Row],[In]],(0.5+Table57[[#This Row],[Out]])-Table57[[#This Row],[In]]),"")</f>
        <v/>
      </c>
      <c r="I848" s="31" t="str">
        <f>IFERROR(IF(Table57[[#This Row],[In]]&gt;$C$2,Table57[[#This Row],[In]]-$C$2,""),"")</f>
        <v/>
      </c>
      <c r="J848" s="31" t="str">
        <f>IF(Table57[[#This Row],[Work_Hours]]=0,"",(IF(Table57[[#This Row],[Out]]&lt;$C$3,$C$3-Table57[[#This Row],[Out]],"")))</f>
        <v/>
      </c>
      <c r="K848" s="32" t="str">
        <f>IFERROR(Table57[[#This Row],[In]]+$C$1,"")</f>
        <v/>
      </c>
      <c r="L848" s="29"/>
      <c r="M848" s="31" t="str">
        <f>IF($C$2&gt;Table57[[#This Row],[In]],$C$2-Table57[[#This Row],[In]],"")</f>
        <v/>
      </c>
      <c r="N848" s="29" t="str">
        <f>IFERROR(IF(Table57[[#This Row],[Out]]&gt;$C$3,(Table57[[#This Row],[Out]])-($C$3),""),"")</f>
        <v/>
      </c>
    </row>
    <row r="849" spans="1:14" hidden="1" x14ac:dyDescent="0.25">
      <c r="A849" s="23" t="str">
        <f>Table57[[#This Row],[No.]]&amp;Table57[[#This Row],[Date]]</f>
        <v>00</v>
      </c>
      <c r="B849" s="22">
        <f>'Unique Dates'!A846</f>
        <v>0</v>
      </c>
      <c r="C849" s="22" t="e" cm="1">
        <f t="array" ref="C849">_xlfn.XLOOKUP(Table57[[#This Row],[No.]],Table2[[#All],[CODE]],Table2[[#All],[NAME]],,0,1)</f>
        <v>#N/A</v>
      </c>
      <c r="D849" s="6">
        <f>'Unique Dates'!B846</f>
        <v>0</v>
      </c>
      <c r="E849" t="str">
        <f>TEXT(Table57[[#This Row],[Date]],"dddd")</f>
        <v>Saturday</v>
      </c>
      <c r="F849" s="25" t="str" cm="1">
        <f t="array" ref="F849">IFERROR(_xlfn.XLOOKUP(Table57[[#This Row],[Code]],Table1[[#All],[Code]],Table1[[#All],[Time]],,0,1),"")</f>
        <v/>
      </c>
      <c r="G849" s="25" t="str" cm="1">
        <f t="array" ref="G849">IFERROR(_xlfn.XLOOKUP(Table57[[#This Row],[Code]],Table1[[#All],[Code]],Table1[[#All],[Time]],,0,-1),"")</f>
        <v/>
      </c>
      <c r="H849" s="23" t="str">
        <f>IFERROR(IF(Table57[[#This Row],[Out]]&gt;=Table57[[#This Row],[In]],Table57[[#This Row],[Out]]-Table57[[#This Row],[In]],(0.5+Table57[[#This Row],[Out]])-Table57[[#This Row],[In]]),"")</f>
        <v/>
      </c>
      <c r="I849" s="31" t="str">
        <f>IFERROR(IF(Table57[[#This Row],[In]]&gt;$C$2,Table57[[#This Row],[In]]-$C$2,""),"")</f>
        <v/>
      </c>
      <c r="J849" s="31" t="str">
        <f>IF(Table57[[#This Row],[Work_Hours]]=0,"",(IF(Table57[[#This Row],[Out]]&lt;$C$3,$C$3-Table57[[#This Row],[Out]],"")))</f>
        <v/>
      </c>
      <c r="K849" s="32" t="str">
        <f>IFERROR(Table57[[#This Row],[In]]+$C$1,"")</f>
        <v/>
      </c>
      <c r="L849" s="29"/>
      <c r="M849" s="31" t="str">
        <f>IF($C$2&gt;Table57[[#This Row],[In]],$C$2-Table57[[#This Row],[In]],"")</f>
        <v/>
      </c>
      <c r="N849" s="29" t="str">
        <f>IFERROR(IF(Table57[[#This Row],[Out]]&gt;$C$3,(Table57[[#This Row],[Out]])-($C$3),""),"")</f>
        <v/>
      </c>
    </row>
    <row r="850" spans="1:14" hidden="1" x14ac:dyDescent="0.25">
      <c r="A850" s="23" t="str">
        <f>Table57[[#This Row],[No.]]&amp;Table57[[#This Row],[Date]]</f>
        <v>00</v>
      </c>
      <c r="B850" s="22">
        <f>'Unique Dates'!A847</f>
        <v>0</v>
      </c>
      <c r="C850" s="22" t="e" cm="1">
        <f t="array" ref="C850">_xlfn.XLOOKUP(Table57[[#This Row],[No.]],Table2[[#All],[CODE]],Table2[[#All],[NAME]],,0,1)</f>
        <v>#N/A</v>
      </c>
      <c r="D850" s="6">
        <f>'Unique Dates'!B847</f>
        <v>0</v>
      </c>
      <c r="E850" t="str">
        <f>TEXT(Table57[[#This Row],[Date]],"dddd")</f>
        <v>Saturday</v>
      </c>
      <c r="F850" s="25" t="str" cm="1">
        <f t="array" ref="F850">IFERROR(_xlfn.XLOOKUP(Table57[[#This Row],[Code]],Table1[[#All],[Code]],Table1[[#All],[Time]],,0,1),"")</f>
        <v/>
      </c>
      <c r="G850" s="25" t="str" cm="1">
        <f t="array" ref="G850">IFERROR(_xlfn.XLOOKUP(Table57[[#This Row],[Code]],Table1[[#All],[Code]],Table1[[#All],[Time]],,0,-1),"")</f>
        <v/>
      </c>
      <c r="H850" s="23" t="str">
        <f>IFERROR(IF(Table57[[#This Row],[Out]]&gt;=Table57[[#This Row],[In]],Table57[[#This Row],[Out]]-Table57[[#This Row],[In]],(0.5+Table57[[#This Row],[Out]])-Table57[[#This Row],[In]]),"")</f>
        <v/>
      </c>
      <c r="I850" s="31" t="str">
        <f>IFERROR(IF(Table57[[#This Row],[In]]&gt;$C$2,Table57[[#This Row],[In]]-$C$2,""),"")</f>
        <v/>
      </c>
      <c r="J850" s="31" t="str">
        <f>IF(Table57[[#This Row],[Work_Hours]]=0,"",(IF(Table57[[#This Row],[Out]]&lt;$C$3,$C$3-Table57[[#This Row],[Out]],"")))</f>
        <v/>
      </c>
      <c r="K850" s="32" t="str">
        <f>IFERROR(Table57[[#This Row],[In]]+$C$1,"")</f>
        <v/>
      </c>
      <c r="L850" s="29"/>
      <c r="M850" s="31" t="str">
        <f>IF($C$2&gt;Table57[[#This Row],[In]],$C$2-Table57[[#This Row],[In]],"")</f>
        <v/>
      </c>
      <c r="N850" s="29" t="str">
        <f>IFERROR(IF(Table57[[#This Row],[Out]]&gt;$C$3,(Table57[[#This Row],[Out]])-($C$3),""),"")</f>
        <v/>
      </c>
    </row>
    <row r="851" spans="1:14" hidden="1" x14ac:dyDescent="0.25">
      <c r="A851" s="23" t="str">
        <f>Table57[[#This Row],[No.]]&amp;Table57[[#This Row],[Date]]</f>
        <v>00</v>
      </c>
      <c r="B851" s="22">
        <f>'Unique Dates'!A848</f>
        <v>0</v>
      </c>
      <c r="C851" s="22" t="e" cm="1">
        <f t="array" ref="C851">_xlfn.XLOOKUP(Table57[[#This Row],[No.]],Table2[[#All],[CODE]],Table2[[#All],[NAME]],,0,1)</f>
        <v>#N/A</v>
      </c>
      <c r="D851" s="6">
        <f>'Unique Dates'!B848</f>
        <v>0</v>
      </c>
      <c r="E851" t="str">
        <f>TEXT(Table57[[#This Row],[Date]],"dddd")</f>
        <v>Saturday</v>
      </c>
      <c r="F851" s="25" t="str" cm="1">
        <f t="array" ref="F851">IFERROR(_xlfn.XLOOKUP(Table57[[#This Row],[Code]],Table1[[#All],[Code]],Table1[[#All],[Time]],,0,1),"")</f>
        <v/>
      </c>
      <c r="G851" s="25" t="str" cm="1">
        <f t="array" ref="G851">IFERROR(_xlfn.XLOOKUP(Table57[[#This Row],[Code]],Table1[[#All],[Code]],Table1[[#All],[Time]],,0,-1),"")</f>
        <v/>
      </c>
      <c r="H851" s="23" t="str">
        <f>IFERROR(IF(Table57[[#This Row],[Out]]&gt;=Table57[[#This Row],[In]],Table57[[#This Row],[Out]]-Table57[[#This Row],[In]],(0.5+Table57[[#This Row],[Out]])-Table57[[#This Row],[In]]),"")</f>
        <v/>
      </c>
      <c r="I851" s="31" t="str">
        <f>IFERROR(IF(Table57[[#This Row],[In]]&gt;$C$2,Table57[[#This Row],[In]]-$C$2,""),"")</f>
        <v/>
      </c>
      <c r="J851" s="31" t="str">
        <f>IF(Table57[[#This Row],[Work_Hours]]=0,"",(IF(Table57[[#This Row],[Out]]&lt;$C$3,$C$3-Table57[[#This Row],[Out]],"")))</f>
        <v/>
      </c>
      <c r="K851" s="32" t="str">
        <f>IFERROR(Table57[[#This Row],[In]]+$C$1,"")</f>
        <v/>
      </c>
      <c r="L851" s="29"/>
      <c r="M851" s="31" t="str">
        <f>IF($C$2&gt;Table57[[#This Row],[In]],$C$2-Table57[[#This Row],[In]],"")</f>
        <v/>
      </c>
      <c r="N851" s="29" t="str">
        <f>IFERROR(IF(Table57[[#This Row],[Out]]&gt;$C$3,(Table57[[#This Row],[Out]])-($C$3),""),"")</f>
        <v/>
      </c>
    </row>
    <row r="852" spans="1:14" hidden="1" x14ac:dyDescent="0.25">
      <c r="A852" s="23" t="str">
        <f>Table57[[#This Row],[No.]]&amp;Table57[[#This Row],[Date]]</f>
        <v>00</v>
      </c>
      <c r="B852" s="22">
        <f>'Unique Dates'!A849</f>
        <v>0</v>
      </c>
      <c r="C852" s="22" t="e" cm="1">
        <f t="array" ref="C852">_xlfn.XLOOKUP(Table57[[#This Row],[No.]],Table2[[#All],[CODE]],Table2[[#All],[NAME]],,0,1)</f>
        <v>#N/A</v>
      </c>
      <c r="D852" s="6">
        <f>'Unique Dates'!B849</f>
        <v>0</v>
      </c>
      <c r="E852" t="str">
        <f>TEXT(Table57[[#This Row],[Date]],"dddd")</f>
        <v>Saturday</v>
      </c>
      <c r="F852" s="25" t="str" cm="1">
        <f t="array" ref="F852">IFERROR(_xlfn.XLOOKUP(Table57[[#This Row],[Code]],Table1[[#All],[Code]],Table1[[#All],[Time]],,0,1),"")</f>
        <v/>
      </c>
      <c r="G852" s="25" t="str" cm="1">
        <f t="array" ref="G852">IFERROR(_xlfn.XLOOKUP(Table57[[#This Row],[Code]],Table1[[#All],[Code]],Table1[[#All],[Time]],,0,-1),"")</f>
        <v/>
      </c>
      <c r="H852" s="23" t="str">
        <f>IFERROR(IF(Table57[[#This Row],[Out]]&gt;=Table57[[#This Row],[In]],Table57[[#This Row],[Out]]-Table57[[#This Row],[In]],(0.5+Table57[[#This Row],[Out]])-Table57[[#This Row],[In]]),"")</f>
        <v/>
      </c>
      <c r="I852" s="31" t="str">
        <f>IFERROR(IF(Table57[[#This Row],[In]]&gt;$C$2,Table57[[#This Row],[In]]-$C$2,""),"")</f>
        <v/>
      </c>
      <c r="J852" s="31" t="str">
        <f>IF(Table57[[#This Row],[Work_Hours]]=0,"",(IF(Table57[[#This Row],[Out]]&lt;$C$3,$C$3-Table57[[#This Row],[Out]],"")))</f>
        <v/>
      </c>
      <c r="K852" s="32" t="str">
        <f>IFERROR(Table57[[#This Row],[In]]+$C$1,"")</f>
        <v/>
      </c>
      <c r="L852" s="29"/>
      <c r="M852" s="31" t="str">
        <f>IF($C$2&gt;Table57[[#This Row],[In]],$C$2-Table57[[#This Row],[In]],"")</f>
        <v/>
      </c>
      <c r="N852" s="29" t="str">
        <f>IFERROR(IF(Table57[[#This Row],[Out]]&gt;$C$3,(Table57[[#This Row],[Out]])-($C$3),""),"")</f>
        <v/>
      </c>
    </row>
    <row r="853" spans="1:14" hidden="1" x14ac:dyDescent="0.25">
      <c r="A853" s="23" t="str">
        <f>Table57[[#This Row],[No.]]&amp;Table57[[#This Row],[Date]]</f>
        <v>00</v>
      </c>
      <c r="B853" s="22">
        <f>'Unique Dates'!A850</f>
        <v>0</v>
      </c>
      <c r="C853" s="22" t="e" cm="1">
        <f t="array" ref="C853">_xlfn.XLOOKUP(Table57[[#This Row],[No.]],Table2[[#All],[CODE]],Table2[[#All],[NAME]],,0,1)</f>
        <v>#N/A</v>
      </c>
      <c r="D853" s="6">
        <f>'Unique Dates'!B850</f>
        <v>0</v>
      </c>
      <c r="E853" t="str">
        <f>TEXT(Table57[[#This Row],[Date]],"dddd")</f>
        <v>Saturday</v>
      </c>
      <c r="F853" s="25" t="str" cm="1">
        <f t="array" ref="F853">IFERROR(_xlfn.XLOOKUP(Table57[[#This Row],[Code]],Table1[[#All],[Code]],Table1[[#All],[Time]],,0,1),"")</f>
        <v/>
      </c>
      <c r="G853" s="25" t="str" cm="1">
        <f t="array" ref="G853">IFERROR(_xlfn.XLOOKUP(Table57[[#This Row],[Code]],Table1[[#All],[Code]],Table1[[#All],[Time]],,0,-1),"")</f>
        <v/>
      </c>
      <c r="H853" s="23" t="str">
        <f>IFERROR(IF(Table57[[#This Row],[Out]]&gt;=Table57[[#This Row],[In]],Table57[[#This Row],[Out]]-Table57[[#This Row],[In]],(0.5+Table57[[#This Row],[Out]])-Table57[[#This Row],[In]]),"")</f>
        <v/>
      </c>
      <c r="I853" s="31" t="str">
        <f>IFERROR(IF(Table57[[#This Row],[In]]&gt;$C$2,Table57[[#This Row],[In]]-$C$2,""),"")</f>
        <v/>
      </c>
      <c r="J853" s="31" t="str">
        <f>IF(Table57[[#This Row],[Work_Hours]]=0,"",(IF(Table57[[#This Row],[Out]]&lt;$C$3,$C$3-Table57[[#This Row],[Out]],"")))</f>
        <v/>
      </c>
      <c r="K853" s="32" t="str">
        <f>IFERROR(Table57[[#This Row],[In]]+$C$1,"")</f>
        <v/>
      </c>
      <c r="L853" s="29"/>
      <c r="M853" s="31" t="str">
        <f>IF($C$2&gt;Table57[[#This Row],[In]],$C$2-Table57[[#This Row],[In]],"")</f>
        <v/>
      </c>
      <c r="N853" s="29" t="str">
        <f>IFERROR(IF(Table57[[#This Row],[Out]]&gt;$C$3,(Table57[[#This Row],[Out]])-($C$3),""),"")</f>
        <v/>
      </c>
    </row>
    <row r="854" spans="1:14" hidden="1" x14ac:dyDescent="0.25">
      <c r="A854" s="23" t="str">
        <f>Table57[[#This Row],[No.]]&amp;Table57[[#This Row],[Date]]</f>
        <v>00</v>
      </c>
      <c r="B854" s="22">
        <f>'Unique Dates'!A851</f>
        <v>0</v>
      </c>
      <c r="C854" s="22" t="e" cm="1">
        <f t="array" ref="C854">_xlfn.XLOOKUP(Table57[[#This Row],[No.]],Table2[[#All],[CODE]],Table2[[#All],[NAME]],,0,1)</f>
        <v>#N/A</v>
      </c>
      <c r="D854" s="6">
        <f>'Unique Dates'!B851</f>
        <v>0</v>
      </c>
      <c r="E854" t="str">
        <f>TEXT(Table57[[#This Row],[Date]],"dddd")</f>
        <v>Saturday</v>
      </c>
      <c r="F854" s="25" t="str" cm="1">
        <f t="array" ref="F854">IFERROR(_xlfn.XLOOKUP(Table57[[#This Row],[Code]],Table1[[#All],[Code]],Table1[[#All],[Time]],,0,1),"")</f>
        <v/>
      </c>
      <c r="G854" s="25" t="str" cm="1">
        <f t="array" ref="G854">IFERROR(_xlfn.XLOOKUP(Table57[[#This Row],[Code]],Table1[[#All],[Code]],Table1[[#All],[Time]],,0,-1),"")</f>
        <v/>
      </c>
      <c r="H854" s="23" t="str">
        <f>IFERROR(IF(Table57[[#This Row],[Out]]&gt;=Table57[[#This Row],[In]],Table57[[#This Row],[Out]]-Table57[[#This Row],[In]],(0.5+Table57[[#This Row],[Out]])-Table57[[#This Row],[In]]),"")</f>
        <v/>
      </c>
      <c r="I854" s="31" t="str">
        <f>IFERROR(IF(Table57[[#This Row],[In]]&gt;$C$2,Table57[[#This Row],[In]]-$C$2,""),"")</f>
        <v/>
      </c>
      <c r="J854" s="31" t="str">
        <f>IF(Table57[[#This Row],[Work_Hours]]=0,"",(IF(Table57[[#This Row],[Out]]&lt;$C$3,$C$3-Table57[[#This Row],[Out]],"")))</f>
        <v/>
      </c>
      <c r="K854" s="32" t="str">
        <f>IFERROR(Table57[[#This Row],[In]]+$C$1,"")</f>
        <v/>
      </c>
      <c r="L854" s="29"/>
      <c r="M854" s="31" t="str">
        <f>IF($C$2&gt;Table57[[#This Row],[In]],$C$2-Table57[[#This Row],[In]],"")</f>
        <v/>
      </c>
      <c r="N854" s="29" t="str">
        <f>IFERROR(IF(Table57[[#This Row],[Out]]&gt;$C$3,(Table57[[#This Row],[Out]])-($C$3),""),"")</f>
        <v/>
      </c>
    </row>
    <row r="855" spans="1:14" hidden="1" x14ac:dyDescent="0.25">
      <c r="A855" s="23" t="str">
        <f>Table57[[#This Row],[No.]]&amp;Table57[[#This Row],[Date]]</f>
        <v>00</v>
      </c>
      <c r="B855" s="22">
        <f>'Unique Dates'!A852</f>
        <v>0</v>
      </c>
      <c r="C855" s="22" t="e" cm="1">
        <f t="array" ref="C855">_xlfn.XLOOKUP(Table57[[#This Row],[No.]],Table2[[#All],[CODE]],Table2[[#All],[NAME]],,0,1)</f>
        <v>#N/A</v>
      </c>
      <c r="D855" s="6">
        <f>'Unique Dates'!B852</f>
        <v>0</v>
      </c>
      <c r="E855" t="str">
        <f>TEXT(Table57[[#This Row],[Date]],"dddd")</f>
        <v>Saturday</v>
      </c>
      <c r="F855" s="25" t="str" cm="1">
        <f t="array" ref="F855">IFERROR(_xlfn.XLOOKUP(Table57[[#This Row],[Code]],Table1[[#All],[Code]],Table1[[#All],[Time]],,0,1),"")</f>
        <v/>
      </c>
      <c r="G855" s="25" t="str" cm="1">
        <f t="array" ref="G855">IFERROR(_xlfn.XLOOKUP(Table57[[#This Row],[Code]],Table1[[#All],[Code]],Table1[[#All],[Time]],,0,-1),"")</f>
        <v/>
      </c>
      <c r="H855" s="23" t="str">
        <f>IFERROR(IF(Table57[[#This Row],[Out]]&gt;=Table57[[#This Row],[In]],Table57[[#This Row],[Out]]-Table57[[#This Row],[In]],(0.5+Table57[[#This Row],[Out]])-Table57[[#This Row],[In]]),"")</f>
        <v/>
      </c>
      <c r="I855" s="31" t="str">
        <f>IFERROR(IF(Table57[[#This Row],[In]]&gt;$C$2,Table57[[#This Row],[In]]-$C$2,""),"")</f>
        <v/>
      </c>
      <c r="J855" s="31" t="str">
        <f>IF(Table57[[#This Row],[Work_Hours]]=0,"",(IF(Table57[[#This Row],[Out]]&lt;$C$3,$C$3-Table57[[#This Row],[Out]],"")))</f>
        <v/>
      </c>
      <c r="K855" s="32" t="str">
        <f>IFERROR(Table57[[#This Row],[In]]+$C$1,"")</f>
        <v/>
      </c>
      <c r="L855" s="29"/>
      <c r="M855" s="31" t="str">
        <f>IF($C$2&gt;Table57[[#This Row],[In]],$C$2-Table57[[#This Row],[In]],"")</f>
        <v/>
      </c>
      <c r="N855" s="29" t="str">
        <f>IFERROR(IF(Table57[[#This Row],[Out]]&gt;$C$3,(Table57[[#This Row],[Out]])-($C$3),""),"")</f>
        <v/>
      </c>
    </row>
    <row r="856" spans="1:14" hidden="1" x14ac:dyDescent="0.25">
      <c r="A856" s="23" t="str">
        <f>Table57[[#This Row],[No.]]&amp;Table57[[#This Row],[Date]]</f>
        <v>00</v>
      </c>
      <c r="B856" s="22">
        <f>'Unique Dates'!A853</f>
        <v>0</v>
      </c>
      <c r="C856" s="22" t="e" cm="1">
        <f t="array" ref="C856">_xlfn.XLOOKUP(Table57[[#This Row],[No.]],Table2[[#All],[CODE]],Table2[[#All],[NAME]],,0,1)</f>
        <v>#N/A</v>
      </c>
      <c r="D856" s="6">
        <f>'Unique Dates'!B853</f>
        <v>0</v>
      </c>
      <c r="E856" t="str">
        <f>TEXT(Table57[[#This Row],[Date]],"dddd")</f>
        <v>Saturday</v>
      </c>
      <c r="F856" s="25" t="str" cm="1">
        <f t="array" ref="F856">IFERROR(_xlfn.XLOOKUP(Table57[[#This Row],[Code]],Table1[[#All],[Code]],Table1[[#All],[Time]],,0,1),"")</f>
        <v/>
      </c>
      <c r="G856" s="25" t="str" cm="1">
        <f t="array" ref="G856">IFERROR(_xlfn.XLOOKUP(Table57[[#This Row],[Code]],Table1[[#All],[Code]],Table1[[#All],[Time]],,0,-1),"")</f>
        <v/>
      </c>
      <c r="H856" s="23" t="str">
        <f>IFERROR(IF(Table57[[#This Row],[Out]]&gt;=Table57[[#This Row],[In]],Table57[[#This Row],[Out]]-Table57[[#This Row],[In]],(0.5+Table57[[#This Row],[Out]])-Table57[[#This Row],[In]]),"")</f>
        <v/>
      </c>
      <c r="I856" s="31" t="str">
        <f>IFERROR(IF(Table57[[#This Row],[In]]&gt;$C$2,Table57[[#This Row],[In]]-$C$2,""),"")</f>
        <v/>
      </c>
      <c r="J856" s="31" t="str">
        <f>IF(Table57[[#This Row],[Work_Hours]]=0,"",(IF(Table57[[#This Row],[Out]]&lt;$C$3,$C$3-Table57[[#This Row],[Out]],"")))</f>
        <v/>
      </c>
      <c r="K856" s="32" t="str">
        <f>IFERROR(Table57[[#This Row],[In]]+$C$1,"")</f>
        <v/>
      </c>
      <c r="L856" s="29"/>
      <c r="M856" s="31" t="str">
        <f>IF($C$2&gt;Table57[[#This Row],[In]],$C$2-Table57[[#This Row],[In]],"")</f>
        <v/>
      </c>
      <c r="N856" s="29" t="str">
        <f>IFERROR(IF(Table57[[#This Row],[Out]]&gt;$C$3,(Table57[[#This Row],[Out]])-($C$3),""),"")</f>
        <v/>
      </c>
    </row>
    <row r="857" spans="1:14" hidden="1" x14ac:dyDescent="0.25">
      <c r="A857" s="23" t="str">
        <f>Table57[[#This Row],[No.]]&amp;Table57[[#This Row],[Date]]</f>
        <v>00</v>
      </c>
      <c r="B857" s="22">
        <f>'Unique Dates'!A854</f>
        <v>0</v>
      </c>
      <c r="C857" s="22" t="e" cm="1">
        <f t="array" ref="C857">_xlfn.XLOOKUP(Table57[[#This Row],[No.]],Table2[[#All],[CODE]],Table2[[#All],[NAME]],,0,1)</f>
        <v>#N/A</v>
      </c>
      <c r="D857" s="6">
        <f>'Unique Dates'!B854</f>
        <v>0</v>
      </c>
      <c r="E857" t="str">
        <f>TEXT(Table57[[#This Row],[Date]],"dddd")</f>
        <v>Saturday</v>
      </c>
      <c r="F857" s="25" t="str" cm="1">
        <f t="array" ref="F857">IFERROR(_xlfn.XLOOKUP(Table57[[#This Row],[Code]],Table1[[#All],[Code]],Table1[[#All],[Time]],,0,1),"")</f>
        <v/>
      </c>
      <c r="G857" s="25" t="str" cm="1">
        <f t="array" ref="G857">IFERROR(_xlfn.XLOOKUP(Table57[[#This Row],[Code]],Table1[[#All],[Code]],Table1[[#All],[Time]],,0,-1),"")</f>
        <v/>
      </c>
      <c r="H857" s="23" t="str">
        <f>IFERROR(IF(Table57[[#This Row],[Out]]&gt;=Table57[[#This Row],[In]],Table57[[#This Row],[Out]]-Table57[[#This Row],[In]],(0.5+Table57[[#This Row],[Out]])-Table57[[#This Row],[In]]),"")</f>
        <v/>
      </c>
      <c r="I857" s="31" t="str">
        <f>IFERROR(IF(Table57[[#This Row],[In]]&gt;$C$2,Table57[[#This Row],[In]]-$C$2,""),"")</f>
        <v/>
      </c>
      <c r="J857" s="31" t="str">
        <f>IF(Table57[[#This Row],[Work_Hours]]=0,"",(IF(Table57[[#This Row],[Out]]&lt;$C$3,$C$3-Table57[[#This Row],[Out]],"")))</f>
        <v/>
      </c>
      <c r="K857" s="32" t="str">
        <f>IFERROR(Table57[[#This Row],[In]]+$C$1,"")</f>
        <v/>
      </c>
      <c r="L857" s="29"/>
      <c r="M857" s="31" t="str">
        <f>IF($C$2&gt;Table57[[#This Row],[In]],$C$2-Table57[[#This Row],[In]],"")</f>
        <v/>
      </c>
      <c r="N857" s="29" t="str">
        <f>IFERROR(IF(Table57[[#This Row],[Out]]&gt;$C$3,(Table57[[#This Row],[Out]])-($C$3),""),"")</f>
        <v/>
      </c>
    </row>
    <row r="858" spans="1:14" hidden="1" x14ac:dyDescent="0.25">
      <c r="A858" s="23" t="str">
        <f>Table57[[#This Row],[No.]]&amp;Table57[[#This Row],[Date]]</f>
        <v>00</v>
      </c>
      <c r="B858" s="22">
        <f>'Unique Dates'!A855</f>
        <v>0</v>
      </c>
      <c r="C858" s="22" t="e" cm="1">
        <f t="array" ref="C858">_xlfn.XLOOKUP(Table57[[#This Row],[No.]],Table2[[#All],[CODE]],Table2[[#All],[NAME]],,0,1)</f>
        <v>#N/A</v>
      </c>
      <c r="D858" s="6">
        <f>'Unique Dates'!B855</f>
        <v>0</v>
      </c>
      <c r="E858" t="str">
        <f>TEXT(Table57[[#This Row],[Date]],"dddd")</f>
        <v>Saturday</v>
      </c>
      <c r="F858" s="25" t="str" cm="1">
        <f t="array" ref="F858">IFERROR(_xlfn.XLOOKUP(Table57[[#This Row],[Code]],Table1[[#All],[Code]],Table1[[#All],[Time]],,0,1),"")</f>
        <v/>
      </c>
      <c r="G858" s="25" t="str" cm="1">
        <f t="array" ref="G858">IFERROR(_xlfn.XLOOKUP(Table57[[#This Row],[Code]],Table1[[#All],[Code]],Table1[[#All],[Time]],,0,-1),"")</f>
        <v/>
      </c>
      <c r="H858" s="23" t="str">
        <f>IFERROR(IF(Table57[[#This Row],[Out]]&gt;=Table57[[#This Row],[In]],Table57[[#This Row],[Out]]-Table57[[#This Row],[In]],(0.5+Table57[[#This Row],[Out]])-Table57[[#This Row],[In]]),"")</f>
        <v/>
      </c>
      <c r="I858" s="31" t="str">
        <f>IFERROR(IF(Table57[[#This Row],[In]]&gt;$C$2,Table57[[#This Row],[In]]-$C$2,""),"")</f>
        <v/>
      </c>
      <c r="J858" s="31" t="str">
        <f>IF(Table57[[#This Row],[Work_Hours]]=0,"",(IF(Table57[[#This Row],[Out]]&lt;$C$3,$C$3-Table57[[#This Row],[Out]],"")))</f>
        <v/>
      </c>
      <c r="K858" s="32" t="str">
        <f>IFERROR(Table57[[#This Row],[In]]+$C$1,"")</f>
        <v/>
      </c>
      <c r="L858" s="29"/>
      <c r="M858" s="31" t="str">
        <f>IF($C$2&gt;Table57[[#This Row],[In]],$C$2-Table57[[#This Row],[In]],"")</f>
        <v/>
      </c>
      <c r="N858" s="29" t="str">
        <f>IFERROR(IF(Table57[[#This Row],[Out]]&gt;$C$3,(Table57[[#This Row],[Out]])-($C$3),""),"")</f>
        <v/>
      </c>
    </row>
    <row r="859" spans="1:14" hidden="1" x14ac:dyDescent="0.25">
      <c r="A859" s="23" t="str">
        <f>Table57[[#This Row],[No.]]&amp;Table57[[#This Row],[Date]]</f>
        <v>00</v>
      </c>
      <c r="B859" s="22">
        <f>'Unique Dates'!A856</f>
        <v>0</v>
      </c>
      <c r="C859" s="22" t="e" cm="1">
        <f t="array" ref="C859">_xlfn.XLOOKUP(Table57[[#This Row],[No.]],Table2[[#All],[CODE]],Table2[[#All],[NAME]],,0,1)</f>
        <v>#N/A</v>
      </c>
      <c r="D859" s="6">
        <f>'Unique Dates'!B856</f>
        <v>0</v>
      </c>
      <c r="E859" t="str">
        <f>TEXT(Table57[[#This Row],[Date]],"dddd")</f>
        <v>Saturday</v>
      </c>
      <c r="F859" s="25" t="str" cm="1">
        <f t="array" ref="F859">IFERROR(_xlfn.XLOOKUP(Table57[[#This Row],[Code]],Table1[[#All],[Code]],Table1[[#All],[Time]],,0,1),"")</f>
        <v/>
      </c>
      <c r="G859" s="25" t="str" cm="1">
        <f t="array" ref="G859">IFERROR(_xlfn.XLOOKUP(Table57[[#This Row],[Code]],Table1[[#All],[Code]],Table1[[#All],[Time]],,0,-1),"")</f>
        <v/>
      </c>
      <c r="H859" s="23" t="str">
        <f>IFERROR(IF(Table57[[#This Row],[Out]]&gt;=Table57[[#This Row],[In]],Table57[[#This Row],[Out]]-Table57[[#This Row],[In]],(0.5+Table57[[#This Row],[Out]])-Table57[[#This Row],[In]]),"")</f>
        <v/>
      </c>
      <c r="I859" s="31" t="str">
        <f>IFERROR(IF(Table57[[#This Row],[In]]&gt;$C$2,Table57[[#This Row],[In]]-$C$2,""),"")</f>
        <v/>
      </c>
      <c r="J859" s="31" t="str">
        <f>IF(Table57[[#This Row],[Work_Hours]]=0,"",(IF(Table57[[#This Row],[Out]]&lt;$C$3,$C$3-Table57[[#This Row],[Out]],"")))</f>
        <v/>
      </c>
      <c r="K859" s="32" t="str">
        <f>IFERROR(Table57[[#This Row],[In]]+$C$1,"")</f>
        <v/>
      </c>
      <c r="L859" s="29"/>
      <c r="M859" s="31" t="str">
        <f>IF($C$2&gt;Table57[[#This Row],[In]],$C$2-Table57[[#This Row],[In]],"")</f>
        <v/>
      </c>
      <c r="N859" s="29" t="str">
        <f>IFERROR(IF(Table57[[#This Row],[Out]]&gt;$C$3,(Table57[[#This Row],[Out]])-($C$3),""),"")</f>
        <v/>
      </c>
    </row>
    <row r="860" spans="1:14" hidden="1" x14ac:dyDescent="0.25">
      <c r="A860" s="23" t="str">
        <f>Table57[[#This Row],[No.]]&amp;Table57[[#This Row],[Date]]</f>
        <v>00</v>
      </c>
      <c r="B860" s="22">
        <f>'Unique Dates'!A857</f>
        <v>0</v>
      </c>
      <c r="C860" s="22" t="e" cm="1">
        <f t="array" ref="C860">_xlfn.XLOOKUP(Table57[[#This Row],[No.]],Table2[[#All],[CODE]],Table2[[#All],[NAME]],,0,1)</f>
        <v>#N/A</v>
      </c>
      <c r="D860" s="6">
        <f>'Unique Dates'!B857</f>
        <v>0</v>
      </c>
      <c r="E860" t="str">
        <f>TEXT(Table57[[#This Row],[Date]],"dddd")</f>
        <v>Saturday</v>
      </c>
      <c r="F860" s="25" t="str" cm="1">
        <f t="array" ref="F860">IFERROR(_xlfn.XLOOKUP(Table57[[#This Row],[Code]],Table1[[#All],[Code]],Table1[[#All],[Time]],,0,1),"")</f>
        <v/>
      </c>
      <c r="G860" s="25" t="str" cm="1">
        <f t="array" ref="G860">IFERROR(_xlfn.XLOOKUP(Table57[[#This Row],[Code]],Table1[[#All],[Code]],Table1[[#All],[Time]],,0,-1),"")</f>
        <v/>
      </c>
      <c r="H860" s="23" t="str">
        <f>IFERROR(IF(Table57[[#This Row],[Out]]&gt;=Table57[[#This Row],[In]],Table57[[#This Row],[Out]]-Table57[[#This Row],[In]],(0.5+Table57[[#This Row],[Out]])-Table57[[#This Row],[In]]),"")</f>
        <v/>
      </c>
      <c r="I860" s="31" t="str">
        <f>IFERROR(IF(Table57[[#This Row],[In]]&gt;$C$2,Table57[[#This Row],[In]]-$C$2,""),"")</f>
        <v/>
      </c>
      <c r="J860" s="31" t="str">
        <f>IF(Table57[[#This Row],[Work_Hours]]=0,"",(IF(Table57[[#This Row],[Out]]&lt;$C$3,$C$3-Table57[[#This Row],[Out]],"")))</f>
        <v/>
      </c>
      <c r="K860" s="32" t="str">
        <f>IFERROR(Table57[[#This Row],[In]]+$C$1,"")</f>
        <v/>
      </c>
      <c r="L860" s="29"/>
      <c r="M860" s="31" t="str">
        <f>IF($C$2&gt;Table57[[#This Row],[In]],$C$2-Table57[[#This Row],[In]],"")</f>
        <v/>
      </c>
      <c r="N860" s="29" t="str">
        <f>IFERROR(IF(Table57[[#This Row],[Out]]&gt;$C$3,(Table57[[#This Row],[Out]])-($C$3),""),"")</f>
        <v/>
      </c>
    </row>
    <row r="861" spans="1:14" hidden="1" x14ac:dyDescent="0.25">
      <c r="A861" s="23" t="str">
        <f>Table57[[#This Row],[No.]]&amp;Table57[[#This Row],[Date]]</f>
        <v>00</v>
      </c>
      <c r="B861" s="22">
        <f>'Unique Dates'!A858</f>
        <v>0</v>
      </c>
      <c r="C861" s="22" t="e" cm="1">
        <f t="array" ref="C861">_xlfn.XLOOKUP(Table57[[#This Row],[No.]],Table2[[#All],[CODE]],Table2[[#All],[NAME]],,0,1)</f>
        <v>#N/A</v>
      </c>
      <c r="D861" s="6">
        <f>'Unique Dates'!B858</f>
        <v>0</v>
      </c>
      <c r="E861" t="str">
        <f>TEXT(Table57[[#This Row],[Date]],"dddd")</f>
        <v>Saturday</v>
      </c>
      <c r="F861" s="25" t="str" cm="1">
        <f t="array" ref="F861">IFERROR(_xlfn.XLOOKUP(Table57[[#This Row],[Code]],Table1[[#All],[Code]],Table1[[#All],[Time]],,0,1),"")</f>
        <v/>
      </c>
      <c r="G861" s="25" t="str" cm="1">
        <f t="array" ref="G861">IFERROR(_xlfn.XLOOKUP(Table57[[#This Row],[Code]],Table1[[#All],[Code]],Table1[[#All],[Time]],,0,-1),"")</f>
        <v/>
      </c>
      <c r="H861" s="23" t="str">
        <f>IFERROR(IF(Table57[[#This Row],[Out]]&gt;=Table57[[#This Row],[In]],Table57[[#This Row],[Out]]-Table57[[#This Row],[In]],(0.5+Table57[[#This Row],[Out]])-Table57[[#This Row],[In]]),"")</f>
        <v/>
      </c>
      <c r="I861" s="31" t="str">
        <f>IFERROR(IF(Table57[[#This Row],[In]]&gt;$C$2,Table57[[#This Row],[In]]-$C$2,""),"")</f>
        <v/>
      </c>
      <c r="J861" s="31" t="str">
        <f>IF(Table57[[#This Row],[Work_Hours]]=0,"",(IF(Table57[[#This Row],[Out]]&lt;$C$3,$C$3-Table57[[#This Row],[Out]],"")))</f>
        <v/>
      </c>
      <c r="K861" s="32" t="str">
        <f>IFERROR(Table57[[#This Row],[In]]+$C$1,"")</f>
        <v/>
      </c>
      <c r="L861" s="29"/>
      <c r="M861" s="31" t="str">
        <f>IF($C$2&gt;Table57[[#This Row],[In]],$C$2-Table57[[#This Row],[In]],"")</f>
        <v/>
      </c>
      <c r="N861" s="29" t="str">
        <f>IFERROR(IF(Table57[[#This Row],[Out]]&gt;$C$3,(Table57[[#This Row],[Out]])-($C$3),""),"")</f>
        <v/>
      </c>
    </row>
    <row r="862" spans="1:14" hidden="1" x14ac:dyDescent="0.25">
      <c r="A862" s="23" t="str">
        <f>Table57[[#This Row],[No.]]&amp;Table57[[#This Row],[Date]]</f>
        <v>00</v>
      </c>
      <c r="B862" s="22">
        <f>'Unique Dates'!A859</f>
        <v>0</v>
      </c>
      <c r="C862" s="22" t="e" cm="1">
        <f t="array" ref="C862">_xlfn.XLOOKUP(Table57[[#This Row],[No.]],Table2[[#All],[CODE]],Table2[[#All],[NAME]],,0,1)</f>
        <v>#N/A</v>
      </c>
      <c r="D862" s="6">
        <f>'Unique Dates'!B859</f>
        <v>0</v>
      </c>
      <c r="E862" t="str">
        <f>TEXT(Table57[[#This Row],[Date]],"dddd")</f>
        <v>Saturday</v>
      </c>
      <c r="F862" s="25" t="str" cm="1">
        <f t="array" ref="F862">IFERROR(_xlfn.XLOOKUP(Table57[[#This Row],[Code]],Table1[[#All],[Code]],Table1[[#All],[Time]],,0,1),"")</f>
        <v/>
      </c>
      <c r="G862" s="25" t="str" cm="1">
        <f t="array" ref="G862">IFERROR(_xlfn.XLOOKUP(Table57[[#This Row],[Code]],Table1[[#All],[Code]],Table1[[#All],[Time]],,0,-1),"")</f>
        <v/>
      </c>
      <c r="H862" s="23" t="str">
        <f>IFERROR(IF(Table57[[#This Row],[Out]]&gt;=Table57[[#This Row],[In]],Table57[[#This Row],[Out]]-Table57[[#This Row],[In]],(0.5+Table57[[#This Row],[Out]])-Table57[[#This Row],[In]]),"")</f>
        <v/>
      </c>
      <c r="I862" s="31" t="str">
        <f>IFERROR(IF(Table57[[#This Row],[In]]&gt;$C$2,Table57[[#This Row],[In]]-$C$2,""),"")</f>
        <v/>
      </c>
      <c r="J862" s="31" t="str">
        <f>IF(Table57[[#This Row],[Work_Hours]]=0,"",(IF(Table57[[#This Row],[Out]]&lt;$C$3,$C$3-Table57[[#This Row],[Out]],"")))</f>
        <v/>
      </c>
      <c r="K862" s="32" t="str">
        <f>IFERROR(Table57[[#This Row],[In]]+$C$1,"")</f>
        <v/>
      </c>
      <c r="L862" s="29"/>
      <c r="M862" s="31" t="str">
        <f>IF($C$2&gt;Table57[[#This Row],[In]],$C$2-Table57[[#This Row],[In]],"")</f>
        <v/>
      </c>
      <c r="N862" s="29" t="str">
        <f>IFERROR(IF(Table57[[#This Row],[Out]]&gt;$C$3,(Table57[[#This Row],[Out]])-($C$3),""),"")</f>
        <v/>
      </c>
    </row>
    <row r="863" spans="1:14" hidden="1" x14ac:dyDescent="0.25">
      <c r="A863" s="23" t="str">
        <f>Table57[[#This Row],[No.]]&amp;Table57[[#This Row],[Date]]</f>
        <v>00</v>
      </c>
      <c r="B863" s="22">
        <f>'Unique Dates'!A860</f>
        <v>0</v>
      </c>
      <c r="C863" s="22" t="e" cm="1">
        <f t="array" ref="C863">_xlfn.XLOOKUP(Table57[[#This Row],[No.]],Table2[[#All],[CODE]],Table2[[#All],[NAME]],,0,1)</f>
        <v>#N/A</v>
      </c>
      <c r="D863" s="6">
        <f>'Unique Dates'!B860</f>
        <v>0</v>
      </c>
      <c r="E863" t="str">
        <f>TEXT(Table57[[#This Row],[Date]],"dddd")</f>
        <v>Saturday</v>
      </c>
      <c r="F863" s="25" t="str" cm="1">
        <f t="array" ref="F863">IFERROR(_xlfn.XLOOKUP(Table57[[#This Row],[Code]],Table1[[#All],[Code]],Table1[[#All],[Time]],,0,1),"")</f>
        <v/>
      </c>
      <c r="G863" s="25" t="str" cm="1">
        <f t="array" ref="G863">IFERROR(_xlfn.XLOOKUP(Table57[[#This Row],[Code]],Table1[[#All],[Code]],Table1[[#All],[Time]],,0,-1),"")</f>
        <v/>
      </c>
      <c r="H863" s="23" t="str">
        <f>IFERROR(IF(Table57[[#This Row],[Out]]&gt;=Table57[[#This Row],[In]],Table57[[#This Row],[Out]]-Table57[[#This Row],[In]],(0.5+Table57[[#This Row],[Out]])-Table57[[#This Row],[In]]),"")</f>
        <v/>
      </c>
      <c r="I863" s="31" t="str">
        <f>IFERROR(IF(Table57[[#This Row],[In]]&gt;$C$2,Table57[[#This Row],[In]]-$C$2,""),"")</f>
        <v/>
      </c>
      <c r="J863" s="31" t="str">
        <f>IF(Table57[[#This Row],[Work_Hours]]=0,"",(IF(Table57[[#This Row],[Out]]&lt;$C$3,$C$3-Table57[[#This Row],[Out]],"")))</f>
        <v/>
      </c>
      <c r="K863" s="32" t="str">
        <f>IFERROR(Table57[[#This Row],[In]]+$C$1,"")</f>
        <v/>
      </c>
      <c r="L863" s="29"/>
      <c r="M863" s="31" t="str">
        <f>IF($C$2&gt;Table57[[#This Row],[In]],$C$2-Table57[[#This Row],[In]],"")</f>
        <v/>
      </c>
      <c r="N863" s="29" t="str">
        <f>IFERROR(IF(Table57[[#This Row],[Out]]&gt;$C$3,(Table57[[#This Row],[Out]])-($C$3),""),"")</f>
        <v/>
      </c>
    </row>
    <row r="864" spans="1:14" hidden="1" x14ac:dyDescent="0.25">
      <c r="A864" s="23" t="str">
        <f>Table57[[#This Row],[No.]]&amp;Table57[[#This Row],[Date]]</f>
        <v>00</v>
      </c>
      <c r="B864" s="22">
        <f>'Unique Dates'!A861</f>
        <v>0</v>
      </c>
      <c r="C864" s="22" t="e" cm="1">
        <f t="array" ref="C864">_xlfn.XLOOKUP(Table57[[#This Row],[No.]],Table2[[#All],[CODE]],Table2[[#All],[NAME]],,0,1)</f>
        <v>#N/A</v>
      </c>
      <c r="D864" s="6">
        <f>'Unique Dates'!B861</f>
        <v>0</v>
      </c>
      <c r="E864" t="str">
        <f>TEXT(Table57[[#This Row],[Date]],"dddd")</f>
        <v>Saturday</v>
      </c>
      <c r="F864" s="25" t="str" cm="1">
        <f t="array" ref="F864">IFERROR(_xlfn.XLOOKUP(Table57[[#This Row],[Code]],Table1[[#All],[Code]],Table1[[#All],[Time]],,0,1),"")</f>
        <v/>
      </c>
      <c r="G864" s="25" t="str" cm="1">
        <f t="array" ref="G864">IFERROR(_xlfn.XLOOKUP(Table57[[#This Row],[Code]],Table1[[#All],[Code]],Table1[[#All],[Time]],,0,-1),"")</f>
        <v/>
      </c>
      <c r="H864" s="23" t="str">
        <f>IFERROR(IF(Table57[[#This Row],[Out]]&gt;=Table57[[#This Row],[In]],Table57[[#This Row],[Out]]-Table57[[#This Row],[In]],(0.5+Table57[[#This Row],[Out]])-Table57[[#This Row],[In]]),"")</f>
        <v/>
      </c>
      <c r="I864" s="31" t="str">
        <f>IFERROR(IF(Table57[[#This Row],[In]]&gt;$C$2,Table57[[#This Row],[In]]-$C$2,""),"")</f>
        <v/>
      </c>
      <c r="J864" s="31" t="str">
        <f>IF(Table57[[#This Row],[Work_Hours]]=0,"",(IF(Table57[[#This Row],[Out]]&lt;$C$3,$C$3-Table57[[#This Row],[Out]],"")))</f>
        <v/>
      </c>
      <c r="K864" s="32" t="str">
        <f>IFERROR(Table57[[#This Row],[In]]+$C$1,"")</f>
        <v/>
      </c>
      <c r="L864" s="29"/>
      <c r="M864" s="31" t="str">
        <f>IF($C$2&gt;Table57[[#This Row],[In]],$C$2-Table57[[#This Row],[In]],"")</f>
        <v/>
      </c>
      <c r="N864" s="29" t="str">
        <f>IFERROR(IF(Table57[[#This Row],[Out]]&gt;$C$3,(Table57[[#This Row],[Out]])-($C$3),""),"")</f>
        <v/>
      </c>
    </row>
    <row r="865" spans="1:14" hidden="1" x14ac:dyDescent="0.25">
      <c r="A865" s="23" t="str">
        <f>Table57[[#This Row],[No.]]&amp;Table57[[#This Row],[Date]]</f>
        <v>00</v>
      </c>
      <c r="B865" s="22">
        <f>'Unique Dates'!A862</f>
        <v>0</v>
      </c>
      <c r="C865" s="22" t="e" cm="1">
        <f t="array" ref="C865">_xlfn.XLOOKUP(Table57[[#This Row],[No.]],Table2[[#All],[CODE]],Table2[[#All],[NAME]],,0,1)</f>
        <v>#N/A</v>
      </c>
      <c r="D865" s="6">
        <f>'Unique Dates'!B862</f>
        <v>0</v>
      </c>
      <c r="E865" t="str">
        <f>TEXT(Table57[[#This Row],[Date]],"dddd")</f>
        <v>Saturday</v>
      </c>
      <c r="F865" s="25" t="str" cm="1">
        <f t="array" ref="F865">IFERROR(_xlfn.XLOOKUP(Table57[[#This Row],[Code]],Table1[[#All],[Code]],Table1[[#All],[Time]],,0,1),"")</f>
        <v/>
      </c>
      <c r="G865" s="25" t="str" cm="1">
        <f t="array" ref="G865">IFERROR(_xlfn.XLOOKUP(Table57[[#This Row],[Code]],Table1[[#All],[Code]],Table1[[#All],[Time]],,0,-1),"")</f>
        <v/>
      </c>
      <c r="H865" s="23" t="str">
        <f>IFERROR(IF(Table57[[#This Row],[Out]]&gt;=Table57[[#This Row],[In]],Table57[[#This Row],[Out]]-Table57[[#This Row],[In]],(0.5+Table57[[#This Row],[Out]])-Table57[[#This Row],[In]]),"")</f>
        <v/>
      </c>
      <c r="I865" s="31" t="str">
        <f>IFERROR(IF(Table57[[#This Row],[In]]&gt;$C$2,Table57[[#This Row],[In]]-$C$2,""),"")</f>
        <v/>
      </c>
      <c r="J865" s="31" t="str">
        <f>IF(Table57[[#This Row],[Work_Hours]]=0,"",(IF(Table57[[#This Row],[Out]]&lt;$C$3,$C$3-Table57[[#This Row],[Out]],"")))</f>
        <v/>
      </c>
      <c r="K865" s="32" t="str">
        <f>IFERROR(Table57[[#This Row],[In]]+$C$1,"")</f>
        <v/>
      </c>
      <c r="L865" s="29"/>
      <c r="M865" s="31" t="str">
        <f>IF($C$2&gt;Table57[[#This Row],[In]],$C$2-Table57[[#This Row],[In]],"")</f>
        <v/>
      </c>
      <c r="N865" s="29" t="str">
        <f>IFERROR(IF(Table57[[#This Row],[Out]]&gt;$C$3,(Table57[[#This Row],[Out]])-($C$3),""),"")</f>
        <v/>
      </c>
    </row>
    <row r="866" spans="1:14" hidden="1" x14ac:dyDescent="0.25">
      <c r="A866" s="23" t="str">
        <f>Table57[[#This Row],[No.]]&amp;Table57[[#This Row],[Date]]</f>
        <v>00</v>
      </c>
      <c r="B866" s="22">
        <f>'Unique Dates'!A863</f>
        <v>0</v>
      </c>
      <c r="C866" s="22" t="e" cm="1">
        <f t="array" ref="C866">_xlfn.XLOOKUP(Table57[[#This Row],[No.]],Table2[[#All],[CODE]],Table2[[#All],[NAME]],,0,1)</f>
        <v>#N/A</v>
      </c>
      <c r="D866" s="6">
        <f>'Unique Dates'!B863</f>
        <v>0</v>
      </c>
      <c r="E866" t="str">
        <f>TEXT(Table57[[#This Row],[Date]],"dddd")</f>
        <v>Saturday</v>
      </c>
      <c r="F866" s="25" t="str" cm="1">
        <f t="array" ref="F866">IFERROR(_xlfn.XLOOKUP(Table57[[#This Row],[Code]],Table1[[#All],[Code]],Table1[[#All],[Time]],,0,1),"")</f>
        <v/>
      </c>
      <c r="G866" s="25" t="str" cm="1">
        <f t="array" ref="G866">IFERROR(_xlfn.XLOOKUP(Table57[[#This Row],[Code]],Table1[[#All],[Code]],Table1[[#All],[Time]],,0,-1),"")</f>
        <v/>
      </c>
      <c r="H866" s="23" t="str">
        <f>IFERROR(IF(Table57[[#This Row],[Out]]&gt;=Table57[[#This Row],[In]],Table57[[#This Row],[Out]]-Table57[[#This Row],[In]],(0.5+Table57[[#This Row],[Out]])-Table57[[#This Row],[In]]),"")</f>
        <v/>
      </c>
      <c r="I866" s="31" t="str">
        <f>IFERROR(IF(Table57[[#This Row],[In]]&gt;$C$2,Table57[[#This Row],[In]]-$C$2,""),"")</f>
        <v/>
      </c>
      <c r="J866" s="31" t="str">
        <f>IF(Table57[[#This Row],[Work_Hours]]=0,"",(IF(Table57[[#This Row],[Out]]&lt;$C$3,$C$3-Table57[[#This Row],[Out]],"")))</f>
        <v/>
      </c>
      <c r="K866" s="32" t="str">
        <f>IFERROR(Table57[[#This Row],[In]]+$C$1,"")</f>
        <v/>
      </c>
      <c r="L866" s="29"/>
      <c r="M866" s="31" t="str">
        <f>IF($C$2&gt;Table57[[#This Row],[In]],$C$2-Table57[[#This Row],[In]],"")</f>
        <v/>
      </c>
      <c r="N866" s="29" t="str">
        <f>IFERROR(IF(Table57[[#This Row],[Out]]&gt;$C$3,(Table57[[#This Row],[Out]])-($C$3),""),"")</f>
        <v/>
      </c>
    </row>
    <row r="867" spans="1:14" hidden="1" x14ac:dyDescent="0.25">
      <c r="A867" s="23" t="str">
        <f>Table57[[#This Row],[No.]]&amp;Table57[[#This Row],[Date]]</f>
        <v>00</v>
      </c>
      <c r="B867" s="22">
        <f>'Unique Dates'!A864</f>
        <v>0</v>
      </c>
      <c r="C867" s="22" t="e" cm="1">
        <f t="array" ref="C867">_xlfn.XLOOKUP(Table57[[#This Row],[No.]],Table2[[#All],[CODE]],Table2[[#All],[NAME]],,0,1)</f>
        <v>#N/A</v>
      </c>
      <c r="D867" s="6">
        <f>'Unique Dates'!B864</f>
        <v>0</v>
      </c>
      <c r="E867" t="str">
        <f>TEXT(Table57[[#This Row],[Date]],"dddd")</f>
        <v>Saturday</v>
      </c>
      <c r="F867" s="25" t="str" cm="1">
        <f t="array" ref="F867">IFERROR(_xlfn.XLOOKUP(Table57[[#This Row],[Code]],Table1[[#All],[Code]],Table1[[#All],[Time]],,0,1),"")</f>
        <v/>
      </c>
      <c r="G867" s="25" t="str" cm="1">
        <f t="array" ref="G867">IFERROR(_xlfn.XLOOKUP(Table57[[#This Row],[Code]],Table1[[#All],[Code]],Table1[[#All],[Time]],,0,-1),"")</f>
        <v/>
      </c>
      <c r="H867" s="23" t="str">
        <f>IFERROR(IF(Table57[[#This Row],[Out]]&gt;=Table57[[#This Row],[In]],Table57[[#This Row],[Out]]-Table57[[#This Row],[In]],(0.5+Table57[[#This Row],[Out]])-Table57[[#This Row],[In]]),"")</f>
        <v/>
      </c>
      <c r="I867" s="31" t="str">
        <f>IFERROR(IF(Table57[[#This Row],[In]]&gt;$C$2,Table57[[#This Row],[In]]-$C$2,""),"")</f>
        <v/>
      </c>
      <c r="J867" s="31" t="str">
        <f>IF(Table57[[#This Row],[Work_Hours]]=0,"",(IF(Table57[[#This Row],[Out]]&lt;$C$3,$C$3-Table57[[#This Row],[Out]],"")))</f>
        <v/>
      </c>
      <c r="K867" s="32" t="str">
        <f>IFERROR(Table57[[#This Row],[In]]+$C$1,"")</f>
        <v/>
      </c>
      <c r="L867" s="29"/>
      <c r="M867" s="31" t="str">
        <f>IF($C$2&gt;Table57[[#This Row],[In]],$C$2-Table57[[#This Row],[In]],"")</f>
        <v/>
      </c>
      <c r="N867" s="29" t="str">
        <f>IFERROR(IF(Table57[[#This Row],[Out]]&gt;$C$3,(Table57[[#This Row],[Out]])-($C$3),""),"")</f>
        <v/>
      </c>
    </row>
    <row r="868" spans="1:14" hidden="1" x14ac:dyDescent="0.25">
      <c r="A868" s="23" t="str">
        <f>Table57[[#This Row],[No.]]&amp;Table57[[#This Row],[Date]]</f>
        <v>00</v>
      </c>
      <c r="B868" s="22">
        <f>'Unique Dates'!A865</f>
        <v>0</v>
      </c>
      <c r="C868" s="22" t="e" cm="1">
        <f t="array" ref="C868">_xlfn.XLOOKUP(Table57[[#This Row],[No.]],Table2[[#All],[CODE]],Table2[[#All],[NAME]],,0,1)</f>
        <v>#N/A</v>
      </c>
      <c r="D868" s="6">
        <f>'Unique Dates'!B865</f>
        <v>0</v>
      </c>
      <c r="E868" t="str">
        <f>TEXT(Table57[[#This Row],[Date]],"dddd")</f>
        <v>Saturday</v>
      </c>
      <c r="F868" s="25" t="str" cm="1">
        <f t="array" ref="F868">IFERROR(_xlfn.XLOOKUP(Table57[[#This Row],[Code]],Table1[[#All],[Code]],Table1[[#All],[Time]],,0,1),"")</f>
        <v/>
      </c>
      <c r="G868" s="25" t="str" cm="1">
        <f t="array" ref="G868">IFERROR(_xlfn.XLOOKUP(Table57[[#This Row],[Code]],Table1[[#All],[Code]],Table1[[#All],[Time]],,0,-1),"")</f>
        <v/>
      </c>
      <c r="H868" s="23" t="str">
        <f>IFERROR(IF(Table57[[#This Row],[Out]]&gt;=Table57[[#This Row],[In]],Table57[[#This Row],[Out]]-Table57[[#This Row],[In]],(0.5+Table57[[#This Row],[Out]])-Table57[[#This Row],[In]]),"")</f>
        <v/>
      </c>
      <c r="I868" s="31" t="str">
        <f>IFERROR(IF(Table57[[#This Row],[In]]&gt;$C$2,Table57[[#This Row],[In]]-$C$2,""),"")</f>
        <v/>
      </c>
      <c r="J868" s="31" t="str">
        <f>IF(Table57[[#This Row],[Work_Hours]]=0,"",(IF(Table57[[#This Row],[Out]]&lt;$C$3,$C$3-Table57[[#This Row],[Out]],"")))</f>
        <v/>
      </c>
      <c r="K868" s="32" t="str">
        <f>IFERROR(Table57[[#This Row],[In]]+$C$1,"")</f>
        <v/>
      </c>
      <c r="L868" s="29"/>
      <c r="M868" s="31" t="str">
        <f>IF($C$2&gt;Table57[[#This Row],[In]],$C$2-Table57[[#This Row],[In]],"")</f>
        <v/>
      </c>
      <c r="N868" s="29" t="str">
        <f>IFERROR(IF(Table57[[#This Row],[Out]]&gt;$C$3,(Table57[[#This Row],[Out]])-($C$3),""),"")</f>
        <v/>
      </c>
    </row>
    <row r="869" spans="1:14" hidden="1" x14ac:dyDescent="0.25">
      <c r="A869" s="23" t="str">
        <f>Table57[[#This Row],[No.]]&amp;Table57[[#This Row],[Date]]</f>
        <v>00</v>
      </c>
      <c r="B869" s="22">
        <f>'Unique Dates'!A866</f>
        <v>0</v>
      </c>
      <c r="C869" s="22" t="e" cm="1">
        <f t="array" ref="C869">_xlfn.XLOOKUP(Table57[[#This Row],[No.]],Table2[[#All],[CODE]],Table2[[#All],[NAME]],,0,1)</f>
        <v>#N/A</v>
      </c>
      <c r="D869" s="6">
        <f>'Unique Dates'!B866</f>
        <v>0</v>
      </c>
      <c r="E869" t="str">
        <f>TEXT(Table57[[#This Row],[Date]],"dddd")</f>
        <v>Saturday</v>
      </c>
      <c r="F869" s="25" t="str" cm="1">
        <f t="array" ref="F869">IFERROR(_xlfn.XLOOKUP(Table57[[#This Row],[Code]],Table1[[#All],[Code]],Table1[[#All],[Time]],,0,1),"")</f>
        <v/>
      </c>
      <c r="G869" s="25" t="str" cm="1">
        <f t="array" ref="G869">IFERROR(_xlfn.XLOOKUP(Table57[[#This Row],[Code]],Table1[[#All],[Code]],Table1[[#All],[Time]],,0,-1),"")</f>
        <v/>
      </c>
      <c r="H869" s="23" t="str">
        <f>IFERROR(IF(Table57[[#This Row],[Out]]&gt;=Table57[[#This Row],[In]],Table57[[#This Row],[Out]]-Table57[[#This Row],[In]],(0.5+Table57[[#This Row],[Out]])-Table57[[#This Row],[In]]),"")</f>
        <v/>
      </c>
      <c r="I869" s="31" t="str">
        <f>IFERROR(IF(Table57[[#This Row],[In]]&gt;$C$2,Table57[[#This Row],[In]]-$C$2,""),"")</f>
        <v/>
      </c>
      <c r="J869" s="31" t="str">
        <f>IF(Table57[[#This Row],[Work_Hours]]=0,"",(IF(Table57[[#This Row],[Out]]&lt;$C$3,$C$3-Table57[[#This Row],[Out]],"")))</f>
        <v/>
      </c>
      <c r="K869" s="32" t="str">
        <f>IFERROR(Table57[[#This Row],[In]]+$C$1,"")</f>
        <v/>
      </c>
      <c r="L869" s="29"/>
      <c r="M869" s="31" t="str">
        <f>IF($C$2&gt;Table57[[#This Row],[In]],$C$2-Table57[[#This Row],[In]],"")</f>
        <v/>
      </c>
      <c r="N869" s="29" t="str">
        <f>IFERROR(IF(Table57[[#This Row],[Out]]&gt;$C$3,(Table57[[#This Row],[Out]])-($C$3),""),"")</f>
        <v/>
      </c>
    </row>
    <row r="870" spans="1:14" hidden="1" x14ac:dyDescent="0.25">
      <c r="A870" s="23" t="str">
        <f>Table57[[#This Row],[No.]]&amp;Table57[[#This Row],[Date]]</f>
        <v>00</v>
      </c>
      <c r="B870" s="22">
        <f>'Unique Dates'!A867</f>
        <v>0</v>
      </c>
      <c r="C870" s="22" t="e" cm="1">
        <f t="array" ref="C870">_xlfn.XLOOKUP(Table57[[#This Row],[No.]],Table2[[#All],[CODE]],Table2[[#All],[NAME]],,0,1)</f>
        <v>#N/A</v>
      </c>
      <c r="D870" s="6">
        <f>'Unique Dates'!B867</f>
        <v>0</v>
      </c>
      <c r="E870" t="str">
        <f>TEXT(Table57[[#This Row],[Date]],"dddd")</f>
        <v>Saturday</v>
      </c>
      <c r="F870" s="25" t="str" cm="1">
        <f t="array" ref="F870">IFERROR(_xlfn.XLOOKUP(Table57[[#This Row],[Code]],Table1[[#All],[Code]],Table1[[#All],[Time]],,0,1),"")</f>
        <v/>
      </c>
      <c r="G870" s="25" t="str" cm="1">
        <f t="array" ref="G870">IFERROR(_xlfn.XLOOKUP(Table57[[#This Row],[Code]],Table1[[#All],[Code]],Table1[[#All],[Time]],,0,-1),"")</f>
        <v/>
      </c>
      <c r="H870" s="23" t="str">
        <f>IFERROR(IF(Table57[[#This Row],[Out]]&gt;=Table57[[#This Row],[In]],Table57[[#This Row],[Out]]-Table57[[#This Row],[In]],(0.5+Table57[[#This Row],[Out]])-Table57[[#This Row],[In]]),"")</f>
        <v/>
      </c>
      <c r="I870" s="31" t="str">
        <f>IFERROR(IF(Table57[[#This Row],[In]]&gt;$C$2,Table57[[#This Row],[In]]-$C$2,""),"")</f>
        <v/>
      </c>
      <c r="J870" s="31" t="str">
        <f>IF(Table57[[#This Row],[Work_Hours]]=0,"",(IF(Table57[[#This Row],[Out]]&lt;$C$3,$C$3-Table57[[#This Row],[Out]],"")))</f>
        <v/>
      </c>
      <c r="K870" s="32" t="str">
        <f>IFERROR(Table57[[#This Row],[In]]+$C$1,"")</f>
        <v/>
      </c>
      <c r="L870" s="29"/>
      <c r="M870" s="31" t="str">
        <f>IF($C$2&gt;Table57[[#This Row],[In]],$C$2-Table57[[#This Row],[In]],"")</f>
        <v/>
      </c>
      <c r="N870" s="29" t="str">
        <f>IFERROR(IF(Table57[[#This Row],[Out]]&gt;$C$3,(Table57[[#This Row],[Out]])-($C$3),""),"")</f>
        <v/>
      </c>
    </row>
    <row r="871" spans="1:14" hidden="1" x14ac:dyDescent="0.25">
      <c r="A871" s="23" t="str">
        <f>Table57[[#This Row],[No.]]&amp;Table57[[#This Row],[Date]]</f>
        <v>00</v>
      </c>
      <c r="B871" s="22">
        <f>'Unique Dates'!A868</f>
        <v>0</v>
      </c>
      <c r="C871" s="22" t="e" cm="1">
        <f t="array" ref="C871">_xlfn.XLOOKUP(Table57[[#This Row],[No.]],Table2[[#All],[CODE]],Table2[[#All],[NAME]],,0,1)</f>
        <v>#N/A</v>
      </c>
      <c r="D871" s="6">
        <f>'Unique Dates'!B868</f>
        <v>0</v>
      </c>
      <c r="E871" t="str">
        <f>TEXT(Table57[[#This Row],[Date]],"dddd")</f>
        <v>Saturday</v>
      </c>
      <c r="F871" s="25" t="str" cm="1">
        <f t="array" ref="F871">IFERROR(_xlfn.XLOOKUP(Table57[[#This Row],[Code]],Table1[[#All],[Code]],Table1[[#All],[Time]],,0,1),"")</f>
        <v/>
      </c>
      <c r="G871" s="25" t="str" cm="1">
        <f t="array" ref="G871">IFERROR(_xlfn.XLOOKUP(Table57[[#This Row],[Code]],Table1[[#All],[Code]],Table1[[#All],[Time]],,0,-1),"")</f>
        <v/>
      </c>
      <c r="H871" s="23" t="str">
        <f>IFERROR(IF(Table57[[#This Row],[Out]]&gt;=Table57[[#This Row],[In]],Table57[[#This Row],[Out]]-Table57[[#This Row],[In]],(0.5+Table57[[#This Row],[Out]])-Table57[[#This Row],[In]]),"")</f>
        <v/>
      </c>
      <c r="I871" s="31" t="str">
        <f>IFERROR(IF(Table57[[#This Row],[In]]&gt;$C$2,Table57[[#This Row],[In]]-$C$2,""),"")</f>
        <v/>
      </c>
      <c r="J871" s="31" t="str">
        <f>IF(Table57[[#This Row],[Work_Hours]]=0,"",(IF(Table57[[#This Row],[Out]]&lt;$C$3,$C$3-Table57[[#This Row],[Out]],"")))</f>
        <v/>
      </c>
      <c r="K871" s="32" t="str">
        <f>IFERROR(Table57[[#This Row],[In]]+$C$1,"")</f>
        <v/>
      </c>
      <c r="L871" s="29"/>
      <c r="M871" s="31" t="str">
        <f>IF($C$2&gt;Table57[[#This Row],[In]],$C$2-Table57[[#This Row],[In]],"")</f>
        <v/>
      </c>
      <c r="N871" s="29" t="str">
        <f>IFERROR(IF(Table57[[#This Row],[Out]]&gt;$C$3,(Table57[[#This Row],[Out]])-($C$3),""),"")</f>
        <v/>
      </c>
    </row>
    <row r="872" spans="1:14" hidden="1" x14ac:dyDescent="0.25">
      <c r="A872" s="23" t="str">
        <f>Table57[[#This Row],[No.]]&amp;Table57[[#This Row],[Date]]</f>
        <v>00</v>
      </c>
      <c r="B872" s="22">
        <f>'Unique Dates'!A869</f>
        <v>0</v>
      </c>
      <c r="C872" s="22" t="e" cm="1">
        <f t="array" ref="C872">_xlfn.XLOOKUP(Table57[[#This Row],[No.]],Table2[[#All],[CODE]],Table2[[#All],[NAME]],,0,1)</f>
        <v>#N/A</v>
      </c>
      <c r="D872" s="6">
        <f>'Unique Dates'!B869</f>
        <v>0</v>
      </c>
      <c r="E872" t="str">
        <f>TEXT(Table57[[#This Row],[Date]],"dddd")</f>
        <v>Saturday</v>
      </c>
      <c r="F872" s="25" t="str" cm="1">
        <f t="array" ref="F872">IFERROR(_xlfn.XLOOKUP(Table57[[#This Row],[Code]],Table1[[#All],[Code]],Table1[[#All],[Time]],,0,1),"")</f>
        <v/>
      </c>
      <c r="G872" s="25" t="str" cm="1">
        <f t="array" ref="G872">IFERROR(_xlfn.XLOOKUP(Table57[[#This Row],[Code]],Table1[[#All],[Code]],Table1[[#All],[Time]],,0,-1),"")</f>
        <v/>
      </c>
      <c r="H872" s="23" t="str">
        <f>IFERROR(IF(Table57[[#This Row],[Out]]&gt;=Table57[[#This Row],[In]],Table57[[#This Row],[Out]]-Table57[[#This Row],[In]],(0.5+Table57[[#This Row],[Out]])-Table57[[#This Row],[In]]),"")</f>
        <v/>
      </c>
      <c r="I872" s="31" t="str">
        <f>IFERROR(IF(Table57[[#This Row],[In]]&gt;$C$2,Table57[[#This Row],[In]]-$C$2,""),"")</f>
        <v/>
      </c>
      <c r="J872" s="31" t="str">
        <f>IF(Table57[[#This Row],[Work_Hours]]=0,"",(IF(Table57[[#This Row],[Out]]&lt;$C$3,$C$3-Table57[[#This Row],[Out]],"")))</f>
        <v/>
      </c>
      <c r="K872" s="32" t="str">
        <f>IFERROR(Table57[[#This Row],[In]]+$C$1,"")</f>
        <v/>
      </c>
      <c r="L872" s="29"/>
      <c r="M872" s="31" t="str">
        <f>IF($C$2&gt;Table57[[#This Row],[In]],$C$2-Table57[[#This Row],[In]],"")</f>
        <v/>
      </c>
      <c r="N872" s="29" t="str">
        <f>IFERROR(IF(Table57[[#This Row],[Out]]&gt;$C$3,(Table57[[#This Row],[Out]])-($C$3),""),"")</f>
        <v/>
      </c>
    </row>
    <row r="873" spans="1:14" hidden="1" x14ac:dyDescent="0.25">
      <c r="A873" s="23" t="str">
        <f>Table57[[#This Row],[No.]]&amp;Table57[[#This Row],[Date]]</f>
        <v>00</v>
      </c>
      <c r="B873" s="22">
        <f>'Unique Dates'!A870</f>
        <v>0</v>
      </c>
      <c r="C873" s="22" t="e" cm="1">
        <f t="array" ref="C873">_xlfn.XLOOKUP(Table57[[#This Row],[No.]],Table2[[#All],[CODE]],Table2[[#All],[NAME]],,0,1)</f>
        <v>#N/A</v>
      </c>
      <c r="D873" s="6">
        <f>'Unique Dates'!B870</f>
        <v>0</v>
      </c>
      <c r="E873" t="str">
        <f>TEXT(Table57[[#This Row],[Date]],"dddd")</f>
        <v>Saturday</v>
      </c>
      <c r="F873" s="25" t="str" cm="1">
        <f t="array" ref="F873">IFERROR(_xlfn.XLOOKUP(Table57[[#This Row],[Code]],Table1[[#All],[Code]],Table1[[#All],[Time]],,0,1),"")</f>
        <v/>
      </c>
      <c r="G873" s="25" t="str" cm="1">
        <f t="array" ref="G873">IFERROR(_xlfn.XLOOKUP(Table57[[#This Row],[Code]],Table1[[#All],[Code]],Table1[[#All],[Time]],,0,-1),"")</f>
        <v/>
      </c>
      <c r="H873" s="23" t="str">
        <f>IFERROR(IF(Table57[[#This Row],[Out]]&gt;=Table57[[#This Row],[In]],Table57[[#This Row],[Out]]-Table57[[#This Row],[In]],(0.5+Table57[[#This Row],[Out]])-Table57[[#This Row],[In]]),"")</f>
        <v/>
      </c>
      <c r="I873" s="31" t="str">
        <f>IFERROR(IF(Table57[[#This Row],[In]]&gt;$C$2,Table57[[#This Row],[In]]-$C$2,""),"")</f>
        <v/>
      </c>
      <c r="J873" s="31" t="str">
        <f>IF(Table57[[#This Row],[Work_Hours]]=0,"",(IF(Table57[[#This Row],[Out]]&lt;$C$3,$C$3-Table57[[#This Row],[Out]],"")))</f>
        <v/>
      </c>
      <c r="K873" s="32" t="str">
        <f>IFERROR(Table57[[#This Row],[In]]+$C$1,"")</f>
        <v/>
      </c>
      <c r="L873" s="29"/>
      <c r="M873" s="31" t="str">
        <f>IF($C$2&gt;Table57[[#This Row],[In]],$C$2-Table57[[#This Row],[In]],"")</f>
        <v/>
      </c>
      <c r="N873" s="29" t="str">
        <f>IFERROR(IF(Table57[[#This Row],[Out]]&gt;$C$3,(Table57[[#This Row],[Out]])-($C$3),""),"")</f>
        <v/>
      </c>
    </row>
    <row r="874" spans="1:14" hidden="1" x14ac:dyDescent="0.25">
      <c r="A874" s="23" t="str">
        <f>Table57[[#This Row],[No.]]&amp;Table57[[#This Row],[Date]]</f>
        <v>00</v>
      </c>
      <c r="B874" s="22">
        <f>'Unique Dates'!A871</f>
        <v>0</v>
      </c>
      <c r="C874" s="22" t="e" cm="1">
        <f t="array" ref="C874">_xlfn.XLOOKUP(Table57[[#This Row],[No.]],Table2[[#All],[CODE]],Table2[[#All],[NAME]],,0,1)</f>
        <v>#N/A</v>
      </c>
      <c r="D874" s="6">
        <f>'Unique Dates'!B871</f>
        <v>0</v>
      </c>
      <c r="E874" t="str">
        <f>TEXT(Table57[[#This Row],[Date]],"dddd")</f>
        <v>Saturday</v>
      </c>
      <c r="F874" s="25" t="str" cm="1">
        <f t="array" ref="F874">IFERROR(_xlfn.XLOOKUP(Table57[[#This Row],[Code]],Table1[[#All],[Code]],Table1[[#All],[Time]],,0,1),"")</f>
        <v/>
      </c>
      <c r="G874" s="25" t="str" cm="1">
        <f t="array" ref="G874">IFERROR(_xlfn.XLOOKUP(Table57[[#This Row],[Code]],Table1[[#All],[Code]],Table1[[#All],[Time]],,0,-1),"")</f>
        <v/>
      </c>
      <c r="H874" s="23" t="str">
        <f>IFERROR(IF(Table57[[#This Row],[Out]]&gt;=Table57[[#This Row],[In]],Table57[[#This Row],[Out]]-Table57[[#This Row],[In]],(0.5+Table57[[#This Row],[Out]])-Table57[[#This Row],[In]]),"")</f>
        <v/>
      </c>
      <c r="I874" s="31" t="str">
        <f>IFERROR(IF(Table57[[#This Row],[In]]&gt;$C$2,Table57[[#This Row],[In]]-$C$2,""),"")</f>
        <v/>
      </c>
      <c r="J874" s="31" t="str">
        <f>IF(Table57[[#This Row],[Work_Hours]]=0,"",(IF(Table57[[#This Row],[Out]]&lt;$C$3,$C$3-Table57[[#This Row],[Out]],"")))</f>
        <v/>
      </c>
      <c r="K874" s="32" t="str">
        <f>IFERROR(Table57[[#This Row],[In]]+$C$1,"")</f>
        <v/>
      </c>
      <c r="L874" s="29"/>
      <c r="M874" s="31" t="str">
        <f>IF($C$2&gt;Table57[[#This Row],[In]],$C$2-Table57[[#This Row],[In]],"")</f>
        <v/>
      </c>
      <c r="N874" s="29" t="str">
        <f>IFERROR(IF(Table57[[#This Row],[Out]]&gt;$C$3,(Table57[[#This Row],[Out]])-($C$3),""),"")</f>
        <v/>
      </c>
    </row>
    <row r="875" spans="1:14" hidden="1" x14ac:dyDescent="0.25">
      <c r="A875" s="23" t="str">
        <f>Table57[[#This Row],[No.]]&amp;Table57[[#This Row],[Date]]</f>
        <v>00</v>
      </c>
      <c r="B875" s="22">
        <f>'Unique Dates'!A872</f>
        <v>0</v>
      </c>
      <c r="C875" s="22" t="e" cm="1">
        <f t="array" ref="C875">_xlfn.XLOOKUP(Table57[[#This Row],[No.]],Table2[[#All],[CODE]],Table2[[#All],[NAME]],,0,1)</f>
        <v>#N/A</v>
      </c>
      <c r="D875" s="6">
        <f>'Unique Dates'!B872</f>
        <v>0</v>
      </c>
      <c r="E875" t="str">
        <f>TEXT(Table57[[#This Row],[Date]],"dddd")</f>
        <v>Saturday</v>
      </c>
      <c r="F875" s="25" t="str" cm="1">
        <f t="array" ref="F875">IFERROR(_xlfn.XLOOKUP(Table57[[#This Row],[Code]],Table1[[#All],[Code]],Table1[[#All],[Time]],,0,1),"")</f>
        <v/>
      </c>
      <c r="G875" s="25" t="str" cm="1">
        <f t="array" ref="G875">IFERROR(_xlfn.XLOOKUP(Table57[[#This Row],[Code]],Table1[[#All],[Code]],Table1[[#All],[Time]],,0,-1),"")</f>
        <v/>
      </c>
      <c r="H875" s="23" t="str">
        <f>IFERROR(IF(Table57[[#This Row],[Out]]&gt;=Table57[[#This Row],[In]],Table57[[#This Row],[Out]]-Table57[[#This Row],[In]],(0.5+Table57[[#This Row],[Out]])-Table57[[#This Row],[In]]),"")</f>
        <v/>
      </c>
      <c r="I875" s="31" t="str">
        <f>IFERROR(IF(Table57[[#This Row],[In]]&gt;$C$2,Table57[[#This Row],[In]]-$C$2,""),"")</f>
        <v/>
      </c>
      <c r="J875" s="31" t="str">
        <f>IF(Table57[[#This Row],[Work_Hours]]=0,"",(IF(Table57[[#This Row],[Out]]&lt;$C$3,$C$3-Table57[[#This Row],[Out]],"")))</f>
        <v/>
      </c>
      <c r="K875" s="32" t="str">
        <f>IFERROR(Table57[[#This Row],[In]]+$C$1,"")</f>
        <v/>
      </c>
      <c r="L875" s="29"/>
      <c r="M875" s="31" t="str">
        <f>IF($C$2&gt;Table57[[#This Row],[In]],$C$2-Table57[[#This Row],[In]],"")</f>
        <v/>
      </c>
      <c r="N875" s="29" t="str">
        <f>IFERROR(IF(Table57[[#This Row],[Out]]&gt;$C$3,(Table57[[#This Row],[Out]])-($C$3),""),"")</f>
        <v/>
      </c>
    </row>
    <row r="876" spans="1:14" hidden="1" x14ac:dyDescent="0.25">
      <c r="A876" s="23" t="str">
        <f>Table57[[#This Row],[No.]]&amp;Table57[[#This Row],[Date]]</f>
        <v>00</v>
      </c>
      <c r="B876" s="22">
        <f>'Unique Dates'!A873</f>
        <v>0</v>
      </c>
      <c r="C876" s="22" t="e" cm="1">
        <f t="array" ref="C876">_xlfn.XLOOKUP(Table57[[#This Row],[No.]],Table2[[#All],[CODE]],Table2[[#All],[NAME]],,0,1)</f>
        <v>#N/A</v>
      </c>
      <c r="D876" s="6">
        <f>'Unique Dates'!B873</f>
        <v>0</v>
      </c>
      <c r="E876" t="str">
        <f>TEXT(Table57[[#This Row],[Date]],"dddd")</f>
        <v>Saturday</v>
      </c>
      <c r="F876" s="25" t="str" cm="1">
        <f t="array" ref="F876">IFERROR(_xlfn.XLOOKUP(Table57[[#This Row],[Code]],Table1[[#All],[Code]],Table1[[#All],[Time]],,0,1),"")</f>
        <v/>
      </c>
      <c r="G876" s="25" t="str" cm="1">
        <f t="array" ref="G876">IFERROR(_xlfn.XLOOKUP(Table57[[#This Row],[Code]],Table1[[#All],[Code]],Table1[[#All],[Time]],,0,-1),"")</f>
        <v/>
      </c>
      <c r="H876" s="23" t="str">
        <f>IFERROR(IF(Table57[[#This Row],[Out]]&gt;=Table57[[#This Row],[In]],Table57[[#This Row],[Out]]-Table57[[#This Row],[In]],(0.5+Table57[[#This Row],[Out]])-Table57[[#This Row],[In]]),"")</f>
        <v/>
      </c>
      <c r="I876" s="31" t="str">
        <f>IFERROR(IF(Table57[[#This Row],[In]]&gt;$C$2,Table57[[#This Row],[In]]-$C$2,""),"")</f>
        <v/>
      </c>
      <c r="J876" s="31" t="str">
        <f>IF(Table57[[#This Row],[Work_Hours]]=0,"",(IF(Table57[[#This Row],[Out]]&lt;$C$3,$C$3-Table57[[#This Row],[Out]],"")))</f>
        <v/>
      </c>
      <c r="K876" s="32" t="str">
        <f>IFERROR(Table57[[#This Row],[In]]+$C$1,"")</f>
        <v/>
      </c>
      <c r="L876" s="29"/>
      <c r="M876" s="31" t="str">
        <f>IF($C$2&gt;Table57[[#This Row],[In]],$C$2-Table57[[#This Row],[In]],"")</f>
        <v/>
      </c>
      <c r="N876" s="29" t="str">
        <f>IFERROR(IF(Table57[[#This Row],[Out]]&gt;$C$3,(Table57[[#This Row],[Out]])-($C$3),""),"")</f>
        <v/>
      </c>
    </row>
    <row r="877" spans="1:14" hidden="1" x14ac:dyDescent="0.25">
      <c r="A877" s="23" t="str">
        <f>Table57[[#This Row],[No.]]&amp;Table57[[#This Row],[Date]]</f>
        <v>00</v>
      </c>
      <c r="B877" s="22">
        <f>'Unique Dates'!A874</f>
        <v>0</v>
      </c>
      <c r="C877" s="22" t="e" cm="1">
        <f t="array" ref="C877">_xlfn.XLOOKUP(Table57[[#This Row],[No.]],Table2[[#All],[CODE]],Table2[[#All],[NAME]],,0,1)</f>
        <v>#N/A</v>
      </c>
      <c r="D877" s="6">
        <f>'Unique Dates'!B874</f>
        <v>0</v>
      </c>
      <c r="E877" t="str">
        <f>TEXT(Table57[[#This Row],[Date]],"dddd")</f>
        <v>Saturday</v>
      </c>
      <c r="F877" s="25" t="str" cm="1">
        <f t="array" ref="F877">IFERROR(_xlfn.XLOOKUP(Table57[[#This Row],[Code]],Table1[[#All],[Code]],Table1[[#All],[Time]],,0,1),"")</f>
        <v/>
      </c>
      <c r="G877" s="25" t="str" cm="1">
        <f t="array" ref="G877">IFERROR(_xlfn.XLOOKUP(Table57[[#This Row],[Code]],Table1[[#All],[Code]],Table1[[#All],[Time]],,0,-1),"")</f>
        <v/>
      </c>
      <c r="H877" s="23" t="str">
        <f>IFERROR(IF(Table57[[#This Row],[Out]]&gt;=Table57[[#This Row],[In]],Table57[[#This Row],[Out]]-Table57[[#This Row],[In]],(0.5+Table57[[#This Row],[Out]])-Table57[[#This Row],[In]]),"")</f>
        <v/>
      </c>
      <c r="I877" s="31" t="str">
        <f>IFERROR(IF(Table57[[#This Row],[In]]&gt;$C$2,Table57[[#This Row],[In]]-$C$2,""),"")</f>
        <v/>
      </c>
      <c r="J877" s="31" t="str">
        <f>IF(Table57[[#This Row],[Work_Hours]]=0,"",(IF(Table57[[#This Row],[Out]]&lt;$C$3,$C$3-Table57[[#This Row],[Out]],"")))</f>
        <v/>
      </c>
      <c r="K877" s="32" t="str">
        <f>IFERROR(Table57[[#This Row],[In]]+$C$1,"")</f>
        <v/>
      </c>
      <c r="L877" s="29"/>
      <c r="M877" s="31" t="str">
        <f>IF($C$2&gt;Table57[[#This Row],[In]],$C$2-Table57[[#This Row],[In]],"")</f>
        <v/>
      </c>
      <c r="N877" s="29" t="str">
        <f>IFERROR(IF(Table57[[#This Row],[Out]]&gt;$C$3,(Table57[[#This Row],[Out]])-($C$3),""),"")</f>
        <v/>
      </c>
    </row>
    <row r="878" spans="1:14" hidden="1" x14ac:dyDescent="0.25">
      <c r="A878" s="23" t="str">
        <f>Table57[[#This Row],[No.]]&amp;Table57[[#This Row],[Date]]</f>
        <v>00</v>
      </c>
      <c r="B878" s="22">
        <f>'Unique Dates'!A875</f>
        <v>0</v>
      </c>
      <c r="C878" s="22" t="e" cm="1">
        <f t="array" ref="C878">_xlfn.XLOOKUP(Table57[[#This Row],[No.]],Table2[[#All],[CODE]],Table2[[#All],[NAME]],,0,1)</f>
        <v>#N/A</v>
      </c>
      <c r="D878" s="6">
        <f>'Unique Dates'!B875</f>
        <v>0</v>
      </c>
      <c r="E878" t="str">
        <f>TEXT(Table57[[#This Row],[Date]],"dddd")</f>
        <v>Saturday</v>
      </c>
      <c r="F878" s="25" t="str" cm="1">
        <f t="array" ref="F878">IFERROR(_xlfn.XLOOKUP(Table57[[#This Row],[Code]],Table1[[#All],[Code]],Table1[[#All],[Time]],,0,1),"")</f>
        <v/>
      </c>
      <c r="G878" s="25" t="str" cm="1">
        <f t="array" ref="G878">IFERROR(_xlfn.XLOOKUP(Table57[[#This Row],[Code]],Table1[[#All],[Code]],Table1[[#All],[Time]],,0,-1),"")</f>
        <v/>
      </c>
      <c r="H878" s="23" t="str">
        <f>IFERROR(IF(Table57[[#This Row],[Out]]&gt;=Table57[[#This Row],[In]],Table57[[#This Row],[Out]]-Table57[[#This Row],[In]],(0.5+Table57[[#This Row],[Out]])-Table57[[#This Row],[In]]),"")</f>
        <v/>
      </c>
      <c r="I878" s="31" t="str">
        <f>IFERROR(IF(Table57[[#This Row],[In]]&gt;$C$2,Table57[[#This Row],[In]]-$C$2,""),"")</f>
        <v/>
      </c>
      <c r="J878" s="31" t="str">
        <f>IF(Table57[[#This Row],[Work_Hours]]=0,"",(IF(Table57[[#This Row],[Out]]&lt;$C$3,$C$3-Table57[[#This Row],[Out]],"")))</f>
        <v/>
      </c>
      <c r="K878" s="32" t="str">
        <f>IFERROR(Table57[[#This Row],[In]]+$C$1,"")</f>
        <v/>
      </c>
      <c r="L878" s="29"/>
      <c r="M878" s="31" t="str">
        <f>IF($C$2&gt;Table57[[#This Row],[In]],$C$2-Table57[[#This Row],[In]],"")</f>
        <v/>
      </c>
      <c r="N878" s="29" t="str">
        <f>IFERROR(IF(Table57[[#This Row],[Out]]&gt;$C$3,(Table57[[#This Row],[Out]])-($C$3),""),"")</f>
        <v/>
      </c>
    </row>
    <row r="879" spans="1:14" hidden="1" x14ac:dyDescent="0.25">
      <c r="A879" s="23" t="str">
        <f>Table57[[#This Row],[No.]]&amp;Table57[[#This Row],[Date]]</f>
        <v>00</v>
      </c>
      <c r="B879" s="22">
        <f>'Unique Dates'!A876</f>
        <v>0</v>
      </c>
      <c r="C879" s="22" t="e" cm="1">
        <f t="array" ref="C879">_xlfn.XLOOKUP(Table57[[#This Row],[No.]],Table2[[#All],[CODE]],Table2[[#All],[NAME]],,0,1)</f>
        <v>#N/A</v>
      </c>
      <c r="D879" s="6">
        <f>'Unique Dates'!B876</f>
        <v>0</v>
      </c>
      <c r="E879" t="str">
        <f>TEXT(Table57[[#This Row],[Date]],"dddd")</f>
        <v>Saturday</v>
      </c>
      <c r="F879" s="25" t="str" cm="1">
        <f t="array" ref="F879">IFERROR(_xlfn.XLOOKUP(Table57[[#This Row],[Code]],Table1[[#All],[Code]],Table1[[#All],[Time]],,0,1),"")</f>
        <v/>
      </c>
      <c r="G879" s="25" t="str" cm="1">
        <f t="array" ref="G879">IFERROR(_xlfn.XLOOKUP(Table57[[#This Row],[Code]],Table1[[#All],[Code]],Table1[[#All],[Time]],,0,-1),"")</f>
        <v/>
      </c>
      <c r="H879" s="23" t="str">
        <f>IFERROR(IF(Table57[[#This Row],[Out]]&gt;=Table57[[#This Row],[In]],Table57[[#This Row],[Out]]-Table57[[#This Row],[In]],(0.5+Table57[[#This Row],[Out]])-Table57[[#This Row],[In]]),"")</f>
        <v/>
      </c>
      <c r="I879" s="31" t="str">
        <f>IFERROR(IF(Table57[[#This Row],[In]]&gt;$C$2,Table57[[#This Row],[In]]-$C$2,""),"")</f>
        <v/>
      </c>
      <c r="J879" s="31" t="str">
        <f>IF(Table57[[#This Row],[Work_Hours]]=0,"",(IF(Table57[[#This Row],[Out]]&lt;$C$3,$C$3-Table57[[#This Row],[Out]],"")))</f>
        <v/>
      </c>
      <c r="K879" s="32" t="str">
        <f>IFERROR(Table57[[#This Row],[In]]+$C$1,"")</f>
        <v/>
      </c>
      <c r="L879" s="29"/>
      <c r="M879" s="31" t="str">
        <f>IF($C$2&gt;Table57[[#This Row],[In]],$C$2-Table57[[#This Row],[In]],"")</f>
        <v/>
      </c>
      <c r="N879" s="29" t="str">
        <f>IFERROR(IF(Table57[[#This Row],[Out]]&gt;$C$3,(Table57[[#This Row],[Out]])-($C$3),""),"")</f>
        <v/>
      </c>
    </row>
    <row r="880" spans="1:14" hidden="1" x14ac:dyDescent="0.25">
      <c r="A880" s="23" t="str">
        <f>Table57[[#This Row],[No.]]&amp;Table57[[#This Row],[Date]]</f>
        <v>00</v>
      </c>
      <c r="B880" s="22">
        <f>'Unique Dates'!A877</f>
        <v>0</v>
      </c>
      <c r="C880" s="22" t="e" cm="1">
        <f t="array" ref="C880">_xlfn.XLOOKUP(Table57[[#This Row],[No.]],Table2[[#All],[CODE]],Table2[[#All],[NAME]],,0,1)</f>
        <v>#N/A</v>
      </c>
      <c r="D880" s="6">
        <f>'Unique Dates'!B877</f>
        <v>0</v>
      </c>
      <c r="E880" t="str">
        <f>TEXT(Table57[[#This Row],[Date]],"dddd")</f>
        <v>Saturday</v>
      </c>
      <c r="F880" s="25" t="str" cm="1">
        <f t="array" ref="F880">IFERROR(_xlfn.XLOOKUP(Table57[[#This Row],[Code]],Table1[[#All],[Code]],Table1[[#All],[Time]],,0,1),"")</f>
        <v/>
      </c>
      <c r="G880" s="25" t="str" cm="1">
        <f t="array" ref="G880">IFERROR(_xlfn.XLOOKUP(Table57[[#This Row],[Code]],Table1[[#All],[Code]],Table1[[#All],[Time]],,0,-1),"")</f>
        <v/>
      </c>
      <c r="H880" s="23" t="str">
        <f>IFERROR(IF(Table57[[#This Row],[Out]]&gt;=Table57[[#This Row],[In]],Table57[[#This Row],[Out]]-Table57[[#This Row],[In]],(0.5+Table57[[#This Row],[Out]])-Table57[[#This Row],[In]]),"")</f>
        <v/>
      </c>
      <c r="I880" s="31" t="str">
        <f>IFERROR(IF(Table57[[#This Row],[In]]&gt;$C$2,Table57[[#This Row],[In]]-$C$2,""),"")</f>
        <v/>
      </c>
      <c r="J880" s="31" t="str">
        <f>IF(Table57[[#This Row],[Work_Hours]]=0,"",(IF(Table57[[#This Row],[Out]]&lt;$C$3,$C$3-Table57[[#This Row],[Out]],"")))</f>
        <v/>
      </c>
      <c r="K880" s="32" t="str">
        <f>IFERROR(Table57[[#This Row],[In]]+$C$1,"")</f>
        <v/>
      </c>
      <c r="L880" s="29"/>
      <c r="M880" s="31" t="str">
        <f>IF($C$2&gt;Table57[[#This Row],[In]],$C$2-Table57[[#This Row],[In]],"")</f>
        <v/>
      </c>
      <c r="N880" s="29" t="str">
        <f>IFERROR(IF(Table57[[#This Row],[Out]]&gt;$C$3,(Table57[[#This Row],[Out]])-($C$3),""),"")</f>
        <v/>
      </c>
    </row>
    <row r="881" spans="1:14" hidden="1" x14ac:dyDescent="0.25">
      <c r="A881" s="23" t="str">
        <f>Table57[[#This Row],[No.]]&amp;Table57[[#This Row],[Date]]</f>
        <v>00</v>
      </c>
      <c r="B881" s="22">
        <f>'Unique Dates'!A878</f>
        <v>0</v>
      </c>
      <c r="C881" s="22" t="e" cm="1">
        <f t="array" ref="C881">_xlfn.XLOOKUP(Table57[[#This Row],[No.]],Table2[[#All],[CODE]],Table2[[#All],[NAME]],,0,1)</f>
        <v>#N/A</v>
      </c>
      <c r="D881" s="6">
        <f>'Unique Dates'!B878</f>
        <v>0</v>
      </c>
      <c r="E881" t="str">
        <f>TEXT(Table57[[#This Row],[Date]],"dddd")</f>
        <v>Saturday</v>
      </c>
      <c r="F881" s="25" t="str" cm="1">
        <f t="array" ref="F881">IFERROR(_xlfn.XLOOKUP(Table57[[#This Row],[Code]],Table1[[#All],[Code]],Table1[[#All],[Time]],,0,1),"")</f>
        <v/>
      </c>
      <c r="G881" s="25" t="str" cm="1">
        <f t="array" ref="G881">IFERROR(_xlfn.XLOOKUP(Table57[[#This Row],[Code]],Table1[[#All],[Code]],Table1[[#All],[Time]],,0,-1),"")</f>
        <v/>
      </c>
      <c r="H881" s="23" t="str">
        <f>IFERROR(IF(Table57[[#This Row],[Out]]&gt;=Table57[[#This Row],[In]],Table57[[#This Row],[Out]]-Table57[[#This Row],[In]],(0.5+Table57[[#This Row],[Out]])-Table57[[#This Row],[In]]),"")</f>
        <v/>
      </c>
      <c r="I881" s="31" t="str">
        <f>IFERROR(IF(Table57[[#This Row],[In]]&gt;$C$2,Table57[[#This Row],[In]]-$C$2,""),"")</f>
        <v/>
      </c>
      <c r="J881" s="31" t="str">
        <f>IF(Table57[[#This Row],[Work_Hours]]=0,"",(IF(Table57[[#This Row],[Out]]&lt;$C$3,$C$3-Table57[[#This Row],[Out]],"")))</f>
        <v/>
      </c>
      <c r="K881" s="32" t="str">
        <f>IFERROR(Table57[[#This Row],[In]]+$C$1,"")</f>
        <v/>
      </c>
      <c r="L881" s="29"/>
      <c r="M881" s="31" t="str">
        <f>IF($C$2&gt;Table57[[#This Row],[In]],$C$2-Table57[[#This Row],[In]],"")</f>
        <v/>
      </c>
      <c r="N881" s="29" t="str">
        <f>IFERROR(IF(Table57[[#This Row],[Out]]&gt;$C$3,(Table57[[#This Row],[Out]])-($C$3),""),"")</f>
        <v/>
      </c>
    </row>
    <row r="882" spans="1:14" hidden="1" x14ac:dyDescent="0.25">
      <c r="A882" s="23" t="str">
        <f>Table57[[#This Row],[No.]]&amp;Table57[[#This Row],[Date]]</f>
        <v>00</v>
      </c>
      <c r="B882" s="22">
        <f>'Unique Dates'!A879</f>
        <v>0</v>
      </c>
      <c r="C882" s="22" t="e" cm="1">
        <f t="array" ref="C882">_xlfn.XLOOKUP(Table57[[#This Row],[No.]],Table2[[#All],[CODE]],Table2[[#All],[NAME]],,0,1)</f>
        <v>#N/A</v>
      </c>
      <c r="D882" s="6">
        <f>'Unique Dates'!B879</f>
        <v>0</v>
      </c>
      <c r="E882" t="str">
        <f>TEXT(Table57[[#This Row],[Date]],"dddd")</f>
        <v>Saturday</v>
      </c>
      <c r="F882" s="25" t="str" cm="1">
        <f t="array" ref="F882">IFERROR(_xlfn.XLOOKUP(Table57[[#This Row],[Code]],Table1[[#All],[Code]],Table1[[#All],[Time]],,0,1),"")</f>
        <v/>
      </c>
      <c r="G882" s="25" t="str" cm="1">
        <f t="array" ref="G882">IFERROR(_xlfn.XLOOKUP(Table57[[#This Row],[Code]],Table1[[#All],[Code]],Table1[[#All],[Time]],,0,-1),"")</f>
        <v/>
      </c>
      <c r="H882" s="23" t="str">
        <f>IFERROR(IF(Table57[[#This Row],[Out]]&gt;=Table57[[#This Row],[In]],Table57[[#This Row],[Out]]-Table57[[#This Row],[In]],(0.5+Table57[[#This Row],[Out]])-Table57[[#This Row],[In]]),"")</f>
        <v/>
      </c>
      <c r="I882" s="31" t="str">
        <f>IFERROR(IF(Table57[[#This Row],[In]]&gt;$C$2,Table57[[#This Row],[In]]-$C$2,""),"")</f>
        <v/>
      </c>
      <c r="J882" s="31" t="str">
        <f>IF(Table57[[#This Row],[Work_Hours]]=0,"",(IF(Table57[[#This Row],[Out]]&lt;$C$3,$C$3-Table57[[#This Row],[Out]],"")))</f>
        <v/>
      </c>
      <c r="K882" s="32" t="str">
        <f>IFERROR(Table57[[#This Row],[In]]+$C$1,"")</f>
        <v/>
      </c>
      <c r="L882" s="29"/>
      <c r="M882" s="31" t="str">
        <f>IF($C$2&gt;Table57[[#This Row],[In]],$C$2-Table57[[#This Row],[In]],"")</f>
        <v/>
      </c>
      <c r="N882" s="29" t="str">
        <f>IFERROR(IF(Table57[[#This Row],[Out]]&gt;$C$3,(Table57[[#This Row],[Out]])-($C$3),""),"")</f>
        <v/>
      </c>
    </row>
    <row r="883" spans="1:14" hidden="1" x14ac:dyDescent="0.25">
      <c r="A883" s="23" t="str">
        <f>Table57[[#This Row],[No.]]&amp;Table57[[#This Row],[Date]]</f>
        <v>00</v>
      </c>
      <c r="B883" s="22">
        <f>'Unique Dates'!A880</f>
        <v>0</v>
      </c>
      <c r="C883" s="22" t="e" cm="1">
        <f t="array" ref="C883">_xlfn.XLOOKUP(Table57[[#This Row],[No.]],Table2[[#All],[CODE]],Table2[[#All],[NAME]],,0,1)</f>
        <v>#N/A</v>
      </c>
      <c r="D883" s="6">
        <f>'Unique Dates'!B880</f>
        <v>0</v>
      </c>
      <c r="E883" t="str">
        <f>TEXT(Table57[[#This Row],[Date]],"dddd")</f>
        <v>Saturday</v>
      </c>
      <c r="F883" s="25" t="str" cm="1">
        <f t="array" ref="F883">IFERROR(_xlfn.XLOOKUP(Table57[[#This Row],[Code]],Table1[[#All],[Code]],Table1[[#All],[Time]],,0,1),"")</f>
        <v/>
      </c>
      <c r="G883" s="25" t="str" cm="1">
        <f t="array" ref="G883">IFERROR(_xlfn.XLOOKUP(Table57[[#This Row],[Code]],Table1[[#All],[Code]],Table1[[#All],[Time]],,0,-1),"")</f>
        <v/>
      </c>
      <c r="H883" s="23" t="str">
        <f>IFERROR(IF(Table57[[#This Row],[Out]]&gt;=Table57[[#This Row],[In]],Table57[[#This Row],[Out]]-Table57[[#This Row],[In]],(0.5+Table57[[#This Row],[Out]])-Table57[[#This Row],[In]]),"")</f>
        <v/>
      </c>
      <c r="I883" s="31" t="str">
        <f>IFERROR(IF(Table57[[#This Row],[In]]&gt;$C$2,Table57[[#This Row],[In]]-$C$2,""),"")</f>
        <v/>
      </c>
      <c r="J883" s="31" t="str">
        <f>IF(Table57[[#This Row],[Work_Hours]]=0,"",(IF(Table57[[#This Row],[Out]]&lt;$C$3,$C$3-Table57[[#This Row],[Out]],"")))</f>
        <v/>
      </c>
      <c r="K883" s="32" t="str">
        <f>IFERROR(Table57[[#This Row],[In]]+$C$1,"")</f>
        <v/>
      </c>
      <c r="L883" s="29"/>
      <c r="M883" s="31" t="str">
        <f>IF($C$2&gt;Table57[[#This Row],[In]],$C$2-Table57[[#This Row],[In]],"")</f>
        <v/>
      </c>
      <c r="N883" s="29" t="str">
        <f>IFERROR(IF(Table57[[#This Row],[Out]]&gt;$C$3,(Table57[[#This Row],[Out]])-($C$3),""),"")</f>
        <v/>
      </c>
    </row>
    <row r="884" spans="1:14" hidden="1" x14ac:dyDescent="0.25">
      <c r="A884" s="23" t="str">
        <f>Table57[[#This Row],[No.]]&amp;Table57[[#This Row],[Date]]</f>
        <v>00</v>
      </c>
      <c r="B884" s="22">
        <f>'Unique Dates'!A881</f>
        <v>0</v>
      </c>
      <c r="C884" s="22" t="e" cm="1">
        <f t="array" ref="C884">_xlfn.XLOOKUP(Table57[[#This Row],[No.]],Table2[[#All],[CODE]],Table2[[#All],[NAME]],,0,1)</f>
        <v>#N/A</v>
      </c>
      <c r="D884" s="6">
        <f>'Unique Dates'!B881</f>
        <v>0</v>
      </c>
      <c r="E884" t="str">
        <f>TEXT(Table57[[#This Row],[Date]],"dddd")</f>
        <v>Saturday</v>
      </c>
      <c r="F884" s="25" t="str" cm="1">
        <f t="array" ref="F884">IFERROR(_xlfn.XLOOKUP(Table57[[#This Row],[Code]],Table1[[#All],[Code]],Table1[[#All],[Time]],,0,1),"")</f>
        <v/>
      </c>
      <c r="G884" s="25" t="str" cm="1">
        <f t="array" ref="G884">IFERROR(_xlfn.XLOOKUP(Table57[[#This Row],[Code]],Table1[[#All],[Code]],Table1[[#All],[Time]],,0,-1),"")</f>
        <v/>
      </c>
      <c r="H884" s="23" t="str">
        <f>IFERROR(IF(Table57[[#This Row],[Out]]&gt;=Table57[[#This Row],[In]],Table57[[#This Row],[Out]]-Table57[[#This Row],[In]],(0.5+Table57[[#This Row],[Out]])-Table57[[#This Row],[In]]),"")</f>
        <v/>
      </c>
      <c r="I884" s="31" t="str">
        <f>IFERROR(IF(Table57[[#This Row],[In]]&gt;$C$2,Table57[[#This Row],[In]]-$C$2,""),"")</f>
        <v/>
      </c>
      <c r="J884" s="31" t="str">
        <f>IF(Table57[[#This Row],[Work_Hours]]=0,"",(IF(Table57[[#This Row],[Out]]&lt;$C$3,$C$3-Table57[[#This Row],[Out]],"")))</f>
        <v/>
      </c>
      <c r="K884" s="32" t="str">
        <f>IFERROR(Table57[[#This Row],[In]]+$C$1,"")</f>
        <v/>
      </c>
      <c r="L884" s="29"/>
      <c r="M884" s="31" t="str">
        <f>IF($C$2&gt;Table57[[#This Row],[In]],$C$2-Table57[[#This Row],[In]],"")</f>
        <v/>
      </c>
      <c r="N884" s="29" t="str">
        <f>IFERROR(IF(Table57[[#This Row],[Out]]&gt;$C$3,(Table57[[#This Row],[Out]])-($C$3),""),"")</f>
        <v/>
      </c>
    </row>
    <row r="885" spans="1:14" hidden="1" x14ac:dyDescent="0.25">
      <c r="A885" s="23" t="str">
        <f>Table57[[#This Row],[No.]]&amp;Table57[[#This Row],[Date]]</f>
        <v>00</v>
      </c>
      <c r="B885" s="22">
        <f>'Unique Dates'!A882</f>
        <v>0</v>
      </c>
      <c r="C885" s="22" t="e" cm="1">
        <f t="array" ref="C885">_xlfn.XLOOKUP(Table57[[#This Row],[No.]],Table2[[#All],[CODE]],Table2[[#All],[NAME]],,0,1)</f>
        <v>#N/A</v>
      </c>
      <c r="D885" s="6">
        <f>'Unique Dates'!B882</f>
        <v>0</v>
      </c>
      <c r="E885" t="str">
        <f>TEXT(Table57[[#This Row],[Date]],"dddd")</f>
        <v>Saturday</v>
      </c>
      <c r="F885" s="25" t="str" cm="1">
        <f t="array" ref="F885">IFERROR(_xlfn.XLOOKUP(Table57[[#This Row],[Code]],Table1[[#All],[Code]],Table1[[#All],[Time]],,0,1),"")</f>
        <v/>
      </c>
      <c r="G885" s="25" t="str" cm="1">
        <f t="array" ref="G885">IFERROR(_xlfn.XLOOKUP(Table57[[#This Row],[Code]],Table1[[#All],[Code]],Table1[[#All],[Time]],,0,-1),"")</f>
        <v/>
      </c>
      <c r="H885" s="23" t="str">
        <f>IFERROR(IF(Table57[[#This Row],[Out]]&gt;=Table57[[#This Row],[In]],Table57[[#This Row],[Out]]-Table57[[#This Row],[In]],(0.5+Table57[[#This Row],[Out]])-Table57[[#This Row],[In]]),"")</f>
        <v/>
      </c>
      <c r="I885" s="31" t="str">
        <f>IFERROR(IF(Table57[[#This Row],[In]]&gt;$C$2,Table57[[#This Row],[In]]-$C$2,""),"")</f>
        <v/>
      </c>
      <c r="J885" s="31" t="str">
        <f>IF(Table57[[#This Row],[Work_Hours]]=0,"",(IF(Table57[[#This Row],[Out]]&lt;$C$3,$C$3-Table57[[#This Row],[Out]],"")))</f>
        <v/>
      </c>
      <c r="K885" s="32" t="str">
        <f>IFERROR(Table57[[#This Row],[In]]+$C$1,"")</f>
        <v/>
      </c>
      <c r="L885" s="29"/>
      <c r="M885" s="31" t="str">
        <f>IF($C$2&gt;Table57[[#This Row],[In]],$C$2-Table57[[#This Row],[In]],"")</f>
        <v/>
      </c>
      <c r="N885" s="29" t="str">
        <f>IFERROR(IF(Table57[[#This Row],[Out]]&gt;$C$3,(Table57[[#This Row],[Out]])-($C$3),""),"")</f>
        <v/>
      </c>
    </row>
    <row r="886" spans="1:14" hidden="1" x14ac:dyDescent="0.25">
      <c r="A886" s="23" t="str">
        <f>Table57[[#This Row],[No.]]&amp;Table57[[#This Row],[Date]]</f>
        <v>00</v>
      </c>
      <c r="B886" s="22">
        <f>'Unique Dates'!A883</f>
        <v>0</v>
      </c>
      <c r="C886" s="22" t="e" cm="1">
        <f t="array" ref="C886">_xlfn.XLOOKUP(Table57[[#This Row],[No.]],Table2[[#All],[CODE]],Table2[[#All],[NAME]],,0,1)</f>
        <v>#N/A</v>
      </c>
      <c r="D886" s="6">
        <f>'Unique Dates'!B883</f>
        <v>0</v>
      </c>
      <c r="E886" t="str">
        <f>TEXT(Table57[[#This Row],[Date]],"dddd")</f>
        <v>Saturday</v>
      </c>
      <c r="F886" s="25" t="str" cm="1">
        <f t="array" ref="F886">IFERROR(_xlfn.XLOOKUP(Table57[[#This Row],[Code]],Table1[[#All],[Code]],Table1[[#All],[Time]],,0,1),"")</f>
        <v/>
      </c>
      <c r="G886" s="25" t="str" cm="1">
        <f t="array" ref="G886">IFERROR(_xlfn.XLOOKUP(Table57[[#This Row],[Code]],Table1[[#All],[Code]],Table1[[#All],[Time]],,0,-1),"")</f>
        <v/>
      </c>
      <c r="H886" s="23" t="str">
        <f>IFERROR(IF(Table57[[#This Row],[Out]]&gt;=Table57[[#This Row],[In]],Table57[[#This Row],[Out]]-Table57[[#This Row],[In]],(0.5+Table57[[#This Row],[Out]])-Table57[[#This Row],[In]]),"")</f>
        <v/>
      </c>
      <c r="I886" s="31" t="str">
        <f>IFERROR(IF(Table57[[#This Row],[In]]&gt;$C$2,Table57[[#This Row],[In]]-$C$2,""),"")</f>
        <v/>
      </c>
      <c r="J886" s="31" t="str">
        <f>IF(Table57[[#This Row],[Work_Hours]]=0,"",(IF(Table57[[#This Row],[Out]]&lt;$C$3,$C$3-Table57[[#This Row],[Out]],"")))</f>
        <v/>
      </c>
      <c r="K886" s="32" t="str">
        <f>IFERROR(Table57[[#This Row],[In]]+$C$1,"")</f>
        <v/>
      </c>
      <c r="L886" s="29"/>
      <c r="M886" s="31" t="str">
        <f>IF($C$2&gt;Table57[[#This Row],[In]],$C$2-Table57[[#This Row],[In]],"")</f>
        <v/>
      </c>
      <c r="N886" s="29" t="str">
        <f>IFERROR(IF(Table57[[#This Row],[Out]]&gt;$C$3,(Table57[[#This Row],[Out]])-($C$3),""),"")</f>
        <v/>
      </c>
    </row>
    <row r="887" spans="1:14" hidden="1" x14ac:dyDescent="0.25">
      <c r="A887" s="23" t="str">
        <f>Table57[[#This Row],[No.]]&amp;Table57[[#This Row],[Date]]</f>
        <v>00</v>
      </c>
      <c r="B887" s="22">
        <f>'Unique Dates'!A884</f>
        <v>0</v>
      </c>
      <c r="C887" s="22" t="e" cm="1">
        <f t="array" ref="C887">_xlfn.XLOOKUP(Table57[[#This Row],[No.]],Table2[[#All],[CODE]],Table2[[#All],[NAME]],,0,1)</f>
        <v>#N/A</v>
      </c>
      <c r="D887" s="6">
        <f>'Unique Dates'!B884</f>
        <v>0</v>
      </c>
      <c r="E887" t="str">
        <f>TEXT(Table57[[#This Row],[Date]],"dddd")</f>
        <v>Saturday</v>
      </c>
      <c r="F887" s="25" t="str" cm="1">
        <f t="array" ref="F887">IFERROR(_xlfn.XLOOKUP(Table57[[#This Row],[Code]],Table1[[#All],[Code]],Table1[[#All],[Time]],,0,1),"")</f>
        <v/>
      </c>
      <c r="G887" s="25" t="str" cm="1">
        <f t="array" ref="G887">IFERROR(_xlfn.XLOOKUP(Table57[[#This Row],[Code]],Table1[[#All],[Code]],Table1[[#All],[Time]],,0,-1),"")</f>
        <v/>
      </c>
      <c r="H887" s="23" t="str">
        <f>IFERROR(IF(Table57[[#This Row],[Out]]&gt;=Table57[[#This Row],[In]],Table57[[#This Row],[Out]]-Table57[[#This Row],[In]],(0.5+Table57[[#This Row],[Out]])-Table57[[#This Row],[In]]),"")</f>
        <v/>
      </c>
      <c r="I887" s="31" t="str">
        <f>IFERROR(IF(Table57[[#This Row],[In]]&gt;$C$2,Table57[[#This Row],[In]]-$C$2,""),"")</f>
        <v/>
      </c>
      <c r="J887" s="31" t="str">
        <f>IF(Table57[[#This Row],[Work_Hours]]=0,"",(IF(Table57[[#This Row],[Out]]&lt;$C$3,$C$3-Table57[[#This Row],[Out]],"")))</f>
        <v/>
      </c>
      <c r="K887" s="32" t="str">
        <f>IFERROR(Table57[[#This Row],[In]]+$C$1,"")</f>
        <v/>
      </c>
      <c r="L887" s="29"/>
      <c r="M887" s="31" t="str">
        <f>IF($C$2&gt;Table57[[#This Row],[In]],$C$2-Table57[[#This Row],[In]],"")</f>
        <v/>
      </c>
      <c r="N887" s="29" t="str">
        <f>IFERROR(IF(Table57[[#This Row],[Out]]&gt;$C$3,(Table57[[#This Row],[Out]])-($C$3),""),"")</f>
        <v/>
      </c>
    </row>
    <row r="888" spans="1:14" hidden="1" x14ac:dyDescent="0.25">
      <c r="A888" s="23" t="str">
        <f>Table57[[#This Row],[No.]]&amp;Table57[[#This Row],[Date]]</f>
        <v>00</v>
      </c>
      <c r="B888" s="22">
        <f>'Unique Dates'!A885</f>
        <v>0</v>
      </c>
      <c r="C888" s="22" t="e" cm="1">
        <f t="array" ref="C888">_xlfn.XLOOKUP(Table57[[#This Row],[No.]],Table2[[#All],[CODE]],Table2[[#All],[NAME]],,0,1)</f>
        <v>#N/A</v>
      </c>
      <c r="D888" s="6">
        <f>'Unique Dates'!B885</f>
        <v>0</v>
      </c>
      <c r="E888" t="str">
        <f>TEXT(Table57[[#This Row],[Date]],"dddd")</f>
        <v>Saturday</v>
      </c>
      <c r="F888" s="25" t="str" cm="1">
        <f t="array" ref="F888">IFERROR(_xlfn.XLOOKUP(Table57[[#This Row],[Code]],Table1[[#All],[Code]],Table1[[#All],[Time]],,0,1),"")</f>
        <v/>
      </c>
      <c r="G888" s="25" t="str" cm="1">
        <f t="array" ref="G888">IFERROR(_xlfn.XLOOKUP(Table57[[#This Row],[Code]],Table1[[#All],[Code]],Table1[[#All],[Time]],,0,-1),"")</f>
        <v/>
      </c>
      <c r="H888" s="23" t="str">
        <f>IFERROR(IF(Table57[[#This Row],[Out]]&gt;=Table57[[#This Row],[In]],Table57[[#This Row],[Out]]-Table57[[#This Row],[In]],(0.5+Table57[[#This Row],[Out]])-Table57[[#This Row],[In]]),"")</f>
        <v/>
      </c>
      <c r="I888" s="31" t="str">
        <f>IFERROR(IF(Table57[[#This Row],[In]]&gt;$C$2,Table57[[#This Row],[In]]-$C$2,""),"")</f>
        <v/>
      </c>
      <c r="J888" s="31" t="str">
        <f>IF(Table57[[#This Row],[Work_Hours]]=0,"",(IF(Table57[[#This Row],[Out]]&lt;$C$3,$C$3-Table57[[#This Row],[Out]],"")))</f>
        <v/>
      </c>
      <c r="K888" s="32" t="str">
        <f>IFERROR(Table57[[#This Row],[In]]+$C$1,"")</f>
        <v/>
      </c>
      <c r="L888" s="29"/>
      <c r="M888" s="31" t="str">
        <f>IF($C$2&gt;Table57[[#This Row],[In]],$C$2-Table57[[#This Row],[In]],"")</f>
        <v/>
      </c>
      <c r="N888" s="29" t="str">
        <f>IFERROR(IF(Table57[[#This Row],[Out]]&gt;$C$3,(Table57[[#This Row],[Out]])-($C$3),""),"")</f>
        <v/>
      </c>
    </row>
    <row r="889" spans="1:14" hidden="1" x14ac:dyDescent="0.25">
      <c r="A889" s="23" t="str">
        <f>Table57[[#This Row],[No.]]&amp;Table57[[#This Row],[Date]]</f>
        <v>00</v>
      </c>
      <c r="B889" s="22">
        <f>'Unique Dates'!A886</f>
        <v>0</v>
      </c>
      <c r="C889" s="22" t="e" cm="1">
        <f t="array" ref="C889">_xlfn.XLOOKUP(Table57[[#This Row],[No.]],Table2[[#All],[CODE]],Table2[[#All],[NAME]],,0,1)</f>
        <v>#N/A</v>
      </c>
      <c r="D889" s="6">
        <f>'Unique Dates'!B886</f>
        <v>0</v>
      </c>
      <c r="E889" t="str">
        <f>TEXT(Table57[[#This Row],[Date]],"dddd")</f>
        <v>Saturday</v>
      </c>
      <c r="F889" s="25" t="str" cm="1">
        <f t="array" ref="F889">IFERROR(_xlfn.XLOOKUP(Table57[[#This Row],[Code]],Table1[[#All],[Code]],Table1[[#All],[Time]],,0,1),"")</f>
        <v/>
      </c>
      <c r="G889" s="25" t="str" cm="1">
        <f t="array" ref="G889">IFERROR(_xlfn.XLOOKUP(Table57[[#This Row],[Code]],Table1[[#All],[Code]],Table1[[#All],[Time]],,0,-1),"")</f>
        <v/>
      </c>
      <c r="H889" s="23" t="str">
        <f>IFERROR(IF(Table57[[#This Row],[Out]]&gt;=Table57[[#This Row],[In]],Table57[[#This Row],[Out]]-Table57[[#This Row],[In]],(0.5+Table57[[#This Row],[Out]])-Table57[[#This Row],[In]]),"")</f>
        <v/>
      </c>
      <c r="I889" s="31" t="str">
        <f>IFERROR(IF(Table57[[#This Row],[In]]&gt;$C$2,Table57[[#This Row],[In]]-$C$2,""),"")</f>
        <v/>
      </c>
      <c r="J889" s="31" t="str">
        <f>IF(Table57[[#This Row],[Work_Hours]]=0,"",(IF(Table57[[#This Row],[Out]]&lt;$C$3,$C$3-Table57[[#This Row],[Out]],"")))</f>
        <v/>
      </c>
      <c r="K889" s="32" t="str">
        <f>IFERROR(Table57[[#This Row],[In]]+$C$1,"")</f>
        <v/>
      </c>
      <c r="L889" s="29"/>
      <c r="M889" s="31" t="str">
        <f>IF($C$2&gt;Table57[[#This Row],[In]],$C$2-Table57[[#This Row],[In]],"")</f>
        <v/>
      </c>
      <c r="N889" s="29" t="str">
        <f>IFERROR(IF(Table57[[#This Row],[Out]]&gt;$C$3,(Table57[[#This Row],[Out]])-($C$3),""),"")</f>
        <v/>
      </c>
    </row>
    <row r="890" spans="1:14" hidden="1" x14ac:dyDescent="0.25">
      <c r="A890" s="23" t="str">
        <f>Table57[[#This Row],[No.]]&amp;Table57[[#This Row],[Date]]</f>
        <v>00</v>
      </c>
      <c r="B890" s="22">
        <f>'Unique Dates'!A887</f>
        <v>0</v>
      </c>
      <c r="C890" s="22" t="e" cm="1">
        <f t="array" ref="C890">_xlfn.XLOOKUP(Table57[[#This Row],[No.]],Table2[[#All],[CODE]],Table2[[#All],[NAME]],,0,1)</f>
        <v>#N/A</v>
      </c>
      <c r="D890" s="6">
        <f>'Unique Dates'!B887</f>
        <v>0</v>
      </c>
      <c r="E890" t="str">
        <f>TEXT(Table57[[#This Row],[Date]],"dddd")</f>
        <v>Saturday</v>
      </c>
      <c r="F890" s="25" t="str" cm="1">
        <f t="array" ref="F890">IFERROR(_xlfn.XLOOKUP(Table57[[#This Row],[Code]],Table1[[#All],[Code]],Table1[[#All],[Time]],,0,1),"")</f>
        <v/>
      </c>
      <c r="G890" s="25" t="str" cm="1">
        <f t="array" ref="G890">IFERROR(_xlfn.XLOOKUP(Table57[[#This Row],[Code]],Table1[[#All],[Code]],Table1[[#All],[Time]],,0,-1),"")</f>
        <v/>
      </c>
      <c r="H890" s="23" t="str">
        <f>IFERROR(IF(Table57[[#This Row],[Out]]&gt;=Table57[[#This Row],[In]],Table57[[#This Row],[Out]]-Table57[[#This Row],[In]],(0.5+Table57[[#This Row],[Out]])-Table57[[#This Row],[In]]),"")</f>
        <v/>
      </c>
      <c r="I890" s="31" t="str">
        <f>IFERROR(IF(Table57[[#This Row],[In]]&gt;$C$2,Table57[[#This Row],[In]]-$C$2,""),"")</f>
        <v/>
      </c>
      <c r="J890" s="31" t="str">
        <f>IF(Table57[[#This Row],[Work_Hours]]=0,"",(IF(Table57[[#This Row],[Out]]&lt;$C$3,$C$3-Table57[[#This Row],[Out]],"")))</f>
        <v/>
      </c>
      <c r="K890" s="32" t="str">
        <f>IFERROR(Table57[[#This Row],[In]]+$C$1,"")</f>
        <v/>
      </c>
      <c r="L890" s="29"/>
      <c r="M890" s="31" t="str">
        <f>IF($C$2&gt;Table57[[#This Row],[In]],$C$2-Table57[[#This Row],[In]],"")</f>
        <v/>
      </c>
      <c r="N890" s="29" t="str">
        <f>IFERROR(IF(Table57[[#This Row],[Out]]&gt;$C$3,(Table57[[#This Row],[Out]])-($C$3),""),"")</f>
        <v/>
      </c>
    </row>
    <row r="891" spans="1:14" hidden="1" x14ac:dyDescent="0.25">
      <c r="A891" s="23" t="str">
        <f>Table57[[#This Row],[No.]]&amp;Table57[[#This Row],[Date]]</f>
        <v>00</v>
      </c>
      <c r="B891" s="22">
        <f>'Unique Dates'!A888</f>
        <v>0</v>
      </c>
      <c r="C891" s="22" t="e" cm="1">
        <f t="array" ref="C891">_xlfn.XLOOKUP(Table57[[#This Row],[No.]],Table2[[#All],[CODE]],Table2[[#All],[NAME]],,0,1)</f>
        <v>#N/A</v>
      </c>
      <c r="D891" s="6">
        <f>'Unique Dates'!B888</f>
        <v>0</v>
      </c>
      <c r="E891" t="str">
        <f>TEXT(Table57[[#This Row],[Date]],"dddd")</f>
        <v>Saturday</v>
      </c>
      <c r="F891" s="25" t="str" cm="1">
        <f t="array" ref="F891">IFERROR(_xlfn.XLOOKUP(Table57[[#This Row],[Code]],Table1[[#All],[Code]],Table1[[#All],[Time]],,0,1),"")</f>
        <v/>
      </c>
      <c r="G891" s="25" t="str" cm="1">
        <f t="array" ref="G891">IFERROR(_xlfn.XLOOKUP(Table57[[#This Row],[Code]],Table1[[#All],[Code]],Table1[[#All],[Time]],,0,-1),"")</f>
        <v/>
      </c>
      <c r="H891" s="23" t="str">
        <f>IFERROR(IF(Table57[[#This Row],[Out]]&gt;=Table57[[#This Row],[In]],Table57[[#This Row],[Out]]-Table57[[#This Row],[In]],(0.5+Table57[[#This Row],[Out]])-Table57[[#This Row],[In]]),"")</f>
        <v/>
      </c>
      <c r="I891" s="31" t="str">
        <f>IFERROR(IF(Table57[[#This Row],[In]]&gt;$C$2,Table57[[#This Row],[In]]-$C$2,""),"")</f>
        <v/>
      </c>
      <c r="J891" s="31" t="str">
        <f>IF(Table57[[#This Row],[Work_Hours]]=0,"",(IF(Table57[[#This Row],[Out]]&lt;$C$3,$C$3-Table57[[#This Row],[Out]],"")))</f>
        <v/>
      </c>
      <c r="K891" s="32" t="str">
        <f>IFERROR(Table57[[#This Row],[In]]+$C$1,"")</f>
        <v/>
      </c>
      <c r="L891" s="29"/>
      <c r="M891" s="31" t="str">
        <f>IF($C$2&gt;Table57[[#This Row],[In]],$C$2-Table57[[#This Row],[In]],"")</f>
        <v/>
      </c>
      <c r="N891" s="29" t="str">
        <f>IFERROR(IF(Table57[[#This Row],[Out]]&gt;$C$3,(Table57[[#This Row],[Out]])-($C$3),""),"")</f>
        <v/>
      </c>
    </row>
    <row r="892" spans="1:14" hidden="1" x14ac:dyDescent="0.25">
      <c r="A892" s="23" t="str">
        <f>Table57[[#This Row],[No.]]&amp;Table57[[#This Row],[Date]]</f>
        <v>00</v>
      </c>
      <c r="B892" s="22">
        <f>'Unique Dates'!A889</f>
        <v>0</v>
      </c>
      <c r="C892" s="22" t="e" cm="1">
        <f t="array" ref="C892">_xlfn.XLOOKUP(Table57[[#This Row],[No.]],Table2[[#All],[CODE]],Table2[[#All],[NAME]],,0,1)</f>
        <v>#N/A</v>
      </c>
      <c r="D892" s="6">
        <f>'Unique Dates'!B889</f>
        <v>0</v>
      </c>
      <c r="E892" t="str">
        <f>TEXT(Table57[[#This Row],[Date]],"dddd")</f>
        <v>Saturday</v>
      </c>
      <c r="F892" s="25" t="str" cm="1">
        <f t="array" ref="F892">IFERROR(_xlfn.XLOOKUP(Table57[[#This Row],[Code]],Table1[[#All],[Code]],Table1[[#All],[Time]],,0,1),"")</f>
        <v/>
      </c>
      <c r="G892" s="25" t="str" cm="1">
        <f t="array" ref="G892">IFERROR(_xlfn.XLOOKUP(Table57[[#This Row],[Code]],Table1[[#All],[Code]],Table1[[#All],[Time]],,0,-1),"")</f>
        <v/>
      </c>
      <c r="H892" s="23" t="str">
        <f>IFERROR(IF(Table57[[#This Row],[Out]]&gt;=Table57[[#This Row],[In]],Table57[[#This Row],[Out]]-Table57[[#This Row],[In]],(0.5+Table57[[#This Row],[Out]])-Table57[[#This Row],[In]]),"")</f>
        <v/>
      </c>
      <c r="I892" s="31" t="str">
        <f>IFERROR(IF(Table57[[#This Row],[In]]&gt;$C$2,Table57[[#This Row],[In]]-$C$2,""),"")</f>
        <v/>
      </c>
      <c r="J892" s="31" t="str">
        <f>IF(Table57[[#This Row],[Work_Hours]]=0,"",(IF(Table57[[#This Row],[Out]]&lt;$C$3,$C$3-Table57[[#This Row],[Out]],"")))</f>
        <v/>
      </c>
      <c r="K892" s="32" t="str">
        <f>IFERROR(Table57[[#This Row],[In]]+$C$1,"")</f>
        <v/>
      </c>
      <c r="L892" s="29"/>
      <c r="M892" s="31" t="str">
        <f>IF($C$2&gt;Table57[[#This Row],[In]],$C$2-Table57[[#This Row],[In]],"")</f>
        <v/>
      </c>
      <c r="N892" s="29" t="str">
        <f>IFERROR(IF(Table57[[#This Row],[Out]]&gt;$C$3,(Table57[[#This Row],[Out]])-($C$3),""),"")</f>
        <v/>
      </c>
    </row>
    <row r="893" spans="1:14" hidden="1" x14ac:dyDescent="0.25">
      <c r="A893" s="23" t="str">
        <f>Table57[[#This Row],[No.]]&amp;Table57[[#This Row],[Date]]</f>
        <v>00</v>
      </c>
      <c r="B893" s="22">
        <f>'Unique Dates'!A890</f>
        <v>0</v>
      </c>
      <c r="C893" s="22" t="e" cm="1">
        <f t="array" ref="C893">_xlfn.XLOOKUP(Table57[[#This Row],[No.]],Table2[[#All],[CODE]],Table2[[#All],[NAME]],,0,1)</f>
        <v>#N/A</v>
      </c>
      <c r="D893" s="6">
        <f>'Unique Dates'!B890</f>
        <v>0</v>
      </c>
      <c r="E893" t="str">
        <f>TEXT(Table57[[#This Row],[Date]],"dddd")</f>
        <v>Saturday</v>
      </c>
      <c r="F893" s="25" t="str" cm="1">
        <f t="array" ref="F893">IFERROR(_xlfn.XLOOKUP(Table57[[#This Row],[Code]],Table1[[#All],[Code]],Table1[[#All],[Time]],,0,1),"")</f>
        <v/>
      </c>
      <c r="G893" s="25" t="str" cm="1">
        <f t="array" ref="G893">IFERROR(_xlfn.XLOOKUP(Table57[[#This Row],[Code]],Table1[[#All],[Code]],Table1[[#All],[Time]],,0,-1),"")</f>
        <v/>
      </c>
      <c r="H893" s="23" t="str">
        <f>IFERROR(IF(Table57[[#This Row],[Out]]&gt;=Table57[[#This Row],[In]],Table57[[#This Row],[Out]]-Table57[[#This Row],[In]],(0.5+Table57[[#This Row],[Out]])-Table57[[#This Row],[In]]),"")</f>
        <v/>
      </c>
      <c r="I893" s="31" t="str">
        <f>IFERROR(IF(Table57[[#This Row],[In]]&gt;$C$2,Table57[[#This Row],[In]]-$C$2,""),"")</f>
        <v/>
      </c>
      <c r="J893" s="31" t="str">
        <f>IF(Table57[[#This Row],[Work_Hours]]=0,"",(IF(Table57[[#This Row],[Out]]&lt;$C$3,$C$3-Table57[[#This Row],[Out]],"")))</f>
        <v/>
      </c>
      <c r="K893" s="32" t="str">
        <f>IFERROR(Table57[[#This Row],[In]]+$C$1,"")</f>
        <v/>
      </c>
      <c r="L893" s="29"/>
      <c r="M893" s="31" t="str">
        <f>IF($C$2&gt;Table57[[#This Row],[In]],$C$2-Table57[[#This Row],[In]],"")</f>
        <v/>
      </c>
      <c r="N893" s="29" t="str">
        <f>IFERROR(IF(Table57[[#This Row],[Out]]&gt;$C$3,(Table57[[#This Row],[Out]])-($C$3),""),"")</f>
        <v/>
      </c>
    </row>
    <row r="894" spans="1:14" hidden="1" x14ac:dyDescent="0.25">
      <c r="A894" s="23" t="str">
        <f>Table57[[#This Row],[No.]]&amp;Table57[[#This Row],[Date]]</f>
        <v>00</v>
      </c>
      <c r="B894" s="22">
        <f>'Unique Dates'!A891</f>
        <v>0</v>
      </c>
      <c r="C894" s="22" t="e" cm="1">
        <f t="array" ref="C894">_xlfn.XLOOKUP(Table57[[#This Row],[No.]],Table2[[#All],[CODE]],Table2[[#All],[NAME]],,0,1)</f>
        <v>#N/A</v>
      </c>
      <c r="D894" s="6">
        <f>'Unique Dates'!B891</f>
        <v>0</v>
      </c>
      <c r="E894" t="str">
        <f>TEXT(Table57[[#This Row],[Date]],"dddd")</f>
        <v>Saturday</v>
      </c>
      <c r="F894" s="25" t="str" cm="1">
        <f t="array" ref="F894">IFERROR(_xlfn.XLOOKUP(Table57[[#This Row],[Code]],Table1[[#All],[Code]],Table1[[#All],[Time]],,0,1),"")</f>
        <v/>
      </c>
      <c r="G894" s="25" t="str" cm="1">
        <f t="array" ref="G894">IFERROR(_xlfn.XLOOKUP(Table57[[#This Row],[Code]],Table1[[#All],[Code]],Table1[[#All],[Time]],,0,-1),"")</f>
        <v/>
      </c>
      <c r="H894" s="23" t="str">
        <f>IFERROR(IF(Table57[[#This Row],[Out]]&gt;=Table57[[#This Row],[In]],Table57[[#This Row],[Out]]-Table57[[#This Row],[In]],(0.5+Table57[[#This Row],[Out]])-Table57[[#This Row],[In]]),"")</f>
        <v/>
      </c>
      <c r="I894" s="31" t="str">
        <f>IFERROR(IF(Table57[[#This Row],[In]]&gt;$C$2,Table57[[#This Row],[In]]-$C$2,""),"")</f>
        <v/>
      </c>
      <c r="J894" s="31" t="str">
        <f>IF(Table57[[#This Row],[Work_Hours]]=0,"",(IF(Table57[[#This Row],[Out]]&lt;$C$3,$C$3-Table57[[#This Row],[Out]],"")))</f>
        <v/>
      </c>
      <c r="K894" s="32" t="str">
        <f>IFERROR(Table57[[#This Row],[In]]+$C$1,"")</f>
        <v/>
      </c>
      <c r="L894" s="29"/>
      <c r="M894" s="31" t="str">
        <f>IF($C$2&gt;Table57[[#This Row],[In]],$C$2-Table57[[#This Row],[In]],"")</f>
        <v/>
      </c>
      <c r="N894" s="29" t="str">
        <f>IFERROR(IF(Table57[[#This Row],[Out]]&gt;$C$3,(Table57[[#This Row],[Out]])-($C$3),""),"")</f>
        <v/>
      </c>
    </row>
    <row r="895" spans="1:14" hidden="1" x14ac:dyDescent="0.25">
      <c r="A895" s="23" t="str">
        <f>Table57[[#This Row],[No.]]&amp;Table57[[#This Row],[Date]]</f>
        <v>00</v>
      </c>
      <c r="B895" s="22">
        <f>'Unique Dates'!A892</f>
        <v>0</v>
      </c>
      <c r="C895" s="22" t="e" cm="1">
        <f t="array" ref="C895">_xlfn.XLOOKUP(Table57[[#This Row],[No.]],Table2[[#All],[CODE]],Table2[[#All],[NAME]],,0,1)</f>
        <v>#N/A</v>
      </c>
      <c r="D895" s="6">
        <f>'Unique Dates'!B892</f>
        <v>0</v>
      </c>
      <c r="E895" t="str">
        <f>TEXT(Table57[[#This Row],[Date]],"dddd")</f>
        <v>Saturday</v>
      </c>
      <c r="F895" s="25" t="str" cm="1">
        <f t="array" ref="F895">IFERROR(_xlfn.XLOOKUP(Table57[[#This Row],[Code]],Table1[[#All],[Code]],Table1[[#All],[Time]],,0,1),"")</f>
        <v/>
      </c>
      <c r="G895" s="25" t="str" cm="1">
        <f t="array" ref="G895">IFERROR(_xlfn.XLOOKUP(Table57[[#This Row],[Code]],Table1[[#All],[Code]],Table1[[#All],[Time]],,0,-1),"")</f>
        <v/>
      </c>
      <c r="H895" s="23" t="str">
        <f>IFERROR(IF(Table57[[#This Row],[Out]]&gt;=Table57[[#This Row],[In]],Table57[[#This Row],[Out]]-Table57[[#This Row],[In]],(0.5+Table57[[#This Row],[Out]])-Table57[[#This Row],[In]]),"")</f>
        <v/>
      </c>
      <c r="I895" s="31" t="str">
        <f>IFERROR(IF(Table57[[#This Row],[In]]&gt;$C$2,Table57[[#This Row],[In]]-$C$2,""),"")</f>
        <v/>
      </c>
      <c r="J895" s="31" t="str">
        <f>IF(Table57[[#This Row],[Work_Hours]]=0,"",(IF(Table57[[#This Row],[Out]]&lt;$C$3,$C$3-Table57[[#This Row],[Out]],"")))</f>
        <v/>
      </c>
      <c r="K895" s="32" t="str">
        <f>IFERROR(Table57[[#This Row],[In]]+$C$1,"")</f>
        <v/>
      </c>
      <c r="L895" s="29"/>
      <c r="M895" s="31" t="str">
        <f>IF($C$2&gt;Table57[[#This Row],[In]],$C$2-Table57[[#This Row],[In]],"")</f>
        <v/>
      </c>
      <c r="N895" s="29" t="str">
        <f>IFERROR(IF(Table57[[#This Row],[Out]]&gt;$C$3,(Table57[[#This Row],[Out]])-($C$3),""),"")</f>
        <v/>
      </c>
    </row>
    <row r="896" spans="1:14" hidden="1" x14ac:dyDescent="0.25">
      <c r="A896" s="23" t="str">
        <f>Table57[[#This Row],[No.]]&amp;Table57[[#This Row],[Date]]</f>
        <v>00</v>
      </c>
      <c r="B896" s="22">
        <f>'Unique Dates'!A893</f>
        <v>0</v>
      </c>
      <c r="C896" s="22" t="e" cm="1">
        <f t="array" ref="C896">_xlfn.XLOOKUP(Table57[[#This Row],[No.]],Table2[[#All],[CODE]],Table2[[#All],[NAME]],,0,1)</f>
        <v>#N/A</v>
      </c>
      <c r="D896" s="6">
        <f>'Unique Dates'!B893</f>
        <v>0</v>
      </c>
      <c r="E896" t="str">
        <f>TEXT(Table57[[#This Row],[Date]],"dddd")</f>
        <v>Saturday</v>
      </c>
      <c r="F896" s="25" t="str" cm="1">
        <f t="array" ref="F896">IFERROR(_xlfn.XLOOKUP(Table57[[#This Row],[Code]],Table1[[#All],[Code]],Table1[[#All],[Time]],,0,1),"")</f>
        <v/>
      </c>
      <c r="G896" s="25" t="str" cm="1">
        <f t="array" ref="G896">IFERROR(_xlfn.XLOOKUP(Table57[[#This Row],[Code]],Table1[[#All],[Code]],Table1[[#All],[Time]],,0,-1),"")</f>
        <v/>
      </c>
      <c r="H896" s="23" t="str">
        <f>IFERROR(IF(Table57[[#This Row],[Out]]&gt;=Table57[[#This Row],[In]],Table57[[#This Row],[Out]]-Table57[[#This Row],[In]],(0.5+Table57[[#This Row],[Out]])-Table57[[#This Row],[In]]),"")</f>
        <v/>
      </c>
      <c r="I896" s="31" t="str">
        <f>IFERROR(IF(Table57[[#This Row],[In]]&gt;$C$2,Table57[[#This Row],[In]]-$C$2,""),"")</f>
        <v/>
      </c>
      <c r="J896" s="31" t="str">
        <f>IF(Table57[[#This Row],[Work_Hours]]=0,"",(IF(Table57[[#This Row],[Out]]&lt;$C$3,$C$3-Table57[[#This Row],[Out]],"")))</f>
        <v/>
      </c>
      <c r="K896" s="32" t="str">
        <f>IFERROR(Table57[[#This Row],[In]]+$C$1,"")</f>
        <v/>
      </c>
      <c r="L896" s="29"/>
      <c r="M896" s="31" t="str">
        <f>IF($C$2&gt;Table57[[#This Row],[In]],$C$2-Table57[[#This Row],[In]],"")</f>
        <v/>
      </c>
      <c r="N896" s="29" t="str">
        <f>IFERROR(IF(Table57[[#This Row],[Out]]&gt;$C$3,(Table57[[#This Row],[Out]])-($C$3),""),"")</f>
        <v/>
      </c>
    </row>
    <row r="897" spans="1:14" hidden="1" x14ac:dyDescent="0.25">
      <c r="A897" s="23" t="str">
        <f>Table57[[#This Row],[No.]]&amp;Table57[[#This Row],[Date]]</f>
        <v>00</v>
      </c>
      <c r="B897" s="22">
        <f>'Unique Dates'!A894</f>
        <v>0</v>
      </c>
      <c r="C897" s="22" t="e" cm="1">
        <f t="array" ref="C897">_xlfn.XLOOKUP(Table57[[#This Row],[No.]],Table2[[#All],[CODE]],Table2[[#All],[NAME]],,0,1)</f>
        <v>#N/A</v>
      </c>
      <c r="D897" s="6">
        <f>'Unique Dates'!B894</f>
        <v>0</v>
      </c>
      <c r="E897" t="str">
        <f>TEXT(Table57[[#This Row],[Date]],"dddd")</f>
        <v>Saturday</v>
      </c>
      <c r="F897" s="25" t="str" cm="1">
        <f t="array" ref="F897">IFERROR(_xlfn.XLOOKUP(Table57[[#This Row],[Code]],Table1[[#All],[Code]],Table1[[#All],[Time]],,0,1),"")</f>
        <v/>
      </c>
      <c r="G897" s="25" t="str" cm="1">
        <f t="array" ref="G897">IFERROR(_xlfn.XLOOKUP(Table57[[#This Row],[Code]],Table1[[#All],[Code]],Table1[[#All],[Time]],,0,-1),"")</f>
        <v/>
      </c>
      <c r="H897" s="23" t="str">
        <f>IFERROR(IF(Table57[[#This Row],[Out]]&gt;=Table57[[#This Row],[In]],Table57[[#This Row],[Out]]-Table57[[#This Row],[In]],(0.5+Table57[[#This Row],[Out]])-Table57[[#This Row],[In]]),"")</f>
        <v/>
      </c>
      <c r="I897" s="31" t="str">
        <f>IFERROR(IF(Table57[[#This Row],[In]]&gt;$C$2,Table57[[#This Row],[In]]-$C$2,""),"")</f>
        <v/>
      </c>
      <c r="J897" s="31" t="str">
        <f>IF(Table57[[#This Row],[Work_Hours]]=0,"",(IF(Table57[[#This Row],[Out]]&lt;$C$3,$C$3-Table57[[#This Row],[Out]],"")))</f>
        <v/>
      </c>
      <c r="K897" s="32" t="str">
        <f>IFERROR(Table57[[#This Row],[In]]+$C$1,"")</f>
        <v/>
      </c>
      <c r="L897" s="29"/>
      <c r="M897" s="31" t="str">
        <f>IF($C$2&gt;Table57[[#This Row],[In]],$C$2-Table57[[#This Row],[In]],"")</f>
        <v/>
      </c>
      <c r="N897" s="29" t="str">
        <f>IFERROR(IF(Table57[[#This Row],[Out]]&gt;$C$3,(Table57[[#This Row],[Out]])-($C$3),""),"")</f>
        <v/>
      </c>
    </row>
    <row r="898" spans="1:14" hidden="1" x14ac:dyDescent="0.25">
      <c r="A898" s="23" t="str">
        <f>Table57[[#This Row],[No.]]&amp;Table57[[#This Row],[Date]]</f>
        <v>00</v>
      </c>
      <c r="B898" s="22">
        <f>'Unique Dates'!A895</f>
        <v>0</v>
      </c>
      <c r="C898" s="22" t="e" cm="1">
        <f t="array" ref="C898">_xlfn.XLOOKUP(Table57[[#This Row],[No.]],Table2[[#All],[CODE]],Table2[[#All],[NAME]],,0,1)</f>
        <v>#N/A</v>
      </c>
      <c r="D898" s="6">
        <f>'Unique Dates'!B895</f>
        <v>0</v>
      </c>
      <c r="E898" t="str">
        <f>TEXT(Table57[[#This Row],[Date]],"dddd")</f>
        <v>Saturday</v>
      </c>
      <c r="F898" s="25" t="str" cm="1">
        <f t="array" ref="F898">IFERROR(_xlfn.XLOOKUP(Table57[[#This Row],[Code]],Table1[[#All],[Code]],Table1[[#All],[Time]],,0,1),"")</f>
        <v/>
      </c>
      <c r="G898" s="25" t="str" cm="1">
        <f t="array" ref="G898">IFERROR(_xlfn.XLOOKUP(Table57[[#This Row],[Code]],Table1[[#All],[Code]],Table1[[#All],[Time]],,0,-1),"")</f>
        <v/>
      </c>
      <c r="H898" s="23" t="str">
        <f>IFERROR(IF(Table57[[#This Row],[Out]]&gt;=Table57[[#This Row],[In]],Table57[[#This Row],[Out]]-Table57[[#This Row],[In]],(0.5+Table57[[#This Row],[Out]])-Table57[[#This Row],[In]]),"")</f>
        <v/>
      </c>
      <c r="I898" s="31" t="str">
        <f>IFERROR(IF(Table57[[#This Row],[In]]&gt;$C$2,Table57[[#This Row],[In]]-$C$2,""),"")</f>
        <v/>
      </c>
      <c r="J898" s="31" t="str">
        <f>IF(Table57[[#This Row],[Work_Hours]]=0,"",(IF(Table57[[#This Row],[Out]]&lt;$C$3,$C$3-Table57[[#This Row],[Out]],"")))</f>
        <v/>
      </c>
      <c r="K898" s="32" t="str">
        <f>IFERROR(Table57[[#This Row],[In]]+$C$1,"")</f>
        <v/>
      </c>
      <c r="L898" s="29"/>
      <c r="M898" s="31" t="str">
        <f>IF($C$2&gt;Table57[[#This Row],[In]],$C$2-Table57[[#This Row],[In]],"")</f>
        <v/>
      </c>
      <c r="N898" s="29" t="str">
        <f>IFERROR(IF(Table57[[#This Row],[Out]]&gt;$C$3,(Table57[[#This Row],[Out]])-($C$3),""),"")</f>
        <v/>
      </c>
    </row>
    <row r="899" spans="1:14" hidden="1" x14ac:dyDescent="0.25">
      <c r="A899" s="23" t="str">
        <f>Table57[[#This Row],[No.]]&amp;Table57[[#This Row],[Date]]</f>
        <v>00</v>
      </c>
      <c r="B899" s="22">
        <f>'Unique Dates'!A896</f>
        <v>0</v>
      </c>
      <c r="C899" s="22" t="e" cm="1">
        <f t="array" ref="C899">_xlfn.XLOOKUP(Table57[[#This Row],[No.]],Table2[[#All],[CODE]],Table2[[#All],[NAME]],,0,1)</f>
        <v>#N/A</v>
      </c>
      <c r="D899" s="6">
        <f>'Unique Dates'!B896</f>
        <v>0</v>
      </c>
      <c r="E899" t="str">
        <f>TEXT(Table57[[#This Row],[Date]],"dddd")</f>
        <v>Saturday</v>
      </c>
      <c r="F899" s="25" t="str" cm="1">
        <f t="array" ref="F899">IFERROR(_xlfn.XLOOKUP(Table57[[#This Row],[Code]],Table1[[#All],[Code]],Table1[[#All],[Time]],,0,1),"")</f>
        <v/>
      </c>
      <c r="G899" s="25" t="str" cm="1">
        <f t="array" ref="G899">IFERROR(_xlfn.XLOOKUP(Table57[[#This Row],[Code]],Table1[[#All],[Code]],Table1[[#All],[Time]],,0,-1),"")</f>
        <v/>
      </c>
      <c r="H899" s="23" t="str">
        <f>IFERROR(IF(Table57[[#This Row],[Out]]&gt;=Table57[[#This Row],[In]],Table57[[#This Row],[Out]]-Table57[[#This Row],[In]],(0.5+Table57[[#This Row],[Out]])-Table57[[#This Row],[In]]),"")</f>
        <v/>
      </c>
      <c r="I899" s="31" t="str">
        <f>IFERROR(IF(Table57[[#This Row],[In]]&gt;$C$2,Table57[[#This Row],[In]]-$C$2,""),"")</f>
        <v/>
      </c>
      <c r="J899" s="31" t="str">
        <f>IF(Table57[[#This Row],[Work_Hours]]=0,"",(IF(Table57[[#This Row],[Out]]&lt;$C$3,$C$3-Table57[[#This Row],[Out]],"")))</f>
        <v/>
      </c>
      <c r="K899" s="32" t="str">
        <f>IFERROR(Table57[[#This Row],[In]]+$C$1,"")</f>
        <v/>
      </c>
      <c r="L899" s="29"/>
      <c r="M899" s="31" t="str">
        <f>IF($C$2&gt;Table57[[#This Row],[In]],$C$2-Table57[[#This Row],[In]],"")</f>
        <v/>
      </c>
      <c r="N899" s="29" t="str">
        <f>IFERROR(IF(Table57[[#This Row],[Out]]&gt;$C$3,(Table57[[#This Row],[Out]])-($C$3),""),"")</f>
        <v/>
      </c>
    </row>
    <row r="900" spans="1:14" hidden="1" x14ac:dyDescent="0.25">
      <c r="A900" s="23" t="str">
        <f>Table57[[#This Row],[No.]]&amp;Table57[[#This Row],[Date]]</f>
        <v>00</v>
      </c>
      <c r="B900" s="22">
        <f>'Unique Dates'!A897</f>
        <v>0</v>
      </c>
      <c r="C900" s="22" t="e" cm="1">
        <f t="array" ref="C900">_xlfn.XLOOKUP(Table57[[#This Row],[No.]],Table2[[#All],[CODE]],Table2[[#All],[NAME]],,0,1)</f>
        <v>#N/A</v>
      </c>
      <c r="D900" s="6">
        <f>'Unique Dates'!B897</f>
        <v>0</v>
      </c>
      <c r="E900" t="str">
        <f>TEXT(Table57[[#This Row],[Date]],"dddd")</f>
        <v>Saturday</v>
      </c>
      <c r="F900" s="25" t="str" cm="1">
        <f t="array" ref="F900">IFERROR(_xlfn.XLOOKUP(Table57[[#This Row],[Code]],Table1[[#All],[Code]],Table1[[#All],[Time]],,0,1),"")</f>
        <v/>
      </c>
      <c r="G900" s="25" t="str" cm="1">
        <f t="array" ref="G900">IFERROR(_xlfn.XLOOKUP(Table57[[#This Row],[Code]],Table1[[#All],[Code]],Table1[[#All],[Time]],,0,-1),"")</f>
        <v/>
      </c>
      <c r="H900" s="23" t="str">
        <f>IFERROR(IF(Table57[[#This Row],[Out]]&gt;=Table57[[#This Row],[In]],Table57[[#This Row],[Out]]-Table57[[#This Row],[In]],(0.5+Table57[[#This Row],[Out]])-Table57[[#This Row],[In]]),"")</f>
        <v/>
      </c>
      <c r="I900" s="31" t="str">
        <f>IFERROR(IF(Table57[[#This Row],[In]]&gt;$C$2,Table57[[#This Row],[In]]-$C$2,""),"")</f>
        <v/>
      </c>
      <c r="J900" s="31" t="str">
        <f>IF(Table57[[#This Row],[Work_Hours]]=0,"",(IF(Table57[[#This Row],[Out]]&lt;$C$3,$C$3-Table57[[#This Row],[Out]],"")))</f>
        <v/>
      </c>
      <c r="K900" s="32" t="str">
        <f>IFERROR(Table57[[#This Row],[In]]+$C$1,"")</f>
        <v/>
      </c>
      <c r="L900" s="29"/>
      <c r="M900" s="31" t="str">
        <f>IF($C$2&gt;Table57[[#This Row],[In]],$C$2-Table57[[#This Row],[In]],"")</f>
        <v/>
      </c>
      <c r="N900" s="29" t="str">
        <f>IFERROR(IF(Table57[[#This Row],[Out]]&gt;$C$3,(Table57[[#This Row],[Out]])-($C$3),""),"")</f>
        <v/>
      </c>
    </row>
    <row r="901" spans="1:14" hidden="1" x14ac:dyDescent="0.25">
      <c r="A901" s="23" t="str">
        <f>Table57[[#This Row],[No.]]&amp;Table57[[#This Row],[Date]]</f>
        <v>00</v>
      </c>
      <c r="B901" s="22">
        <f>'Unique Dates'!A898</f>
        <v>0</v>
      </c>
      <c r="C901" s="22" t="e" cm="1">
        <f t="array" ref="C901">_xlfn.XLOOKUP(Table57[[#This Row],[No.]],Table2[[#All],[CODE]],Table2[[#All],[NAME]],,0,1)</f>
        <v>#N/A</v>
      </c>
      <c r="D901" s="6">
        <f>'Unique Dates'!B898</f>
        <v>0</v>
      </c>
      <c r="E901" t="str">
        <f>TEXT(Table57[[#This Row],[Date]],"dddd")</f>
        <v>Saturday</v>
      </c>
      <c r="F901" s="25" t="str" cm="1">
        <f t="array" ref="F901">IFERROR(_xlfn.XLOOKUP(Table57[[#This Row],[Code]],Table1[[#All],[Code]],Table1[[#All],[Time]],,0,1),"")</f>
        <v/>
      </c>
      <c r="G901" s="25" t="str" cm="1">
        <f t="array" ref="G901">IFERROR(_xlfn.XLOOKUP(Table57[[#This Row],[Code]],Table1[[#All],[Code]],Table1[[#All],[Time]],,0,-1),"")</f>
        <v/>
      </c>
      <c r="H901" s="23" t="str">
        <f>IFERROR(IF(Table57[[#This Row],[Out]]&gt;=Table57[[#This Row],[In]],Table57[[#This Row],[Out]]-Table57[[#This Row],[In]],(0.5+Table57[[#This Row],[Out]])-Table57[[#This Row],[In]]),"")</f>
        <v/>
      </c>
      <c r="I901" s="31" t="str">
        <f>IFERROR(IF(Table57[[#This Row],[In]]&gt;$C$2,Table57[[#This Row],[In]]-$C$2,""),"")</f>
        <v/>
      </c>
      <c r="J901" s="31" t="str">
        <f>IF(Table57[[#This Row],[Work_Hours]]=0,"",(IF(Table57[[#This Row],[Out]]&lt;$C$3,$C$3-Table57[[#This Row],[Out]],"")))</f>
        <v/>
      </c>
      <c r="K901" s="32" t="str">
        <f>IFERROR(Table57[[#This Row],[In]]+$C$1,"")</f>
        <v/>
      </c>
      <c r="L901" s="29"/>
      <c r="M901" s="31" t="str">
        <f>IF($C$2&gt;Table57[[#This Row],[In]],$C$2-Table57[[#This Row],[In]],"")</f>
        <v/>
      </c>
      <c r="N901" s="29" t="str">
        <f>IFERROR(IF(Table57[[#This Row],[Out]]&gt;$C$3,(Table57[[#This Row],[Out]])-($C$3),""),"")</f>
        <v/>
      </c>
    </row>
    <row r="902" spans="1:14" hidden="1" x14ac:dyDescent="0.25">
      <c r="A902" s="23" t="str">
        <f>Table57[[#This Row],[No.]]&amp;Table57[[#This Row],[Date]]</f>
        <v>00</v>
      </c>
      <c r="B902" s="22">
        <f>'Unique Dates'!A899</f>
        <v>0</v>
      </c>
      <c r="C902" s="22" t="e" cm="1">
        <f t="array" ref="C902">_xlfn.XLOOKUP(Table57[[#This Row],[No.]],Table2[[#All],[CODE]],Table2[[#All],[NAME]],,0,1)</f>
        <v>#N/A</v>
      </c>
      <c r="D902" s="6">
        <f>'Unique Dates'!B899</f>
        <v>0</v>
      </c>
      <c r="E902" t="str">
        <f>TEXT(Table57[[#This Row],[Date]],"dddd")</f>
        <v>Saturday</v>
      </c>
      <c r="F902" s="25" t="str" cm="1">
        <f t="array" ref="F902">IFERROR(_xlfn.XLOOKUP(Table57[[#This Row],[Code]],Table1[[#All],[Code]],Table1[[#All],[Time]],,0,1),"")</f>
        <v/>
      </c>
      <c r="G902" s="25" t="str" cm="1">
        <f t="array" ref="G902">IFERROR(_xlfn.XLOOKUP(Table57[[#This Row],[Code]],Table1[[#All],[Code]],Table1[[#All],[Time]],,0,-1),"")</f>
        <v/>
      </c>
      <c r="H902" s="23" t="str">
        <f>IFERROR(IF(Table57[[#This Row],[Out]]&gt;=Table57[[#This Row],[In]],Table57[[#This Row],[Out]]-Table57[[#This Row],[In]],(0.5+Table57[[#This Row],[Out]])-Table57[[#This Row],[In]]),"")</f>
        <v/>
      </c>
      <c r="I902" s="31" t="str">
        <f>IFERROR(IF(Table57[[#This Row],[In]]&gt;$C$2,Table57[[#This Row],[In]]-$C$2,""),"")</f>
        <v/>
      </c>
      <c r="J902" s="31" t="str">
        <f>IF(Table57[[#This Row],[Work_Hours]]=0,"",(IF(Table57[[#This Row],[Out]]&lt;$C$3,$C$3-Table57[[#This Row],[Out]],"")))</f>
        <v/>
      </c>
      <c r="K902" s="32" t="str">
        <f>IFERROR(Table57[[#This Row],[In]]+$C$1,"")</f>
        <v/>
      </c>
      <c r="L902" s="29"/>
      <c r="M902" s="31" t="str">
        <f>IF($C$2&gt;Table57[[#This Row],[In]],$C$2-Table57[[#This Row],[In]],"")</f>
        <v/>
      </c>
      <c r="N902" s="29" t="str">
        <f>IFERROR(IF(Table57[[#This Row],[Out]]&gt;$C$3,(Table57[[#This Row],[Out]])-($C$3),""),"")</f>
        <v/>
      </c>
    </row>
    <row r="903" spans="1:14" hidden="1" x14ac:dyDescent="0.25">
      <c r="A903" s="23" t="str">
        <f>Table57[[#This Row],[No.]]&amp;Table57[[#This Row],[Date]]</f>
        <v>00</v>
      </c>
      <c r="B903" s="22">
        <f>'Unique Dates'!A900</f>
        <v>0</v>
      </c>
      <c r="C903" s="22" t="e" cm="1">
        <f t="array" ref="C903">_xlfn.XLOOKUP(Table57[[#This Row],[No.]],Table2[[#All],[CODE]],Table2[[#All],[NAME]],,0,1)</f>
        <v>#N/A</v>
      </c>
      <c r="D903" s="6">
        <f>'Unique Dates'!B900</f>
        <v>0</v>
      </c>
      <c r="E903" t="str">
        <f>TEXT(Table57[[#This Row],[Date]],"dddd")</f>
        <v>Saturday</v>
      </c>
      <c r="F903" s="25" t="str" cm="1">
        <f t="array" ref="F903">IFERROR(_xlfn.XLOOKUP(Table57[[#This Row],[Code]],Table1[[#All],[Code]],Table1[[#All],[Time]],,0,1),"")</f>
        <v/>
      </c>
      <c r="G903" s="25" t="str" cm="1">
        <f t="array" ref="G903">IFERROR(_xlfn.XLOOKUP(Table57[[#This Row],[Code]],Table1[[#All],[Code]],Table1[[#All],[Time]],,0,-1),"")</f>
        <v/>
      </c>
      <c r="H903" s="23" t="str">
        <f>IFERROR(IF(Table57[[#This Row],[Out]]&gt;=Table57[[#This Row],[In]],Table57[[#This Row],[Out]]-Table57[[#This Row],[In]],(0.5+Table57[[#This Row],[Out]])-Table57[[#This Row],[In]]),"")</f>
        <v/>
      </c>
      <c r="I903" s="31" t="str">
        <f>IFERROR(IF(Table57[[#This Row],[In]]&gt;$C$2,Table57[[#This Row],[In]]-$C$2,""),"")</f>
        <v/>
      </c>
      <c r="J903" s="31" t="str">
        <f>IF(Table57[[#This Row],[Work_Hours]]=0,"",(IF(Table57[[#This Row],[Out]]&lt;$C$3,$C$3-Table57[[#This Row],[Out]],"")))</f>
        <v/>
      </c>
      <c r="K903" s="32" t="str">
        <f>IFERROR(Table57[[#This Row],[In]]+$C$1,"")</f>
        <v/>
      </c>
      <c r="L903" s="29"/>
      <c r="M903" s="31" t="str">
        <f>IF($C$2&gt;Table57[[#This Row],[In]],$C$2-Table57[[#This Row],[In]],"")</f>
        <v/>
      </c>
      <c r="N903" s="29" t="str">
        <f>IFERROR(IF(Table57[[#This Row],[Out]]&gt;$C$3,(Table57[[#This Row],[Out]])-($C$3),""),"")</f>
        <v/>
      </c>
    </row>
    <row r="904" spans="1:14" hidden="1" x14ac:dyDescent="0.25">
      <c r="A904" s="23" t="str">
        <f>Table57[[#This Row],[No.]]&amp;Table57[[#This Row],[Date]]</f>
        <v>00</v>
      </c>
      <c r="B904" s="22">
        <f>'Unique Dates'!A901</f>
        <v>0</v>
      </c>
      <c r="C904" s="22" t="e" cm="1">
        <f t="array" ref="C904">_xlfn.XLOOKUP(Table57[[#This Row],[No.]],Table2[[#All],[CODE]],Table2[[#All],[NAME]],,0,1)</f>
        <v>#N/A</v>
      </c>
      <c r="D904" s="6">
        <f>'Unique Dates'!B901</f>
        <v>0</v>
      </c>
      <c r="E904" t="str">
        <f>TEXT(Table57[[#This Row],[Date]],"dddd")</f>
        <v>Saturday</v>
      </c>
      <c r="F904" s="25" t="str" cm="1">
        <f t="array" ref="F904">IFERROR(_xlfn.XLOOKUP(Table57[[#This Row],[Code]],Table1[[#All],[Code]],Table1[[#All],[Time]],,0,1),"")</f>
        <v/>
      </c>
      <c r="G904" s="25" t="str" cm="1">
        <f t="array" ref="G904">IFERROR(_xlfn.XLOOKUP(Table57[[#This Row],[Code]],Table1[[#All],[Code]],Table1[[#All],[Time]],,0,-1),"")</f>
        <v/>
      </c>
      <c r="H904" s="23" t="str">
        <f>IFERROR(IF(Table57[[#This Row],[Out]]&gt;=Table57[[#This Row],[In]],Table57[[#This Row],[Out]]-Table57[[#This Row],[In]],(0.5+Table57[[#This Row],[Out]])-Table57[[#This Row],[In]]),"")</f>
        <v/>
      </c>
      <c r="I904" s="31" t="str">
        <f>IFERROR(IF(Table57[[#This Row],[In]]&gt;$C$2,Table57[[#This Row],[In]]-$C$2,""),"")</f>
        <v/>
      </c>
      <c r="J904" s="31" t="str">
        <f>IF(Table57[[#This Row],[Work_Hours]]=0,"",(IF(Table57[[#This Row],[Out]]&lt;$C$3,$C$3-Table57[[#This Row],[Out]],"")))</f>
        <v/>
      </c>
      <c r="K904" s="32" t="str">
        <f>IFERROR(Table57[[#This Row],[In]]+$C$1,"")</f>
        <v/>
      </c>
      <c r="L904" s="29"/>
      <c r="M904" s="31" t="str">
        <f>IF($C$2&gt;Table57[[#This Row],[In]],$C$2-Table57[[#This Row],[In]],"")</f>
        <v/>
      </c>
      <c r="N904" s="29" t="str">
        <f>IFERROR(IF(Table57[[#This Row],[Out]]&gt;$C$3,(Table57[[#This Row],[Out]])-($C$3),""),"")</f>
        <v/>
      </c>
    </row>
    <row r="905" spans="1:14" hidden="1" x14ac:dyDescent="0.25">
      <c r="A905" s="23" t="str">
        <f>Table57[[#This Row],[No.]]&amp;Table57[[#This Row],[Date]]</f>
        <v>00</v>
      </c>
      <c r="B905" s="22">
        <f>'Unique Dates'!A902</f>
        <v>0</v>
      </c>
      <c r="C905" s="22" t="e" cm="1">
        <f t="array" ref="C905">_xlfn.XLOOKUP(Table57[[#This Row],[No.]],Table2[[#All],[CODE]],Table2[[#All],[NAME]],,0,1)</f>
        <v>#N/A</v>
      </c>
      <c r="D905" s="6">
        <f>'Unique Dates'!B902</f>
        <v>0</v>
      </c>
      <c r="E905" t="str">
        <f>TEXT(Table57[[#This Row],[Date]],"dddd")</f>
        <v>Saturday</v>
      </c>
      <c r="F905" s="25" t="str" cm="1">
        <f t="array" ref="F905">IFERROR(_xlfn.XLOOKUP(Table57[[#This Row],[Code]],Table1[[#All],[Code]],Table1[[#All],[Time]],,0,1),"")</f>
        <v/>
      </c>
      <c r="G905" s="25" t="str" cm="1">
        <f t="array" ref="G905">IFERROR(_xlfn.XLOOKUP(Table57[[#This Row],[Code]],Table1[[#All],[Code]],Table1[[#All],[Time]],,0,-1),"")</f>
        <v/>
      </c>
      <c r="H905" s="23" t="str">
        <f>IFERROR(IF(Table57[[#This Row],[Out]]&gt;=Table57[[#This Row],[In]],Table57[[#This Row],[Out]]-Table57[[#This Row],[In]],(0.5+Table57[[#This Row],[Out]])-Table57[[#This Row],[In]]),"")</f>
        <v/>
      </c>
      <c r="I905" s="31" t="str">
        <f>IFERROR(IF(Table57[[#This Row],[In]]&gt;$C$2,Table57[[#This Row],[In]]-$C$2,""),"")</f>
        <v/>
      </c>
      <c r="J905" s="31" t="str">
        <f>IF(Table57[[#This Row],[Work_Hours]]=0,"",(IF(Table57[[#This Row],[Out]]&lt;$C$3,$C$3-Table57[[#This Row],[Out]],"")))</f>
        <v/>
      </c>
      <c r="K905" s="32" t="str">
        <f>IFERROR(Table57[[#This Row],[In]]+$C$1,"")</f>
        <v/>
      </c>
      <c r="L905" s="29"/>
      <c r="M905" s="31" t="str">
        <f>IF($C$2&gt;Table57[[#This Row],[In]],$C$2-Table57[[#This Row],[In]],"")</f>
        <v/>
      </c>
      <c r="N905" s="29" t="str">
        <f>IFERROR(IF(Table57[[#This Row],[Out]]&gt;$C$3,(Table57[[#This Row],[Out]])-($C$3),""),"")</f>
        <v/>
      </c>
    </row>
    <row r="906" spans="1:14" hidden="1" x14ac:dyDescent="0.25">
      <c r="A906" s="23" t="str">
        <f>Table57[[#This Row],[No.]]&amp;Table57[[#This Row],[Date]]</f>
        <v>00</v>
      </c>
      <c r="B906" s="22">
        <f>'Unique Dates'!A903</f>
        <v>0</v>
      </c>
      <c r="C906" s="22" t="e" cm="1">
        <f t="array" ref="C906">_xlfn.XLOOKUP(Table57[[#This Row],[No.]],Table2[[#All],[CODE]],Table2[[#All],[NAME]],,0,1)</f>
        <v>#N/A</v>
      </c>
      <c r="D906" s="6">
        <f>'Unique Dates'!B903</f>
        <v>0</v>
      </c>
      <c r="E906" t="str">
        <f>TEXT(Table57[[#This Row],[Date]],"dddd")</f>
        <v>Saturday</v>
      </c>
      <c r="F906" s="25" t="str" cm="1">
        <f t="array" ref="F906">IFERROR(_xlfn.XLOOKUP(Table57[[#This Row],[Code]],Table1[[#All],[Code]],Table1[[#All],[Time]],,0,1),"")</f>
        <v/>
      </c>
      <c r="G906" s="25" t="str" cm="1">
        <f t="array" ref="G906">IFERROR(_xlfn.XLOOKUP(Table57[[#This Row],[Code]],Table1[[#All],[Code]],Table1[[#All],[Time]],,0,-1),"")</f>
        <v/>
      </c>
      <c r="H906" s="23" t="str">
        <f>IFERROR(IF(Table57[[#This Row],[Out]]&gt;=Table57[[#This Row],[In]],Table57[[#This Row],[Out]]-Table57[[#This Row],[In]],(0.5+Table57[[#This Row],[Out]])-Table57[[#This Row],[In]]),"")</f>
        <v/>
      </c>
      <c r="I906" s="31" t="str">
        <f>IFERROR(IF(Table57[[#This Row],[In]]&gt;$C$2,Table57[[#This Row],[In]]-$C$2,""),"")</f>
        <v/>
      </c>
      <c r="J906" s="31" t="str">
        <f>IF(Table57[[#This Row],[Work_Hours]]=0,"",(IF(Table57[[#This Row],[Out]]&lt;$C$3,$C$3-Table57[[#This Row],[Out]],"")))</f>
        <v/>
      </c>
      <c r="K906" s="32" t="str">
        <f>IFERROR(Table57[[#This Row],[In]]+$C$1,"")</f>
        <v/>
      </c>
      <c r="L906" s="29"/>
      <c r="M906" s="31" t="str">
        <f>IF($C$2&gt;Table57[[#This Row],[In]],$C$2-Table57[[#This Row],[In]],"")</f>
        <v/>
      </c>
      <c r="N906" s="29" t="str">
        <f>IFERROR(IF(Table57[[#This Row],[Out]]&gt;$C$3,(Table57[[#This Row],[Out]])-($C$3),""),"")</f>
        <v/>
      </c>
    </row>
    <row r="907" spans="1:14" hidden="1" x14ac:dyDescent="0.25">
      <c r="A907" s="23" t="str">
        <f>Table57[[#This Row],[No.]]&amp;Table57[[#This Row],[Date]]</f>
        <v>00</v>
      </c>
      <c r="B907" s="22">
        <f>'Unique Dates'!A904</f>
        <v>0</v>
      </c>
      <c r="C907" s="22" t="e" cm="1">
        <f t="array" ref="C907">_xlfn.XLOOKUP(Table57[[#This Row],[No.]],Table2[[#All],[CODE]],Table2[[#All],[NAME]],,0,1)</f>
        <v>#N/A</v>
      </c>
      <c r="D907" s="6">
        <f>'Unique Dates'!B904</f>
        <v>0</v>
      </c>
      <c r="E907" t="str">
        <f>TEXT(Table57[[#This Row],[Date]],"dddd")</f>
        <v>Saturday</v>
      </c>
      <c r="F907" s="25" t="str" cm="1">
        <f t="array" ref="F907">IFERROR(_xlfn.XLOOKUP(Table57[[#This Row],[Code]],Table1[[#All],[Code]],Table1[[#All],[Time]],,0,1),"")</f>
        <v/>
      </c>
      <c r="G907" s="25" t="str" cm="1">
        <f t="array" ref="G907">IFERROR(_xlfn.XLOOKUP(Table57[[#This Row],[Code]],Table1[[#All],[Code]],Table1[[#All],[Time]],,0,-1),"")</f>
        <v/>
      </c>
      <c r="H907" s="23" t="str">
        <f>IFERROR(IF(Table57[[#This Row],[Out]]&gt;=Table57[[#This Row],[In]],Table57[[#This Row],[Out]]-Table57[[#This Row],[In]],(0.5+Table57[[#This Row],[Out]])-Table57[[#This Row],[In]]),"")</f>
        <v/>
      </c>
      <c r="I907" s="31" t="str">
        <f>IFERROR(IF(Table57[[#This Row],[In]]&gt;$C$2,Table57[[#This Row],[In]]-$C$2,""),"")</f>
        <v/>
      </c>
      <c r="J907" s="31" t="str">
        <f>IF(Table57[[#This Row],[Work_Hours]]=0,"",(IF(Table57[[#This Row],[Out]]&lt;$C$3,$C$3-Table57[[#This Row],[Out]],"")))</f>
        <v/>
      </c>
      <c r="K907" s="32" t="str">
        <f>IFERROR(Table57[[#This Row],[In]]+$C$1,"")</f>
        <v/>
      </c>
      <c r="L907" s="29"/>
      <c r="M907" s="31" t="str">
        <f>IF($C$2&gt;Table57[[#This Row],[In]],$C$2-Table57[[#This Row],[In]],"")</f>
        <v/>
      </c>
      <c r="N907" s="29" t="str">
        <f>IFERROR(IF(Table57[[#This Row],[Out]]&gt;$C$3,(Table57[[#This Row],[Out]])-($C$3),""),"")</f>
        <v/>
      </c>
    </row>
    <row r="908" spans="1:14" hidden="1" x14ac:dyDescent="0.25">
      <c r="A908" s="23" t="str">
        <f>Table57[[#This Row],[No.]]&amp;Table57[[#This Row],[Date]]</f>
        <v>00</v>
      </c>
      <c r="B908" s="22">
        <f>'Unique Dates'!A905</f>
        <v>0</v>
      </c>
      <c r="C908" s="22" t="e" cm="1">
        <f t="array" ref="C908">_xlfn.XLOOKUP(Table57[[#This Row],[No.]],Table2[[#All],[CODE]],Table2[[#All],[NAME]],,0,1)</f>
        <v>#N/A</v>
      </c>
      <c r="D908" s="6">
        <f>'Unique Dates'!B905</f>
        <v>0</v>
      </c>
      <c r="E908" t="str">
        <f>TEXT(Table57[[#This Row],[Date]],"dddd")</f>
        <v>Saturday</v>
      </c>
      <c r="F908" s="25" t="str" cm="1">
        <f t="array" ref="F908">IFERROR(_xlfn.XLOOKUP(Table57[[#This Row],[Code]],Table1[[#All],[Code]],Table1[[#All],[Time]],,0,1),"")</f>
        <v/>
      </c>
      <c r="G908" s="25" t="str" cm="1">
        <f t="array" ref="G908">IFERROR(_xlfn.XLOOKUP(Table57[[#This Row],[Code]],Table1[[#All],[Code]],Table1[[#All],[Time]],,0,-1),"")</f>
        <v/>
      </c>
      <c r="H908" s="23" t="str">
        <f>IFERROR(IF(Table57[[#This Row],[Out]]&gt;=Table57[[#This Row],[In]],Table57[[#This Row],[Out]]-Table57[[#This Row],[In]],(0.5+Table57[[#This Row],[Out]])-Table57[[#This Row],[In]]),"")</f>
        <v/>
      </c>
      <c r="I908" s="31" t="str">
        <f>IFERROR(IF(Table57[[#This Row],[In]]&gt;$C$2,Table57[[#This Row],[In]]-$C$2,""),"")</f>
        <v/>
      </c>
      <c r="J908" s="31" t="str">
        <f>IF(Table57[[#This Row],[Work_Hours]]=0,"",(IF(Table57[[#This Row],[Out]]&lt;$C$3,$C$3-Table57[[#This Row],[Out]],"")))</f>
        <v/>
      </c>
      <c r="K908" s="32" t="str">
        <f>IFERROR(Table57[[#This Row],[In]]+$C$1,"")</f>
        <v/>
      </c>
      <c r="L908" s="29"/>
      <c r="M908" s="31" t="str">
        <f>IF($C$2&gt;Table57[[#This Row],[In]],$C$2-Table57[[#This Row],[In]],"")</f>
        <v/>
      </c>
      <c r="N908" s="29" t="str">
        <f>IFERROR(IF(Table57[[#This Row],[Out]]&gt;$C$3,(Table57[[#This Row],[Out]])-($C$3),""),"")</f>
        <v/>
      </c>
    </row>
    <row r="909" spans="1:14" hidden="1" x14ac:dyDescent="0.25">
      <c r="A909" s="23" t="str">
        <f>Table57[[#This Row],[No.]]&amp;Table57[[#This Row],[Date]]</f>
        <v>00</v>
      </c>
      <c r="B909" s="22">
        <f>'Unique Dates'!A906</f>
        <v>0</v>
      </c>
      <c r="C909" s="22" t="e" cm="1">
        <f t="array" ref="C909">_xlfn.XLOOKUP(Table57[[#This Row],[No.]],Table2[[#All],[CODE]],Table2[[#All],[NAME]],,0,1)</f>
        <v>#N/A</v>
      </c>
      <c r="D909" s="6">
        <f>'Unique Dates'!B906</f>
        <v>0</v>
      </c>
      <c r="E909" t="str">
        <f>TEXT(Table57[[#This Row],[Date]],"dddd")</f>
        <v>Saturday</v>
      </c>
      <c r="F909" s="25" t="str" cm="1">
        <f t="array" ref="F909">IFERROR(_xlfn.XLOOKUP(Table57[[#This Row],[Code]],Table1[[#All],[Code]],Table1[[#All],[Time]],,0,1),"")</f>
        <v/>
      </c>
      <c r="G909" s="25" t="str" cm="1">
        <f t="array" ref="G909">IFERROR(_xlfn.XLOOKUP(Table57[[#This Row],[Code]],Table1[[#All],[Code]],Table1[[#All],[Time]],,0,-1),"")</f>
        <v/>
      </c>
      <c r="H909" s="23" t="str">
        <f>IFERROR(IF(Table57[[#This Row],[Out]]&gt;=Table57[[#This Row],[In]],Table57[[#This Row],[Out]]-Table57[[#This Row],[In]],(0.5+Table57[[#This Row],[Out]])-Table57[[#This Row],[In]]),"")</f>
        <v/>
      </c>
      <c r="I909" s="31" t="str">
        <f>IFERROR(IF(Table57[[#This Row],[In]]&gt;$C$2,Table57[[#This Row],[In]]-$C$2,""),"")</f>
        <v/>
      </c>
      <c r="J909" s="31" t="str">
        <f>IF(Table57[[#This Row],[Work_Hours]]=0,"",(IF(Table57[[#This Row],[Out]]&lt;$C$3,$C$3-Table57[[#This Row],[Out]],"")))</f>
        <v/>
      </c>
      <c r="K909" s="32" t="str">
        <f>IFERROR(Table57[[#This Row],[In]]+$C$1,"")</f>
        <v/>
      </c>
      <c r="L909" s="29"/>
      <c r="M909" s="31" t="str">
        <f>IF($C$2&gt;Table57[[#This Row],[In]],$C$2-Table57[[#This Row],[In]],"")</f>
        <v/>
      </c>
      <c r="N909" s="29" t="str">
        <f>IFERROR(IF(Table57[[#This Row],[Out]]&gt;$C$3,(Table57[[#This Row],[Out]])-($C$3),""),"")</f>
        <v/>
      </c>
    </row>
    <row r="910" spans="1:14" hidden="1" x14ac:dyDescent="0.25">
      <c r="A910" s="23" t="str">
        <f>Table57[[#This Row],[No.]]&amp;Table57[[#This Row],[Date]]</f>
        <v>00</v>
      </c>
      <c r="B910" s="22">
        <f>'Unique Dates'!A907</f>
        <v>0</v>
      </c>
      <c r="C910" s="22" t="e" cm="1">
        <f t="array" ref="C910">_xlfn.XLOOKUP(Table57[[#This Row],[No.]],Table2[[#All],[CODE]],Table2[[#All],[NAME]],,0,1)</f>
        <v>#N/A</v>
      </c>
      <c r="D910" s="6">
        <f>'Unique Dates'!B907</f>
        <v>0</v>
      </c>
      <c r="E910" t="str">
        <f>TEXT(Table57[[#This Row],[Date]],"dddd")</f>
        <v>Saturday</v>
      </c>
      <c r="F910" s="25" t="str" cm="1">
        <f t="array" ref="F910">IFERROR(_xlfn.XLOOKUP(Table57[[#This Row],[Code]],Table1[[#All],[Code]],Table1[[#All],[Time]],,0,1),"")</f>
        <v/>
      </c>
      <c r="G910" s="25" t="str" cm="1">
        <f t="array" ref="G910">IFERROR(_xlfn.XLOOKUP(Table57[[#This Row],[Code]],Table1[[#All],[Code]],Table1[[#All],[Time]],,0,-1),"")</f>
        <v/>
      </c>
      <c r="H910" s="23" t="str">
        <f>IFERROR(IF(Table57[[#This Row],[Out]]&gt;=Table57[[#This Row],[In]],Table57[[#This Row],[Out]]-Table57[[#This Row],[In]],(0.5+Table57[[#This Row],[Out]])-Table57[[#This Row],[In]]),"")</f>
        <v/>
      </c>
      <c r="I910" s="31" t="str">
        <f>IFERROR(IF(Table57[[#This Row],[In]]&gt;$C$2,Table57[[#This Row],[In]]-$C$2,""),"")</f>
        <v/>
      </c>
      <c r="J910" s="31" t="str">
        <f>IF(Table57[[#This Row],[Work_Hours]]=0,"",(IF(Table57[[#This Row],[Out]]&lt;$C$3,$C$3-Table57[[#This Row],[Out]],"")))</f>
        <v/>
      </c>
      <c r="K910" s="32" t="str">
        <f>IFERROR(Table57[[#This Row],[In]]+$C$1,"")</f>
        <v/>
      </c>
      <c r="L910" s="29"/>
      <c r="M910" s="31" t="str">
        <f>IF($C$2&gt;Table57[[#This Row],[In]],$C$2-Table57[[#This Row],[In]],"")</f>
        <v/>
      </c>
      <c r="N910" s="29" t="str">
        <f>IFERROR(IF(Table57[[#This Row],[Out]]&gt;$C$3,(Table57[[#This Row],[Out]])-($C$3),""),"")</f>
        <v/>
      </c>
    </row>
    <row r="911" spans="1:14" hidden="1" x14ac:dyDescent="0.25">
      <c r="A911" s="23" t="str">
        <f>Table57[[#This Row],[No.]]&amp;Table57[[#This Row],[Date]]</f>
        <v>00</v>
      </c>
      <c r="B911" s="22">
        <f>'Unique Dates'!A908</f>
        <v>0</v>
      </c>
      <c r="C911" s="22" t="e" cm="1">
        <f t="array" ref="C911">_xlfn.XLOOKUP(Table57[[#This Row],[No.]],Table2[[#All],[CODE]],Table2[[#All],[NAME]],,0,1)</f>
        <v>#N/A</v>
      </c>
      <c r="D911" s="6">
        <f>'Unique Dates'!B908</f>
        <v>0</v>
      </c>
      <c r="E911" t="str">
        <f>TEXT(Table57[[#This Row],[Date]],"dddd")</f>
        <v>Saturday</v>
      </c>
      <c r="F911" s="25" t="str" cm="1">
        <f t="array" ref="F911">IFERROR(_xlfn.XLOOKUP(Table57[[#This Row],[Code]],Table1[[#All],[Code]],Table1[[#All],[Time]],,0,1),"")</f>
        <v/>
      </c>
      <c r="G911" s="25" t="str" cm="1">
        <f t="array" ref="G911">IFERROR(_xlfn.XLOOKUP(Table57[[#This Row],[Code]],Table1[[#All],[Code]],Table1[[#All],[Time]],,0,-1),"")</f>
        <v/>
      </c>
      <c r="H911" s="23" t="str">
        <f>IFERROR(IF(Table57[[#This Row],[Out]]&gt;=Table57[[#This Row],[In]],Table57[[#This Row],[Out]]-Table57[[#This Row],[In]],(0.5+Table57[[#This Row],[Out]])-Table57[[#This Row],[In]]),"")</f>
        <v/>
      </c>
      <c r="I911" s="31" t="str">
        <f>IFERROR(IF(Table57[[#This Row],[In]]&gt;$C$2,Table57[[#This Row],[In]]-$C$2,""),"")</f>
        <v/>
      </c>
      <c r="J911" s="31" t="str">
        <f>IF(Table57[[#This Row],[Work_Hours]]=0,"",(IF(Table57[[#This Row],[Out]]&lt;$C$3,$C$3-Table57[[#This Row],[Out]],"")))</f>
        <v/>
      </c>
      <c r="K911" s="32" t="str">
        <f>IFERROR(Table57[[#This Row],[In]]+$C$1,"")</f>
        <v/>
      </c>
      <c r="L911" s="29"/>
      <c r="M911" s="31" t="str">
        <f>IF($C$2&gt;Table57[[#This Row],[In]],$C$2-Table57[[#This Row],[In]],"")</f>
        <v/>
      </c>
      <c r="N911" s="29" t="str">
        <f>IFERROR(IF(Table57[[#This Row],[Out]]&gt;$C$3,(Table57[[#This Row],[Out]])-($C$3),""),"")</f>
        <v/>
      </c>
    </row>
    <row r="912" spans="1:14" hidden="1" x14ac:dyDescent="0.25">
      <c r="A912" s="23" t="str">
        <f>Table57[[#This Row],[No.]]&amp;Table57[[#This Row],[Date]]</f>
        <v>00</v>
      </c>
      <c r="B912" s="22">
        <f>'Unique Dates'!A909</f>
        <v>0</v>
      </c>
      <c r="C912" s="22" t="e" cm="1">
        <f t="array" ref="C912">_xlfn.XLOOKUP(Table57[[#This Row],[No.]],Table2[[#All],[CODE]],Table2[[#All],[NAME]],,0,1)</f>
        <v>#N/A</v>
      </c>
      <c r="D912" s="6">
        <f>'Unique Dates'!B909</f>
        <v>0</v>
      </c>
      <c r="E912" t="str">
        <f>TEXT(Table57[[#This Row],[Date]],"dddd")</f>
        <v>Saturday</v>
      </c>
      <c r="F912" s="25" t="str" cm="1">
        <f t="array" ref="F912">IFERROR(_xlfn.XLOOKUP(Table57[[#This Row],[Code]],Table1[[#All],[Code]],Table1[[#All],[Time]],,0,1),"")</f>
        <v/>
      </c>
      <c r="G912" s="25" t="str" cm="1">
        <f t="array" ref="G912">IFERROR(_xlfn.XLOOKUP(Table57[[#This Row],[Code]],Table1[[#All],[Code]],Table1[[#All],[Time]],,0,-1),"")</f>
        <v/>
      </c>
      <c r="H912" s="23" t="str">
        <f>IFERROR(IF(Table57[[#This Row],[Out]]&gt;=Table57[[#This Row],[In]],Table57[[#This Row],[Out]]-Table57[[#This Row],[In]],(0.5+Table57[[#This Row],[Out]])-Table57[[#This Row],[In]]),"")</f>
        <v/>
      </c>
      <c r="I912" s="31" t="str">
        <f>IFERROR(IF(Table57[[#This Row],[In]]&gt;$C$2,Table57[[#This Row],[In]]-$C$2,""),"")</f>
        <v/>
      </c>
      <c r="J912" s="31" t="str">
        <f>IF(Table57[[#This Row],[Work_Hours]]=0,"",(IF(Table57[[#This Row],[Out]]&lt;$C$3,$C$3-Table57[[#This Row],[Out]],"")))</f>
        <v/>
      </c>
      <c r="K912" s="32" t="str">
        <f>IFERROR(Table57[[#This Row],[In]]+$C$1,"")</f>
        <v/>
      </c>
      <c r="L912" s="29"/>
      <c r="M912" s="31" t="str">
        <f>IF($C$2&gt;Table57[[#This Row],[In]],$C$2-Table57[[#This Row],[In]],"")</f>
        <v/>
      </c>
      <c r="N912" s="29" t="str">
        <f>IFERROR(IF(Table57[[#This Row],[Out]]&gt;$C$3,(Table57[[#This Row],[Out]])-($C$3),""),"")</f>
        <v/>
      </c>
    </row>
    <row r="913" spans="1:14" hidden="1" x14ac:dyDescent="0.25">
      <c r="A913" s="23" t="str">
        <f>Table57[[#This Row],[No.]]&amp;Table57[[#This Row],[Date]]</f>
        <v>00</v>
      </c>
      <c r="B913" s="22">
        <f>'Unique Dates'!A910</f>
        <v>0</v>
      </c>
      <c r="C913" s="22" t="e" cm="1">
        <f t="array" ref="C913">_xlfn.XLOOKUP(Table57[[#This Row],[No.]],Table2[[#All],[CODE]],Table2[[#All],[NAME]],,0,1)</f>
        <v>#N/A</v>
      </c>
      <c r="D913" s="6">
        <f>'Unique Dates'!B910</f>
        <v>0</v>
      </c>
      <c r="E913" t="str">
        <f>TEXT(Table57[[#This Row],[Date]],"dddd")</f>
        <v>Saturday</v>
      </c>
      <c r="F913" s="25" t="str" cm="1">
        <f t="array" ref="F913">IFERROR(_xlfn.XLOOKUP(Table57[[#This Row],[Code]],Table1[[#All],[Code]],Table1[[#All],[Time]],,0,1),"")</f>
        <v/>
      </c>
      <c r="G913" s="25" t="str" cm="1">
        <f t="array" ref="G913">IFERROR(_xlfn.XLOOKUP(Table57[[#This Row],[Code]],Table1[[#All],[Code]],Table1[[#All],[Time]],,0,-1),"")</f>
        <v/>
      </c>
      <c r="H913" s="23" t="str">
        <f>IFERROR(IF(Table57[[#This Row],[Out]]&gt;=Table57[[#This Row],[In]],Table57[[#This Row],[Out]]-Table57[[#This Row],[In]],(0.5+Table57[[#This Row],[Out]])-Table57[[#This Row],[In]]),"")</f>
        <v/>
      </c>
      <c r="I913" s="31" t="str">
        <f>IFERROR(IF(Table57[[#This Row],[In]]&gt;$C$2,Table57[[#This Row],[In]]-$C$2,""),"")</f>
        <v/>
      </c>
      <c r="J913" s="31" t="str">
        <f>IF(Table57[[#This Row],[Work_Hours]]=0,"",(IF(Table57[[#This Row],[Out]]&lt;$C$3,$C$3-Table57[[#This Row],[Out]],"")))</f>
        <v/>
      </c>
      <c r="K913" s="32" t="str">
        <f>IFERROR(Table57[[#This Row],[In]]+$C$1,"")</f>
        <v/>
      </c>
      <c r="L913" s="29"/>
      <c r="M913" s="31" t="str">
        <f>IF($C$2&gt;Table57[[#This Row],[In]],$C$2-Table57[[#This Row],[In]],"")</f>
        <v/>
      </c>
      <c r="N913" s="29" t="str">
        <f>IFERROR(IF(Table57[[#This Row],[Out]]&gt;$C$3,(Table57[[#This Row],[Out]])-($C$3),""),"")</f>
        <v/>
      </c>
    </row>
    <row r="914" spans="1:14" hidden="1" x14ac:dyDescent="0.25">
      <c r="A914" s="23" t="str">
        <f>Table57[[#This Row],[No.]]&amp;Table57[[#This Row],[Date]]</f>
        <v>00</v>
      </c>
      <c r="B914" s="22">
        <f>'Unique Dates'!A911</f>
        <v>0</v>
      </c>
      <c r="C914" s="22" t="e" cm="1">
        <f t="array" ref="C914">_xlfn.XLOOKUP(Table57[[#This Row],[No.]],Table2[[#All],[CODE]],Table2[[#All],[NAME]],,0,1)</f>
        <v>#N/A</v>
      </c>
      <c r="D914" s="6">
        <f>'Unique Dates'!B911</f>
        <v>0</v>
      </c>
      <c r="E914" t="str">
        <f>TEXT(Table57[[#This Row],[Date]],"dddd")</f>
        <v>Saturday</v>
      </c>
      <c r="F914" s="25" t="str" cm="1">
        <f t="array" ref="F914">IFERROR(_xlfn.XLOOKUP(Table57[[#This Row],[Code]],Table1[[#All],[Code]],Table1[[#All],[Time]],,0,1),"")</f>
        <v/>
      </c>
      <c r="G914" s="25" t="str" cm="1">
        <f t="array" ref="G914">IFERROR(_xlfn.XLOOKUP(Table57[[#This Row],[Code]],Table1[[#All],[Code]],Table1[[#All],[Time]],,0,-1),"")</f>
        <v/>
      </c>
      <c r="H914" s="23" t="str">
        <f>IFERROR(IF(Table57[[#This Row],[Out]]&gt;=Table57[[#This Row],[In]],Table57[[#This Row],[Out]]-Table57[[#This Row],[In]],(0.5+Table57[[#This Row],[Out]])-Table57[[#This Row],[In]]),"")</f>
        <v/>
      </c>
      <c r="I914" s="31" t="str">
        <f>IFERROR(IF(Table57[[#This Row],[In]]&gt;$C$2,Table57[[#This Row],[In]]-$C$2,""),"")</f>
        <v/>
      </c>
      <c r="J914" s="31" t="str">
        <f>IF(Table57[[#This Row],[Work_Hours]]=0,"",(IF(Table57[[#This Row],[Out]]&lt;$C$3,$C$3-Table57[[#This Row],[Out]],"")))</f>
        <v/>
      </c>
      <c r="K914" s="32" t="str">
        <f>IFERROR(Table57[[#This Row],[In]]+$C$1,"")</f>
        <v/>
      </c>
      <c r="L914" s="29"/>
      <c r="M914" s="31" t="str">
        <f>IF($C$2&gt;Table57[[#This Row],[In]],$C$2-Table57[[#This Row],[In]],"")</f>
        <v/>
      </c>
      <c r="N914" s="29" t="str">
        <f>IFERROR(IF(Table57[[#This Row],[Out]]&gt;$C$3,(Table57[[#This Row],[Out]])-($C$3),""),"")</f>
        <v/>
      </c>
    </row>
    <row r="915" spans="1:14" hidden="1" x14ac:dyDescent="0.25">
      <c r="A915" s="23" t="str">
        <f>Table57[[#This Row],[No.]]&amp;Table57[[#This Row],[Date]]</f>
        <v>00</v>
      </c>
      <c r="B915" s="22">
        <f>'Unique Dates'!A912</f>
        <v>0</v>
      </c>
      <c r="C915" s="22" t="e" cm="1">
        <f t="array" ref="C915">_xlfn.XLOOKUP(Table57[[#This Row],[No.]],Table2[[#All],[CODE]],Table2[[#All],[NAME]],,0,1)</f>
        <v>#N/A</v>
      </c>
      <c r="D915" s="6">
        <f>'Unique Dates'!B912</f>
        <v>0</v>
      </c>
      <c r="E915" t="str">
        <f>TEXT(Table57[[#This Row],[Date]],"dddd")</f>
        <v>Saturday</v>
      </c>
      <c r="F915" s="25" t="str" cm="1">
        <f t="array" ref="F915">IFERROR(_xlfn.XLOOKUP(Table57[[#This Row],[Code]],Table1[[#All],[Code]],Table1[[#All],[Time]],,0,1),"")</f>
        <v/>
      </c>
      <c r="G915" s="25" t="str" cm="1">
        <f t="array" ref="G915">IFERROR(_xlfn.XLOOKUP(Table57[[#This Row],[Code]],Table1[[#All],[Code]],Table1[[#All],[Time]],,0,-1),"")</f>
        <v/>
      </c>
      <c r="H915" s="23" t="str">
        <f>IFERROR(IF(Table57[[#This Row],[Out]]&gt;=Table57[[#This Row],[In]],Table57[[#This Row],[Out]]-Table57[[#This Row],[In]],(0.5+Table57[[#This Row],[Out]])-Table57[[#This Row],[In]]),"")</f>
        <v/>
      </c>
      <c r="I915" s="31" t="str">
        <f>IFERROR(IF(Table57[[#This Row],[In]]&gt;$C$2,Table57[[#This Row],[In]]-$C$2,""),"")</f>
        <v/>
      </c>
      <c r="J915" s="31" t="str">
        <f>IF(Table57[[#This Row],[Work_Hours]]=0,"",(IF(Table57[[#This Row],[Out]]&lt;$C$3,$C$3-Table57[[#This Row],[Out]],"")))</f>
        <v/>
      </c>
      <c r="K915" s="32" t="str">
        <f>IFERROR(Table57[[#This Row],[In]]+$C$1,"")</f>
        <v/>
      </c>
      <c r="L915" s="29"/>
      <c r="M915" s="31" t="str">
        <f>IF($C$2&gt;Table57[[#This Row],[In]],$C$2-Table57[[#This Row],[In]],"")</f>
        <v/>
      </c>
      <c r="N915" s="29" t="str">
        <f>IFERROR(IF(Table57[[#This Row],[Out]]&gt;$C$3,(Table57[[#This Row],[Out]])-($C$3),""),"")</f>
        <v/>
      </c>
    </row>
    <row r="916" spans="1:14" hidden="1" x14ac:dyDescent="0.25">
      <c r="A916" s="23" t="str">
        <f>Table57[[#This Row],[No.]]&amp;Table57[[#This Row],[Date]]</f>
        <v>00</v>
      </c>
      <c r="B916" s="22">
        <f>'Unique Dates'!A913</f>
        <v>0</v>
      </c>
      <c r="C916" s="22" t="e" cm="1">
        <f t="array" ref="C916">_xlfn.XLOOKUP(Table57[[#This Row],[No.]],Table2[[#All],[CODE]],Table2[[#All],[NAME]],,0,1)</f>
        <v>#N/A</v>
      </c>
      <c r="D916" s="6">
        <f>'Unique Dates'!B913</f>
        <v>0</v>
      </c>
      <c r="E916" t="str">
        <f>TEXT(Table57[[#This Row],[Date]],"dddd")</f>
        <v>Saturday</v>
      </c>
      <c r="F916" s="25" t="str" cm="1">
        <f t="array" ref="F916">IFERROR(_xlfn.XLOOKUP(Table57[[#This Row],[Code]],Table1[[#All],[Code]],Table1[[#All],[Time]],,0,1),"")</f>
        <v/>
      </c>
      <c r="G916" s="25" t="str" cm="1">
        <f t="array" ref="G916">IFERROR(_xlfn.XLOOKUP(Table57[[#This Row],[Code]],Table1[[#All],[Code]],Table1[[#All],[Time]],,0,-1),"")</f>
        <v/>
      </c>
      <c r="H916" s="23" t="str">
        <f>IFERROR(IF(Table57[[#This Row],[Out]]&gt;=Table57[[#This Row],[In]],Table57[[#This Row],[Out]]-Table57[[#This Row],[In]],(0.5+Table57[[#This Row],[Out]])-Table57[[#This Row],[In]]),"")</f>
        <v/>
      </c>
      <c r="I916" s="31" t="str">
        <f>IFERROR(IF(Table57[[#This Row],[In]]&gt;$C$2,Table57[[#This Row],[In]]-$C$2,""),"")</f>
        <v/>
      </c>
      <c r="J916" s="31" t="str">
        <f>IF(Table57[[#This Row],[Work_Hours]]=0,"",(IF(Table57[[#This Row],[Out]]&lt;$C$3,$C$3-Table57[[#This Row],[Out]],"")))</f>
        <v/>
      </c>
      <c r="K916" s="32" t="str">
        <f>IFERROR(Table57[[#This Row],[In]]+$C$1,"")</f>
        <v/>
      </c>
      <c r="L916" s="29"/>
      <c r="M916" s="31" t="str">
        <f>IF($C$2&gt;Table57[[#This Row],[In]],$C$2-Table57[[#This Row],[In]],"")</f>
        <v/>
      </c>
      <c r="N916" s="29" t="str">
        <f>IFERROR(IF(Table57[[#This Row],[Out]]&gt;$C$3,(Table57[[#This Row],[Out]])-($C$3),""),"")</f>
        <v/>
      </c>
    </row>
    <row r="917" spans="1:14" hidden="1" x14ac:dyDescent="0.25">
      <c r="A917" s="23" t="str">
        <f>Table57[[#This Row],[No.]]&amp;Table57[[#This Row],[Date]]</f>
        <v>00</v>
      </c>
      <c r="B917" s="22">
        <f>'Unique Dates'!A914</f>
        <v>0</v>
      </c>
      <c r="C917" s="22" t="e" cm="1">
        <f t="array" ref="C917">_xlfn.XLOOKUP(Table57[[#This Row],[No.]],Table2[[#All],[CODE]],Table2[[#All],[NAME]],,0,1)</f>
        <v>#N/A</v>
      </c>
      <c r="D917" s="6">
        <f>'Unique Dates'!B914</f>
        <v>0</v>
      </c>
      <c r="E917" t="str">
        <f>TEXT(Table57[[#This Row],[Date]],"dddd")</f>
        <v>Saturday</v>
      </c>
      <c r="F917" s="25" t="str" cm="1">
        <f t="array" ref="F917">IFERROR(_xlfn.XLOOKUP(Table57[[#This Row],[Code]],Table1[[#All],[Code]],Table1[[#All],[Time]],,0,1),"")</f>
        <v/>
      </c>
      <c r="G917" s="25" t="str" cm="1">
        <f t="array" ref="G917">IFERROR(_xlfn.XLOOKUP(Table57[[#This Row],[Code]],Table1[[#All],[Code]],Table1[[#All],[Time]],,0,-1),"")</f>
        <v/>
      </c>
      <c r="H917" s="23" t="str">
        <f>IFERROR(IF(Table57[[#This Row],[Out]]&gt;=Table57[[#This Row],[In]],Table57[[#This Row],[Out]]-Table57[[#This Row],[In]],(0.5+Table57[[#This Row],[Out]])-Table57[[#This Row],[In]]),"")</f>
        <v/>
      </c>
      <c r="I917" s="31" t="str">
        <f>IFERROR(IF(Table57[[#This Row],[In]]&gt;$C$2,Table57[[#This Row],[In]]-$C$2,""),"")</f>
        <v/>
      </c>
      <c r="J917" s="31" t="str">
        <f>IF(Table57[[#This Row],[Work_Hours]]=0,"",(IF(Table57[[#This Row],[Out]]&lt;$C$3,$C$3-Table57[[#This Row],[Out]],"")))</f>
        <v/>
      </c>
      <c r="K917" s="32" t="str">
        <f>IFERROR(Table57[[#This Row],[In]]+$C$1,"")</f>
        <v/>
      </c>
      <c r="L917" s="29"/>
      <c r="M917" s="31" t="str">
        <f>IF($C$2&gt;Table57[[#This Row],[In]],$C$2-Table57[[#This Row],[In]],"")</f>
        <v/>
      </c>
      <c r="N917" s="29" t="str">
        <f>IFERROR(IF(Table57[[#This Row],[Out]]&gt;$C$3,(Table57[[#This Row],[Out]])-($C$3),""),"")</f>
        <v/>
      </c>
    </row>
    <row r="918" spans="1:14" hidden="1" x14ac:dyDescent="0.25">
      <c r="A918" s="23" t="str">
        <f>Table57[[#This Row],[No.]]&amp;Table57[[#This Row],[Date]]</f>
        <v>00</v>
      </c>
      <c r="B918" s="22">
        <f>'Unique Dates'!A915</f>
        <v>0</v>
      </c>
      <c r="C918" s="22" t="e" cm="1">
        <f t="array" ref="C918">_xlfn.XLOOKUP(Table57[[#This Row],[No.]],Table2[[#All],[CODE]],Table2[[#All],[NAME]],,0,1)</f>
        <v>#N/A</v>
      </c>
      <c r="D918" s="6">
        <f>'Unique Dates'!B915</f>
        <v>0</v>
      </c>
      <c r="E918" t="str">
        <f>TEXT(Table57[[#This Row],[Date]],"dddd")</f>
        <v>Saturday</v>
      </c>
      <c r="F918" s="25" t="str" cm="1">
        <f t="array" ref="F918">IFERROR(_xlfn.XLOOKUP(Table57[[#This Row],[Code]],Table1[[#All],[Code]],Table1[[#All],[Time]],,0,1),"")</f>
        <v/>
      </c>
      <c r="G918" s="25" t="str" cm="1">
        <f t="array" ref="G918">IFERROR(_xlfn.XLOOKUP(Table57[[#This Row],[Code]],Table1[[#All],[Code]],Table1[[#All],[Time]],,0,-1),"")</f>
        <v/>
      </c>
      <c r="H918" s="23" t="str">
        <f>IFERROR(IF(Table57[[#This Row],[Out]]&gt;=Table57[[#This Row],[In]],Table57[[#This Row],[Out]]-Table57[[#This Row],[In]],(0.5+Table57[[#This Row],[Out]])-Table57[[#This Row],[In]]),"")</f>
        <v/>
      </c>
      <c r="I918" s="31" t="str">
        <f>IFERROR(IF(Table57[[#This Row],[In]]&gt;$C$2,Table57[[#This Row],[In]]-$C$2,""),"")</f>
        <v/>
      </c>
      <c r="J918" s="31" t="str">
        <f>IF(Table57[[#This Row],[Work_Hours]]=0,"",(IF(Table57[[#This Row],[Out]]&lt;$C$3,$C$3-Table57[[#This Row],[Out]],"")))</f>
        <v/>
      </c>
      <c r="K918" s="32" t="str">
        <f>IFERROR(Table57[[#This Row],[In]]+$C$1,"")</f>
        <v/>
      </c>
      <c r="L918" s="29"/>
      <c r="M918" s="31" t="str">
        <f>IF($C$2&gt;Table57[[#This Row],[In]],$C$2-Table57[[#This Row],[In]],"")</f>
        <v/>
      </c>
      <c r="N918" s="29" t="str">
        <f>IFERROR(IF(Table57[[#This Row],[Out]]&gt;$C$3,(Table57[[#This Row],[Out]])-($C$3),""),"")</f>
        <v/>
      </c>
    </row>
    <row r="919" spans="1:14" hidden="1" x14ac:dyDescent="0.25">
      <c r="A919" s="23" t="str">
        <f>Table57[[#This Row],[No.]]&amp;Table57[[#This Row],[Date]]</f>
        <v>00</v>
      </c>
      <c r="B919" s="22">
        <f>'Unique Dates'!A916</f>
        <v>0</v>
      </c>
      <c r="C919" s="22" t="e" cm="1">
        <f t="array" ref="C919">_xlfn.XLOOKUP(Table57[[#This Row],[No.]],Table2[[#All],[CODE]],Table2[[#All],[NAME]],,0,1)</f>
        <v>#N/A</v>
      </c>
      <c r="D919" s="6">
        <f>'Unique Dates'!B916</f>
        <v>0</v>
      </c>
      <c r="E919" t="str">
        <f>TEXT(Table57[[#This Row],[Date]],"dddd")</f>
        <v>Saturday</v>
      </c>
      <c r="F919" s="25" t="str" cm="1">
        <f t="array" ref="F919">IFERROR(_xlfn.XLOOKUP(Table57[[#This Row],[Code]],Table1[[#All],[Code]],Table1[[#All],[Time]],,0,1),"")</f>
        <v/>
      </c>
      <c r="G919" s="25" t="str" cm="1">
        <f t="array" ref="G919">IFERROR(_xlfn.XLOOKUP(Table57[[#This Row],[Code]],Table1[[#All],[Code]],Table1[[#All],[Time]],,0,-1),"")</f>
        <v/>
      </c>
      <c r="H919" s="23" t="str">
        <f>IFERROR(IF(Table57[[#This Row],[Out]]&gt;=Table57[[#This Row],[In]],Table57[[#This Row],[Out]]-Table57[[#This Row],[In]],(0.5+Table57[[#This Row],[Out]])-Table57[[#This Row],[In]]),"")</f>
        <v/>
      </c>
      <c r="I919" s="31" t="str">
        <f>IFERROR(IF(Table57[[#This Row],[In]]&gt;$C$2,Table57[[#This Row],[In]]-$C$2,""),"")</f>
        <v/>
      </c>
      <c r="J919" s="31" t="str">
        <f>IF(Table57[[#This Row],[Work_Hours]]=0,"",(IF(Table57[[#This Row],[Out]]&lt;$C$3,$C$3-Table57[[#This Row],[Out]],"")))</f>
        <v/>
      </c>
      <c r="K919" s="32" t="str">
        <f>IFERROR(Table57[[#This Row],[In]]+$C$1,"")</f>
        <v/>
      </c>
      <c r="L919" s="29"/>
      <c r="M919" s="31" t="str">
        <f>IF($C$2&gt;Table57[[#This Row],[In]],$C$2-Table57[[#This Row],[In]],"")</f>
        <v/>
      </c>
      <c r="N919" s="29" t="str">
        <f>IFERROR(IF(Table57[[#This Row],[Out]]&gt;$C$3,(Table57[[#This Row],[Out]])-($C$3),""),"")</f>
        <v/>
      </c>
    </row>
    <row r="920" spans="1:14" hidden="1" x14ac:dyDescent="0.25">
      <c r="A920" s="23" t="str">
        <f>Table57[[#This Row],[No.]]&amp;Table57[[#This Row],[Date]]</f>
        <v>00</v>
      </c>
      <c r="B920" s="22">
        <f>'Unique Dates'!A917</f>
        <v>0</v>
      </c>
      <c r="C920" s="22" t="e" cm="1">
        <f t="array" ref="C920">_xlfn.XLOOKUP(Table57[[#This Row],[No.]],Table2[[#All],[CODE]],Table2[[#All],[NAME]],,0,1)</f>
        <v>#N/A</v>
      </c>
      <c r="D920" s="6">
        <f>'Unique Dates'!B917</f>
        <v>0</v>
      </c>
      <c r="E920" t="str">
        <f>TEXT(Table57[[#This Row],[Date]],"dddd")</f>
        <v>Saturday</v>
      </c>
      <c r="F920" s="25" t="str" cm="1">
        <f t="array" ref="F920">IFERROR(_xlfn.XLOOKUP(Table57[[#This Row],[Code]],Table1[[#All],[Code]],Table1[[#All],[Time]],,0,1),"")</f>
        <v/>
      </c>
      <c r="G920" s="25" t="str" cm="1">
        <f t="array" ref="G920">IFERROR(_xlfn.XLOOKUP(Table57[[#This Row],[Code]],Table1[[#All],[Code]],Table1[[#All],[Time]],,0,-1),"")</f>
        <v/>
      </c>
      <c r="H920" s="23" t="str">
        <f>IFERROR(IF(Table57[[#This Row],[Out]]&gt;=Table57[[#This Row],[In]],Table57[[#This Row],[Out]]-Table57[[#This Row],[In]],(0.5+Table57[[#This Row],[Out]])-Table57[[#This Row],[In]]),"")</f>
        <v/>
      </c>
      <c r="I920" s="31" t="str">
        <f>IFERROR(IF(Table57[[#This Row],[In]]&gt;$C$2,Table57[[#This Row],[In]]-$C$2,""),"")</f>
        <v/>
      </c>
      <c r="J920" s="31" t="str">
        <f>IF(Table57[[#This Row],[Work_Hours]]=0,"",(IF(Table57[[#This Row],[Out]]&lt;$C$3,$C$3-Table57[[#This Row],[Out]],"")))</f>
        <v/>
      </c>
      <c r="K920" s="32" t="str">
        <f>IFERROR(Table57[[#This Row],[In]]+$C$1,"")</f>
        <v/>
      </c>
      <c r="L920" s="29"/>
      <c r="M920" s="31" t="str">
        <f>IF($C$2&gt;Table57[[#This Row],[In]],$C$2-Table57[[#This Row],[In]],"")</f>
        <v/>
      </c>
      <c r="N920" s="29" t="str">
        <f>IFERROR(IF(Table57[[#This Row],[Out]]&gt;$C$3,(Table57[[#This Row],[Out]])-($C$3),""),"")</f>
        <v/>
      </c>
    </row>
    <row r="921" spans="1:14" hidden="1" x14ac:dyDescent="0.25">
      <c r="A921" s="23" t="str">
        <f>Table57[[#This Row],[No.]]&amp;Table57[[#This Row],[Date]]</f>
        <v>00</v>
      </c>
      <c r="B921" s="22">
        <f>'Unique Dates'!A918</f>
        <v>0</v>
      </c>
      <c r="C921" s="22" t="e" cm="1">
        <f t="array" ref="C921">_xlfn.XLOOKUP(Table57[[#This Row],[No.]],Table2[[#All],[CODE]],Table2[[#All],[NAME]],,0,1)</f>
        <v>#N/A</v>
      </c>
      <c r="D921" s="6">
        <f>'Unique Dates'!B918</f>
        <v>0</v>
      </c>
      <c r="E921" t="str">
        <f>TEXT(Table57[[#This Row],[Date]],"dddd")</f>
        <v>Saturday</v>
      </c>
      <c r="F921" s="25" t="str" cm="1">
        <f t="array" ref="F921">IFERROR(_xlfn.XLOOKUP(Table57[[#This Row],[Code]],Table1[[#All],[Code]],Table1[[#All],[Time]],,0,1),"")</f>
        <v/>
      </c>
      <c r="G921" s="25" t="str" cm="1">
        <f t="array" ref="G921">IFERROR(_xlfn.XLOOKUP(Table57[[#This Row],[Code]],Table1[[#All],[Code]],Table1[[#All],[Time]],,0,-1),"")</f>
        <v/>
      </c>
      <c r="H921" s="23" t="str">
        <f>IFERROR(IF(Table57[[#This Row],[Out]]&gt;=Table57[[#This Row],[In]],Table57[[#This Row],[Out]]-Table57[[#This Row],[In]],(0.5+Table57[[#This Row],[Out]])-Table57[[#This Row],[In]]),"")</f>
        <v/>
      </c>
      <c r="I921" s="31" t="str">
        <f>IFERROR(IF(Table57[[#This Row],[In]]&gt;$C$2,Table57[[#This Row],[In]]-$C$2,""),"")</f>
        <v/>
      </c>
      <c r="J921" s="31" t="str">
        <f>IF(Table57[[#This Row],[Work_Hours]]=0,"",(IF(Table57[[#This Row],[Out]]&lt;$C$3,$C$3-Table57[[#This Row],[Out]],"")))</f>
        <v/>
      </c>
      <c r="K921" s="32" t="str">
        <f>IFERROR(Table57[[#This Row],[In]]+$C$1,"")</f>
        <v/>
      </c>
      <c r="L921" s="29"/>
      <c r="M921" s="31" t="str">
        <f>IF($C$2&gt;Table57[[#This Row],[In]],$C$2-Table57[[#This Row],[In]],"")</f>
        <v/>
      </c>
      <c r="N921" s="29" t="str">
        <f>IFERROR(IF(Table57[[#This Row],[Out]]&gt;$C$3,(Table57[[#This Row],[Out]])-($C$3),""),"")</f>
        <v/>
      </c>
    </row>
    <row r="922" spans="1:14" hidden="1" x14ac:dyDescent="0.25">
      <c r="A922" s="23" t="str">
        <f>Table57[[#This Row],[No.]]&amp;Table57[[#This Row],[Date]]</f>
        <v>00</v>
      </c>
      <c r="B922" s="22">
        <f>'Unique Dates'!A919</f>
        <v>0</v>
      </c>
      <c r="C922" s="22" t="e" cm="1">
        <f t="array" ref="C922">_xlfn.XLOOKUP(Table57[[#This Row],[No.]],Table2[[#All],[CODE]],Table2[[#All],[NAME]],,0,1)</f>
        <v>#N/A</v>
      </c>
      <c r="D922" s="6">
        <f>'Unique Dates'!B919</f>
        <v>0</v>
      </c>
      <c r="E922" t="str">
        <f>TEXT(Table57[[#This Row],[Date]],"dddd")</f>
        <v>Saturday</v>
      </c>
      <c r="F922" s="25" t="str" cm="1">
        <f t="array" ref="F922">IFERROR(_xlfn.XLOOKUP(Table57[[#This Row],[Code]],Table1[[#All],[Code]],Table1[[#All],[Time]],,0,1),"")</f>
        <v/>
      </c>
      <c r="G922" s="25" t="str" cm="1">
        <f t="array" ref="G922">IFERROR(_xlfn.XLOOKUP(Table57[[#This Row],[Code]],Table1[[#All],[Code]],Table1[[#All],[Time]],,0,-1),"")</f>
        <v/>
      </c>
      <c r="H922" s="23" t="str">
        <f>IFERROR(IF(Table57[[#This Row],[Out]]&gt;=Table57[[#This Row],[In]],Table57[[#This Row],[Out]]-Table57[[#This Row],[In]],(0.5+Table57[[#This Row],[Out]])-Table57[[#This Row],[In]]),"")</f>
        <v/>
      </c>
      <c r="I922" s="31" t="str">
        <f>IFERROR(IF(Table57[[#This Row],[In]]&gt;$C$2,Table57[[#This Row],[In]]-$C$2,""),"")</f>
        <v/>
      </c>
      <c r="J922" s="31" t="str">
        <f>IF(Table57[[#This Row],[Work_Hours]]=0,"",(IF(Table57[[#This Row],[Out]]&lt;$C$3,$C$3-Table57[[#This Row],[Out]],"")))</f>
        <v/>
      </c>
      <c r="K922" s="32" t="str">
        <f>IFERROR(Table57[[#This Row],[In]]+$C$1,"")</f>
        <v/>
      </c>
      <c r="L922" s="29"/>
      <c r="M922" s="31" t="str">
        <f>IF($C$2&gt;Table57[[#This Row],[In]],$C$2-Table57[[#This Row],[In]],"")</f>
        <v/>
      </c>
      <c r="N922" s="29" t="str">
        <f>IFERROR(IF(Table57[[#This Row],[Out]]&gt;$C$3,(Table57[[#This Row],[Out]])-($C$3),""),"")</f>
        <v/>
      </c>
    </row>
    <row r="923" spans="1:14" hidden="1" x14ac:dyDescent="0.25">
      <c r="A923" s="23" t="str">
        <f>Table57[[#This Row],[No.]]&amp;Table57[[#This Row],[Date]]</f>
        <v>00</v>
      </c>
      <c r="B923" s="22">
        <f>'Unique Dates'!A920</f>
        <v>0</v>
      </c>
      <c r="C923" s="22" t="e" cm="1">
        <f t="array" ref="C923">_xlfn.XLOOKUP(Table57[[#This Row],[No.]],Table2[[#All],[CODE]],Table2[[#All],[NAME]],,0,1)</f>
        <v>#N/A</v>
      </c>
      <c r="D923" s="6">
        <f>'Unique Dates'!B920</f>
        <v>0</v>
      </c>
      <c r="E923" t="str">
        <f>TEXT(Table57[[#This Row],[Date]],"dddd")</f>
        <v>Saturday</v>
      </c>
      <c r="F923" s="25" t="str" cm="1">
        <f t="array" ref="F923">IFERROR(_xlfn.XLOOKUP(Table57[[#This Row],[Code]],Table1[[#All],[Code]],Table1[[#All],[Time]],,0,1),"")</f>
        <v/>
      </c>
      <c r="G923" s="25" t="str" cm="1">
        <f t="array" ref="G923">IFERROR(_xlfn.XLOOKUP(Table57[[#This Row],[Code]],Table1[[#All],[Code]],Table1[[#All],[Time]],,0,-1),"")</f>
        <v/>
      </c>
      <c r="H923" s="23" t="str">
        <f>IFERROR(IF(Table57[[#This Row],[Out]]&gt;=Table57[[#This Row],[In]],Table57[[#This Row],[Out]]-Table57[[#This Row],[In]],(0.5+Table57[[#This Row],[Out]])-Table57[[#This Row],[In]]),"")</f>
        <v/>
      </c>
      <c r="I923" s="31" t="str">
        <f>IFERROR(IF(Table57[[#This Row],[In]]&gt;$C$2,Table57[[#This Row],[In]]-$C$2,""),"")</f>
        <v/>
      </c>
      <c r="J923" s="31" t="str">
        <f>IF(Table57[[#This Row],[Work_Hours]]=0,"",(IF(Table57[[#This Row],[Out]]&lt;$C$3,$C$3-Table57[[#This Row],[Out]],"")))</f>
        <v/>
      </c>
      <c r="K923" s="32" t="str">
        <f>IFERROR(Table57[[#This Row],[In]]+$C$1,"")</f>
        <v/>
      </c>
      <c r="L923" s="29"/>
      <c r="M923" s="31" t="str">
        <f>IF($C$2&gt;Table57[[#This Row],[In]],$C$2-Table57[[#This Row],[In]],"")</f>
        <v/>
      </c>
      <c r="N923" s="29" t="str">
        <f>IFERROR(IF(Table57[[#This Row],[Out]]&gt;$C$3,(Table57[[#This Row],[Out]])-($C$3),""),"")</f>
        <v/>
      </c>
    </row>
    <row r="924" spans="1:14" hidden="1" x14ac:dyDescent="0.25">
      <c r="A924" s="23" t="str">
        <f>Table57[[#This Row],[No.]]&amp;Table57[[#This Row],[Date]]</f>
        <v>00</v>
      </c>
      <c r="B924" s="22">
        <f>'Unique Dates'!A921</f>
        <v>0</v>
      </c>
      <c r="C924" s="22" t="e" cm="1">
        <f t="array" ref="C924">_xlfn.XLOOKUP(Table57[[#This Row],[No.]],Table2[[#All],[CODE]],Table2[[#All],[NAME]],,0,1)</f>
        <v>#N/A</v>
      </c>
      <c r="D924" s="6">
        <f>'Unique Dates'!B921</f>
        <v>0</v>
      </c>
      <c r="E924" t="str">
        <f>TEXT(Table57[[#This Row],[Date]],"dddd")</f>
        <v>Saturday</v>
      </c>
      <c r="F924" s="25" t="str" cm="1">
        <f t="array" ref="F924">IFERROR(_xlfn.XLOOKUP(Table57[[#This Row],[Code]],Table1[[#All],[Code]],Table1[[#All],[Time]],,0,1),"")</f>
        <v/>
      </c>
      <c r="G924" s="25" t="str" cm="1">
        <f t="array" ref="G924">IFERROR(_xlfn.XLOOKUP(Table57[[#This Row],[Code]],Table1[[#All],[Code]],Table1[[#All],[Time]],,0,-1),"")</f>
        <v/>
      </c>
      <c r="H924" s="23" t="str">
        <f>IFERROR(IF(Table57[[#This Row],[Out]]&gt;=Table57[[#This Row],[In]],Table57[[#This Row],[Out]]-Table57[[#This Row],[In]],(0.5+Table57[[#This Row],[Out]])-Table57[[#This Row],[In]]),"")</f>
        <v/>
      </c>
      <c r="I924" s="31" t="str">
        <f>IFERROR(IF(Table57[[#This Row],[In]]&gt;$C$2,Table57[[#This Row],[In]]-$C$2,""),"")</f>
        <v/>
      </c>
      <c r="J924" s="31" t="str">
        <f>IF(Table57[[#This Row],[Work_Hours]]=0,"",(IF(Table57[[#This Row],[Out]]&lt;$C$3,$C$3-Table57[[#This Row],[Out]],"")))</f>
        <v/>
      </c>
      <c r="K924" s="32" t="str">
        <f>IFERROR(Table57[[#This Row],[In]]+$C$1,"")</f>
        <v/>
      </c>
      <c r="L924" s="29"/>
      <c r="M924" s="31" t="str">
        <f>IF($C$2&gt;Table57[[#This Row],[In]],$C$2-Table57[[#This Row],[In]],"")</f>
        <v/>
      </c>
      <c r="N924" s="29" t="str">
        <f>IFERROR(IF(Table57[[#This Row],[Out]]&gt;$C$3,(Table57[[#This Row],[Out]])-($C$3),""),"")</f>
        <v/>
      </c>
    </row>
    <row r="925" spans="1:14" hidden="1" x14ac:dyDescent="0.25">
      <c r="A925" s="23" t="str">
        <f>Table57[[#This Row],[No.]]&amp;Table57[[#This Row],[Date]]</f>
        <v>00</v>
      </c>
      <c r="B925" s="22">
        <f>'Unique Dates'!A922</f>
        <v>0</v>
      </c>
      <c r="C925" s="22" t="e" cm="1">
        <f t="array" ref="C925">_xlfn.XLOOKUP(Table57[[#This Row],[No.]],Table2[[#All],[CODE]],Table2[[#All],[NAME]],,0,1)</f>
        <v>#N/A</v>
      </c>
      <c r="D925" s="6">
        <f>'Unique Dates'!B922</f>
        <v>0</v>
      </c>
      <c r="E925" t="str">
        <f>TEXT(Table57[[#This Row],[Date]],"dddd")</f>
        <v>Saturday</v>
      </c>
      <c r="F925" s="25" t="str" cm="1">
        <f t="array" ref="F925">IFERROR(_xlfn.XLOOKUP(Table57[[#This Row],[Code]],Table1[[#All],[Code]],Table1[[#All],[Time]],,0,1),"")</f>
        <v/>
      </c>
      <c r="G925" s="25" t="str" cm="1">
        <f t="array" ref="G925">IFERROR(_xlfn.XLOOKUP(Table57[[#This Row],[Code]],Table1[[#All],[Code]],Table1[[#All],[Time]],,0,-1),"")</f>
        <v/>
      </c>
      <c r="H925" s="23" t="str">
        <f>IFERROR(IF(Table57[[#This Row],[Out]]&gt;=Table57[[#This Row],[In]],Table57[[#This Row],[Out]]-Table57[[#This Row],[In]],(0.5+Table57[[#This Row],[Out]])-Table57[[#This Row],[In]]),"")</f>
        <v/>
      </c>
      <c r="I925" s="31" t="str">
        <f>IFERROR(IF(Table57[[#This Row],[In]]&gt;$C$2,Table57[[#This Row],[In]]-$C$2,""),"")</f>
        <v/>
      </c>
      <c r="J925" s="31" t="str">
        <f>IF(Table57[[#This Row],[Work_Hours]]=0,"",(IF(Table57[[#This Row],[Out]]&lt;$C$3,$C$3-Table57[[#This Row],[Out]],"")))</f>
        <v/>
      </c>
      <c r="K925" s="32" t="str">
        <f>IFERROR(Table57[[#This Row],[In]]+$C$1,"")</f>
        <v/>
      </c>
      <c r="L925" s="29"/>
      <c r="M925" s="31" t="str">
        <f>IF($C$2&gt;Table57[[#This Row],[In]],$C$2-Table57[[#This Row],[In]],"")</f>
        <v/>
      </c>
      <c r="N925" s="29" t="str">
        <f>IFERROR(IF(Table57[[#This Row],[Out]]&gt;$C$3,(Table57[[#This Row],[Out]])-($C$3),""),"")</f>
        <v/>
      </c>
    </row>
    <row r="926" spans="1:14" hidden="1" x14ac:dyDescent="0.25">
      <c r="A926" s="23" t="str">
        <f>Table57[[#This Row],[No.]]&amp;Table57[[#This Row],[Date]]</f>
        <v>00</v>
      </c>
      <c r="B926" s="22">
        <f>'Unique Dates'!A923</f>
        <v>0</v>
      </c>
      <c r="C926" s="22" t="e" cm="1">
        <f t="array" ref="C926">_xlfn.XLOOKUP(Table57[[#This Row],[No.]],Table2[[#All],[CODE]],Table2[[#All],[NAME]],,0,1)</f>
        <v>#N/A</v>
      </c>
      <c r="D926" s="6">
        <f>'Unique Dates'!B923</f>
        <v>0</v>
      </c>
      <c r="E926" t="str">
        <f>TEXT(Table57[[#This Row],[Date]],"dddd")</f>
        <v>Saturday</v>
      </c>
      <c r="F926" s="25" t="str" cm="1">
        <f t="array" ref="F926">IFERROR(_xlfn.XLOOKUP(Table57[[#This Row],[Code]],Table1[[#All],[Code]],Table1[[#All],[Time]],,0,1),"")</f>
        <v/>
      </c>
      <c r="G926" s="25" t="str" cm="1">
        <f t="array" ref="G926">IFERROR(_xlfn.XLOOKUP(Table57[[#This Row],[Code]],Table1[[#All],[Code]],Table1[[#All],[Time]],,0,-1),"")</f>
        <v/>
      </c>
      <c r="H926" s="23" t="str">
        <f>IFERROR(IF(Table57[[#This Row],[Out]]&gt;=Table57[[#This Row],[In]],Table57[[#This Row],[Out]]-Table57[[#This Row],[In]],(0.5+Table57[[#This Row],[Out]])-Table57[[#This Row],[In]]),"")</f>
        <v/>
      </c>
      <c r="I926" s="31" t="str">
        <f>IFERROR(IF(Table57[[#This Row],[In]]&gt;$C$2,Table57[[#This Row],[In]]-$C$2,""),"")</f>
        <v/>
      </c>
      <c r="J926" s="31" t="str">
        <f>IF(Table57[[#This Row],[Work_Hours]]=0,"",(IF(Table57[[#This Row],[Out]]&lt;$C$3,$C$3-Table57[[#This Row],[Out]],"")))</f>
        <v/>
      </c>
      <c r="K926" s="32" t="str">
        <f>IFERROR(Table57[[#This Row],[In]]+$C$1,"")</f>
        <v/>
      </c>
      <c r="L926" s="29"/>
      <c r="M926" s="31" t="str">
        <f>IF($C$2&gt;Table57[[#This Row],[In]],$C$2-Table57[[#This Row],[In]],"")</f>
        <v/>
      </c>
      <c r="N926" s="29" t="str">
        <f>IFERROR(IF(Table57[[#This Row],[Out]]&gt;$C$3,(Table57[[#This Row],[Out]])-($C$3),""),"")</f>
        <v/>
      </c>
    </row>
    <row r="927" spans="1:14" hidden="1" x14ac:dyDescent="0.25">
      <c r="A927" s="23" t="str">
        <f>Table57[[#This Row],[No.]]&amp;Table57[[#This Row],[Date]]</f>
        <v>00</v>
      </c>
      <c r="B927" s="22">
        <f>'Unique Dates'!A924</f>
        <v>0</v>
      </c>
      <c r="C927" s="22" t="e" cm="1">
        <f t="array" ref="C927">_xlfn.XLOOKUP(Table57[[#This Row],[No.]],Table2[[#All],[CODE]],Table2[[#All],[NAME]],,0,1)</f>
        <v>#N/A</v>
      </c>
      <c r="D927" s="6">
        <f>'Unique Dates'!B924</f>
        <v>0</v>
      </c>
      <c r="E927" t="str">
        <f>TEXT(Table57[[#This Row],[Date]],"dddd")</f>
        <v>Saturday</v>
      </c>
      <c r="F927" s="25" t="str" cm="1">
        <f t="array" ref="F927">IFERROR(_xlfn.XLOOKUP(Table57[[#This Row],[Code]],Table1[[#All],[Code]],Table1[[#All],[Time]],,0,1),"")</f>
        <v/>
      </c>
      <c r="G927" s="25" t="str" cm="1">
        <f t="array" ref="G927">IFERROR(_xlfn.XLOOKUP(Table57[[#This Row],[Code]],Table1[[#All],[Code]],Table1[[#All],[Time]],,0,-1),"")</f>
        <v/>
      </c>
      <c r="H927" s="23" t="str">
        <f>IFERROR(IF(Table57[[#This Row],[Out]]&gt;=Table57[[#This Row],[In]],Table57[[#This Row],[Out]]-Table57[[#This Row],[In]],(0.5+Table57[[#This Row],[Out]])-Table57[[#This Row],[In]]),"")</f>
        <v/>
      </c>
      <c r="I927" s="31" t="str">
        <f>IFERROR(IF(Table57[[#This Row],[In]]&gt;$C$2,Table57[[#This Row],[In]]-$C$2,""),"")</f>
        <v/>
      </c>
      <c r="J927" s="31" t="str">
        <f>IF(Table57[[#This Row],[Work_Hours]]=0,"",(IF(Table57[[#This Row],[Out]]&lt;$C$3,$C$3-Table57[[#This Row],[Out]],"")))</f>
        <v/>
      </c>
      <c r="K927" s="32" t="str">
        <f>IFERROR(Table57[[#This Row],[In]]+$C$1,"")</f>
        <v/>
      </c>
      <c r="L927" s="29"/>
      <c r="M927" s="31" t="str">
        <f>IF($C$2&gt;Table57[[#This Row],[In]],$C$2-Table57[[#This Row],[In]],"")</f>
        <v/>
      </c>
      <c r="N927" s="29" t="str">
        <f>IFERROR(IF(Table57[[#This Row],[Out]]&gt;$C$3,(Table57[[#This Row],[Out]])-($C$3),""),"")</f>
        <v/>
      </c>
    </row>
    <row r="928" spans="1:14" hidden="1" x14ac:dyDescent="0.25">
      <c r="A928" s="23" t="str">
        <f>Table57[[#This Row],[No.]]&amp;Table57[[#This Row],[Date]]</f>
        <v>00</v>
      </c>
      <c r="B928" s="22">
        <f>'Unique Dates'!A925</f>
        <v>0</v>
      </c>
      <c r="C928" s="22" t="e" cm="1">
        <f t="array" ref="C928">_xlfn.XLOOKUP(Table57[[#This Row],[No.]],Table2[[#All],[CODE]],Table2[[#All],[NAME]],,0,1)</f>
        <v>#N/A</v>
      </c>
      <c r="D928" s="6">
        <f>'Unique Dates'!B925</f>
        <v>0</v>
      </c>
      <c r="E928" t="str">
        <f>TEXT(Table57[[#This Row],[Date]],"dddd")</f>
        <v>Saturday</v>
      </c>
      <c r="F928" s="25" t="str" cm="1">
        <f t="array" ref="F928">IFERROR(_xlfn.XLOOKUP(Table57[[#This Row],[Code]],Table1[[#All],[Code]],Table1[[#All],[Time]],,0,1),"")</f>
        <v/>
      </c>
      <c r="G928" s="25" t="str" cm="1">
        <f t="array" ref="G928">IFERROR(_xlfn.XLOOKUP(Table57[[#This Row],[Code]],Table1[[#All],[Code]],Table1[[#All],[Time]],,0,-1),"")</f>
        <v/>
      </c>
      <c r="H928" s="23" t="str">
        <f>IFERROR(IF(Table57[[#This Row],[Out]]&gt;=Table57[[#This Row],[In]],Table57[[#This Row],[Out]]-Table57[[#This Row],[In]],(0.5+Table57[[#This Row],[Out]])-Table57[[#This Row],[In]]),"")</f>
        <v/>
      </c>
      <c r="I928" s="31" t="str">
        <f>IFERROR(IF(Table57[[#This Row],[In]]&gt;$C$2,Table57[[#This Row],[In]]-$C$2,""),"")</f>
        <v/>
      </c>
      <c r="J928" s="31" t="str">
        <f>IF(Table57[[#This Row],[Work_Hours]]=0,"",(IF(Table57[[#This Row],[Out]]&lt;$C$3,$C$3-Table57[[#This Row],[Out]],"")))</f>
        <v/>
      </c>
      <c r="K928" s="32" t="str">
        <f>IFERROR(Table57[[#This Row],[In]]+$C$1,"")</f>
        <v/>
      </c>
      <c r="L928" s="29"/>
      <c r="M928" s="31" t="str">
        <f>IF($C$2&gt;Table57[[#This Row],[In]],$C$2-Table57[[#This Row],[In]],"")</f>
        <v/>
      </c>
      <c r="N928" s="29" t="str">
        <f>IFERROR(IF(Table57[[#This Row],[Out]]&gt;$C$3,(Table57[[#This Row],[Out]])-($C$3),""),"")</f>
        <v/>
      </c>
    </row>
    <row r="929" spans="1:14" hidden="1" x14ac:dyDescent="0.25">
      <c r="A929" s="23" t="str">
        <f>Table57[[#This Row],[No.]]&amp;Table57[[#This Row],[Date]]</f>
        <v>00</v>
      </c>
      <c r="B929" s="22">
        <f>'Unique Dates'!A926</f>
        <v>0</v>
      </c>
      <c r="C929" s="22" t="e" cm="1">
        <f t="array" ref="C929">_xlfn.XLOOKUP(Table57[[#This Row],[No.]],Table2[[#All],[CODE]],Table2[[#All],[NAME]],,0,1)</f>
        <v>#N/A</v>
      </c>
      <c r="D929" s="6">
        <f>'Unique Dates'!B926</f>
        <v>0</v>
      </c>
      <c r="E929" t="str">
        <f>TEXT(Table57[[#This Row],[Date]],"dddd")</f>
        <v>Saturday</v>
      </c>
      <c r="F929" s="25" t="str" cm="1">
        <f t="array" ref="F929">IFERROR(_xlfn.XLOOKUP(Table57[[#This Row],[Code]],Table1[[#All],[Code]],Table1[[#All],[Time]],,0,1),"")</f>
        <v/>
      </c>
      <c r="G929" s="25" t="str" cm="1">
        <f t="array" ref="G929">IFERROR(_xlfn.XLOOKUP(Table57[[#This Row],[Code]],Table1[[#All],[Code]],Table1[[#All],[Time]],,0,-1),"")</f>
        <v/>
      </c>
      <c r="H929" s="23" t="str">
        <f>IFERROR(IF(Table57[[#This Row],[Out]]&gt;=Table57[[#This Row],[In]],Table57[[#This Row],[Out]]-Table57[[#This Row],[In]],(0.5+Table57[[#This Row],[Out]])-Table57[[#This Row],[In]]),"")</f>
        <v/>
      </c>
      <c r="I929" s="31" t="str">
        <f>IFERROR(IF(Table57[[#This Row],[In]]&gt;$C$2,Table57[[#This Row],[In]]-$C$2,""),"")</f>
        <v/>
      </c>
      <c r="J929" s="31" t="str">
        <f>IF(Table57[[#This Row],[Work_Hours]]=0,"",(IF(Table57[[#This Row],[Out]]&lt;$C$3,$C$3-Table57[[#This Row],[Out]],"")))</f>
        <v/>
      </c>
      <c r="K929" s="32" t="str">
        <f>IFERROR(Table57[[#This Row],[In]]+$C$1,"")</f>
        <v/>
      </c>
      <c r="L929" s="29"/>
      <c r="M929" s="31" t="str">
        <f>IF($C$2&gt;Table57[[#This Row],[In]],$C$2-Table57[[#This Row],[In]],"")</f>
        <v/>
      </c>
      <c r="N929" s="29" t="str">
        <f>IFERROR(IF(Table57[[#This Row],[Out]]&gt;$C$3,(Table57[[#This Row],[Out]])-($C$3),""),"")</f>
        <v/>
      </c>
    </row>
    <row r="930" spans="1:14" hidden="1" x14ac:dyDescent="0.25">
      <c r="A930" s="23" t="str">
        <f>Table57[[#This Row],[No.]]&amp;Table57[[#This Row],[Date]]</f>
        <v>00</v>
      </c>
      <c r="B930" s="22">
        <f>'Unique Dates'!A927</f>
        <v>0</v>
      </c>
      <c r="C930" s="22" t="e" cm="1">
        <f t="array" ref="C930">_xlfn.XLOOKUP(Table57[[#This Row],[No.]],Table2[[#All],[CODE]],Table2[[#All],[NAME]],,0,1)</f>
        <v>#N/A</v>
      </c>
      <c r="D930" s="6">
        <f>'Unique Dates'!B927</f>
        <v>0</v>
      </c>
      <c r="E930" t="str">
        <f>TEXT(Table57[[#This Row],[Date]],"dddd")</f>
        <v>Saturday</v>
      </c>
      <c r="F930" s="25" t="str" cm="1">
        <f t="array" ref="F930">IFERROR(_xlfn.XLOOKUP(Table57[[#This Row],[Code]],Table1[[#All],[Code]],Table1[[#All],[Time]],,0,1),"")</f>
        <v/>
      </c>
      <c r="G930" s="25" t="str" cm="1">
        <f t="array" ref="G930">IFERROR(_xlfn.XLOOKUP(Table57[[#This Row],[Code]],Table1[[#All],[Code]],Table1[[#All],[Time]],,0,-1),"")</f>
        <v/>
      </c>
      <c r="H930" s="23" t="str">
        <f>IFERROR(IF(Table57[[#This Row],[Out]]&gt;=Table57[[#This Row],[In]],Table57[[#This Row],[Out]]-Table57[[#This Row],[In]],(0.5+Table57[[#This Row],[Out]])-Table57[[#This Row],[In]]),"")</f>
        <v/>
      </c>
      <c r="I930" s="31" t="str">
        <f>IFERROR(IF(Table57[[#This Row],[In]]&gt;$C$2,Table57[[#This Row],[In]]-$C$2,""),"")</f>
        <v/>
      </c>
      <c r="J930" s="31" t="str">
        <f>IF(Table57[[#This Row],[Work_Hours]]=0,"",(IF(Table57[[#This Row],[Out]]&lt;$C$3,$C$3-Table57[[#This Row],[Out]],"")))</f>
        <v/>
      </c>
      <c r="K930" s="32" t="str">
        <f>IFERROR(Table57[[#This Row],[In]]+$C$1,"")</f>
        <v/>
      </c>
      <c r="L930" s="29"/>
      <c r="M930" s="31" t="str">
        <f>IF($C$2&gt;Table57[[#This Row],[In]],$C$2-Table57[[#This Row],[In]],"")</f>
        <v/>
      </c>
      <c r="N930" s="29" t="str">
        <f>IFERROR(IF(Table57[[#This Row],[Out]]&gt;$C$3,(Table57[[#This Row],[Out]])-($C$3),""),"")</f>
        <v/>
      </c>
    </row>
    <row r="931" spans="1:14" hidden="1" x14ac:dyDescent="0.25">
      <c r="A931" s="23" t="str">
        <f>Table57[[#This Row],[No.]]&amp;Table57[[#This Row],[Date]]</f>
        <v>00</v>
      </c>
      <c r="B931" s="22">
        <f>'Unique Dates'!A928</f>
        <v>0</v>
      </c>
      <c r="C931" s="22" t="e" cm="1">
        <f t="array" ref="C931">_xlfn.XLOOKUP(Table57[[#This Row],[No.]],Table2[[#All],[CODE]],Table2[[#All],[NAME]],,0,1)</f>
        <v>#N/A</v>
      </c>
      <c r="D931" s="6">
        <f>'Unique Dates'!B928</f>
        <v>0</v>
      </c>
      <c r="E931" t="str">
        <f>TEXT(Table57[[#This Row],[Date]],"dddd")</f>
        <v>Saturday</v>
      </c>
      <c r="F931" s="25" t="str" cm="1">
        <f t="array" ref="F931">IFERROR(_xlfn.XLOOKUP(Table57[[#This Row],[Code]],Table1[[#All],[Code]],Table1[[#All],[Time]],,0,1),"")</f>
        <v/>
      </c>
      <c r="G931" s="25" t="str" cm="1">
        <f t="array" ref="G931">IFERROR(_xlfn.XLOOKUP(Table57[[#This Row],[Code]],Table1[[#All],[Code]],Table1[[#All],[Time]],,0,-1),"")</f>
        <v/>
      </c>
      <c r="H931" s="23" t="str">
        <f>IFERROR(IF(Table57[[#This Row],[Out]]&gt;=Table57[[#This Row],[In]],Table57[[#This Row],[Out]]-Table57[[#This Row],[In]],(0.5+Table57[[#This Row],[Out]])-Table57[[#This Row],[In]]),"")</f>
        <v/>
      </c>
      <c r="I931" s="31" t="str">
        <f>IFERROR(IF(Table57[[#This Row],[In]]&gt;$C$2,Table57[[#This Row],[In]]-$C$2,""),"")</f>
        <v/>
      </c>
      <c r="J931" s="31" t="str">
        <f>IF(Table57[[#This Row],[Work_Hours]]=0,"",(IF(Table57[[#This Row],[Out]]&lt;$C$3,$C$3-Table57[[#This Row],[Out]],"")))</f>
        <v/>
      </c>
      <c r="K931" s="32" t="str">
        <f>IFERROR(Table57[[#This Row],[In]]+$C$1,"")</f>
        <v/>
      </c>
      <c r="L931" s="29"/>
      <c r="M931" s="31" t="str">
        <f>IF($C$2&gt;Table57[[#This Row],[In]],$C$2-Table57[[#This Row],[In]],"")</f>
        <v/>
      </c>
      <c r="N931" s="29" t="str">
        <f>IFERROR(IF(Table57[[#This Row],[Out]]&gt;$C$3,(Table57[[#This Row],[Out]])-($C$3),""),"")</f>
        <v/>
      </c>
    </row>
    <row r="932" spans="1:14" hidden="1" x14ac:dyDescent="0.25">
      <c r="A932" s="23" t="str">
        <f>Table57[[#This Row],[No.]]&amp;Table57[[#This Row],[Date]]</f>
        <v>00</v>
      </c>
      <c r="B932" s="22">
        <f>'Unique Dates'!A929</f>
        <v>0</v>
      </c>
      <c r="C932" s="22" t="e" cm="1">
        <f t="array" ref="C932">_xlfn.XLOOKUP(Table57[[#This Row],[No.]],Table2[[#All],[CODE]],Table2[[#All],[NAME]],,0,1)</f>
        <v>#N/A</v>
      </c>
      <c r="D932" s="6">
        <f>'Unique Dates'!B929</f>
        <v>0</v>
      </c>
      <c r="E932" t="str">
        <f>TEXT(Table57[[#This Row],[Date]],"dddd")</f>
        <v>Saturday</v>
      </c>
      <c r="F932" s="25" t="str" cm="1">
        <f t="array" ref="F932">IFERROR(_xlfn.XLOOKUP(Table57[[#This Row],[Code]],Table1[[#All],[Code]],Table1[[#All],[Time]],,0,1),"")</f>
        <v/>
      </c>
      <c r="G932" s="25" t="str" cm="1">
        <f t="array" ref="G932">IFERROR(_xlfn.XLOOKUP(Table57[[#This Row],[Code]],Table1[[#All],[Code]],Table1[[#All],[Time]],,0,-1),"")</f>
        <v/>
      </c>
      <c r="H932" s="23" t="str">
        <f>IFERROR(IF(Table57[[#This Row],[Out]]&gt;=Table57[[#This Row],[In]],Table57[[#This Row],[Out]]-Table57[[#This Row],[In]],(0.5+Table57[[#This Row],[Out]])-Table57[[#This Row],[In]]),"")</f>
        <v/>
      </c>
      <c r="I932" s="31" t="str">
        <f>IFERROR(IF(Table57[[#This Row],[In]]&gt;$C$2,Table57[[#This Row],[In]]-$C$2,""),"")</f>
        <v/>
      </c>
      <c r="J932" s="31" t="str">
        <f>IF(Table57[[#This Row],[Work_Hours]]=0,"",(IF(Table57[[#This Row],[Out]]&lt;$C$3,$C$3-Table57[[#This Row],[Out]],"")))</f>
        <v/>
      </c>
      <c r="K932" s="32" t="str">
        <f>IFERROR(Table57[[#This Row],[In]]+$C$1,"")</f>
        <v/>
      </c>
      <c r="L932" s="29"/>
      <c r="M932" s="31" t="str">
        <f>IF($C$2&gt;Table57[[#This Row],[In]],$C$2-Table57[[#This Row],[In]],"")</f>
        <v/>
      </c>
      <c r="N932" s="29" t="str">
        <f>IFERROR(IF(Table57[[#This Row],[Out]]&gt;$C$3,(Table57[[#This Row],[Out]])-($C$3),""),"")</f>
        <v/>
      </c>
    </row>
    <row r="933" spans="1:14" hidden="1" x14ac:dyDescent="0.25">
      <c r="A933" s="23" t="str">
        <f>Table57[[#This Row],[No.]]&amp;Table57[[#This Row],[Date]]</f>
        <v>00</v>
      </c>
      <c r="B933" s="22">
        <f>'Unique Dates'!A930</f>
        <v>0</v>
      </c>
      <c r="C933" s="22" t="e" cm="1">
        <f t="array" ref="C933">_xlfn.XLOOKUP(Table57[[#This Row],[No.]],Table2[[#All],[CODE]],Table2[[#All],[NAME]],,0,1)</f>
        <v>#N/A</v>
      </c>
      <c r="D933" s="6">
        <f>'Unique Dates'!B930</f>
        <v>0</v>
      </c>
      <c r="E933" t="str">
        <f>TEXT(Table57[[#This Row],[Date]],"dddd")</f>
        <v>Saturday</v>
      </c>
      <c r="F933" s="25" t="str" cm="1">
        <f t="array" ref="F933">IFERROR(_xlfn.XLOOKUP(Table57[[#This Row],[Code]],Table1[[#All],[Code]],Table1[[#All],[Time]],,0,1),"")</f>
        <v/>
      </c>
      <c r="G933" s="25" t="str" cm="1">
        <f t="array" ref="G933">IFERROR(_xlfn.XLOOKUP(Table57[[#This Row],[Code]],Table1[[#All],[Code]],Table1[[#All],[Time]],,0,-1),"")</f>
        <v/>
      </c>
      <c r="H933" s="23" t="str">
        <f>IFERROR(IF(Table57[[#This Row],[Out]]&gt;=Table57[[#This Row],[In]],Table57[[#This Row],[Out]]-Table57[[#This Row],[In]],(0.5+Table57[[#This Row],[Out]])-Table57[[#This Row],[In]]),"")</f>
        <v/>
      </c>
      <c r="I933" s="31" t="str">
        <f>IFERROR(IF(Table57[[#This Row],[In]]&gt;$C$2,Table57[[#This Row],[In]]-$C$2,""),"")</f>
        <v/>
      </c>
      <c r="J933" s="31" t="str">
        <f>IF(Table57[[#This Row],[Work_Hours]]=0,"",(IF(Table57[[#This Row],[Out]]&lt;$C$3,$C$3-Table57[[#This Row],[Out]],"")))</f>
        <v/>
      </c>
      <c r="K933" s="32" t="str">
        <f>IFERROR(Table57[[#This Row],[In]]+$C$1,"")</f>
        <v/>
      </c>
      <c r="L933" s="29"/>
      <c r="M933" s="31" t="str">
        <f>IF($C$2&gt;Table57[[#This Row],[In]],$C$2-Table57[[#This Row],[In]],"")</f>
        <v/>
      </c>
      <c r="N933" s="29" t="str">
        <f>IFERROR(IF(Table57[[#This Row],[Out]]&gt;$C$3,(Table57[[#This Row],[Out]])-($C$3),""),"")</f>
        <v/>
      </c>
    </row>
    <row r="934" spans="1:14" hidden="1" x14ac:dyDescent="0.25">
      <c r="A934" s="23" t="str">
        <f>Table57[[#This Row],[No.]]&amp;Table57[[#This Row],[Date]]</f>
        <v>00</v>
      </c>
      <c r="B934" s="22">
        <f>'Unique Dates'!A931</f>
        <v>0</v>
      </c>
      <c r="C934" s="22" t="e" cm="1">
        <f t="array" ref="C934">_xlfn.XLOOKUP(Table57[[#This Row],[No.]],Table2[[#All],[CODE]],Table2[[#All],[NAME]],,0,1)</f>
        <v>#N/A</v>
      </c>
      <c r="D934" s="6">
        <f>'Unique Dates'!B931</f>
        <v>0</v>
      </c>
      <c r="E934" t="str">
        <f>TEXT(Table57[[#This Row],[Date]],"dddd")</f>
        <v>Saturday</v>
      </c>
      <c r="F934" s="25" t="str" cm="1">
        <f t="array" ref="F934">IFERROR(_xlfn.XLOOKUP(Table57[[#This Row],[Code]],Table1[[#All],[Code]],Table1[[#All],[Time]],,0,1),"")</f>
        <v/>
      </c>
      <c r="G934" s="25" t="str" cm="1">
        <f t="array" ref="G934">IFERROR(_xlfn.XLOOKUP(Table57[[#This Row],[Code]],Table1[[#All],[Code]],Table1[[#All],[Time]],,0,-1),"")</f>
        <v/>
      </c>
      <c r="H934" s="23" t="str">
        <f>IFERROR(IF(Table57[[#This Row],[Out]]&gt;=Table57[[#This Row],[In]],Table57[[#This Row],[Out]]-Table57[[#This Row],[In]],(0.5+Table57[[#This Row],[Out]])-Table57[[#This Row],[In]]),"")</f>
        <v/>
      </c>
      <c r="I934" s="31" t="str">
        <f>IFERROR(IF(Table57[[#This Row],[In]]&gt;$C$2,Table57[[#This Row],[In]]-$C$2,""),"")</f>
        <v/>
      </c>
      <c r="J934" s="31" t="str">
        <f>IF(Table57[[#This Row],[Work_Hours]]=0,"",(IF(Table57[[#This Row],[Out]]&lt;$C$3,$C$3-Table57[[#This Row],[Out]],"")))</f>
        <v/>
      </c>
      <c r="K934" s="32" t="str">
        <f>IFERROR(Table57[[#This Row],[In]]+$C$1,"")</f>
        <v/>
      </c>
      <c r="L934" s="29"/>
      <c r="M934" s="31" t="str">
        <f>IF($C$2&gt;Table57[[#This Row],[In]],$C$2-Table57[[#This Row],[In]],"")</f>
        <v/>
      </c>
      <c r="N934" s="29" t="str">
        <f>IFERROR(IF(Table57[[#This Row],[Out]]&gt;$C$3,(Table57[[#This Row],[Out]])-($C$3),""),"")</f>
        <v/>
      </c>
    </row>
    <row r="935" spans="1:14" hidden="1" x14ac:dyDescent="0.25">
      <c r="A935" s="23" t="str">
        <f>Table57[[#This Row],[No.]]&amp;Table57[[#This Row],[Date]]</f>
        <v>00</v>
      </c>
      <c r="B935" s="22">
        <f>'Unique Dates'!A932</f>
        <v>0</v>
      </c>
      <c r="C935" s="22" t="e" cm="1">
        <f t="array" ref="C935">_xlfn.XLOOKUP(Table57[[#This Row],[No.]],Table2[[#All],[CODE]],Table2[[#All],[NAME]],,0,1)</f>
        <v>#N/A</v>
      </c>
      <c r="D935" s="6">
        <f>'Unique Dates'!B932</f>
        <v>0</v>
      </c>
      <c r="E935" t="str">
        <f>TEXT(Table57[[#This Row],[Date]],"dddd")</f>
        <v>Saturday</v>
      </c>
      <c r="F935" s="25" t="str" cm="1">
        <f t="array" ref="F935">IFERROR(_xlfn.XLOOKUP(Table57[[#This Row],[Code]],Table1[[#All],[Code]],Table1[[#All],[Time]],,0,1),"")</f>
        <v/>
      </c>
      <c r="G935" s="25" t="str" cm="1">
        <f t="array" ref="G935">IFERROR(_xlfn.XLOOKUP(Table57[[#This Row],[Code]],Table1[[#All],[Code]],Table1[[#All],[Time]],,0,-1),"")</f>
        <v/>
      </c>
      <c r="H935" s="23" t="str">
        <f>IFERROR(IF(Table57[[#This Row],[Out]]&gt;=Table57[[#This Row],[In]],Table57[[#This Row],[Out]]-Table57[[#This Row],[In]],(0.5+Table57[[#This Row],[Out]])-Table57[[#This Row],[In]]),"")</f>
        <v/>
      </c>
      <c r="I935" s="31" t="str">
        <f>IFERROR(IF(Table57[[#This Row],[In]]&gt;$C$2,Table57[[#This Row],[In]]-$C$2,""),"")</f>
        <v/>
      </c>
      <c r="J935" s="31" t="str">
        <f>IF(Table57[[#This Row],[Work_Hours]]=0,"",(IF(Table57[[#This Row],[Out]]&lt;$C$3,$C$3-Table57[[#This Row],[Out]],"")))</f>
        <v/>
      </c>
      <c r="K935" s="32" t="str">
        <f>IFERROR(Table57[[#This Row],[In]]+$C$1,"")</f>
        <v/>
      </c>
      <c r="L935" s="29"/>
      <c r="M935" s="31" t="str">
        <f>IF($C$2&gt;Table57[[#This Row],[In]],$C$2-Table57[[#This Row],[In]],"")</f>
        <v/>
      </c>
      <c r="N935" s="29" t="str">
        <f>IFERROR(IF(Table57[[#This Row],[Out]]&gt;$C$3,(Table57[[#This Row],[Out]])-($C$3),""),"")</f>
        <v/>
      </c>
    </row>
    <row r="936" spans="1:14" hidden="1" x14ac:dyDescent="0.25">
      <c r="A936" s="23" t="str">
        <f>Table57[[#This Row],[No.]]&amp;Table57[[#This Row],[Date]]</f>
        <v>00</v>
      </c>
      <c r="B936" s="22">
        <f>'Unique Dates'!A933</f>
        <v>0</v>
      </c>
      <c r="C936" s="22" t="e" cm="1">
        <f t="array" ref="C936">_xlfn.XLOOKUP(Table57[[#This Row],[No.]],Table2[[#All],[CODE]],Table2[[#All],[NAME]],,0,1)</f>
        <v>#N/A</v>
      </c>
      <c r="D936" s="6">
        <f>'Unique Dates'!B933</f>
        <v>0</v>
      </c>
      <c r="E936" t="str">
        <f>TEXT(Table57[[#This Row],[Date]],"dddd")</f>
        <v>Saturday</v>
      </c>
      <c r="F936" s="25" t="str" cm="1">
        <f t="array" ref="F936">IFERROR(_xlfn.XLOOKUP(Table57[[#This Row],[Code]],Table1[[#All],[Code]],Table1[[#All],[Time]],,0,1),"")</f>
        <v/>
      </c>
      <c r="G936" s="25" t="str" cm="1">
        <f t="array" ref="G936">IFERROR(_xlfn.XLOOKUP(Table57[[#This Row],[Code]],Table1[[#All],[Code]],Table1[[#All],[Time]],,0,-1),"")</f>
        <v/>
      </c>
      <c r="H936" s="23" t="str">
        <f>IFERROR(IF(Table57[[#This Row],[Out]]&gt;=Table57[[#This Row],[In]],Table57[[#This Row],[Out]]-Table57[[#This Row],[In]],(0.5+Table57[[#This Row],[Out]])-Table57[[#This Row],[In]]),"")</f>
        <v/>
      </c>
      <c r="I936" s="31" t="str">
        <f>IFERROR(IF(Table57[[#This Row],[In]]&gt;$C$2,Table57[[#This Row],[In]]-$C$2,""),"")</f>
        <v/>
      </c>
      <c r="J936" s="31" t="str">
        <f>IF(Table57[[#This Row],[Work_Hours]]=0,"",(IF(Table57[[#This Row],[Out]]&lt;$C$3,$C$3-Table57[[#This Row],[Out]],"")))</f>
        <v/>
      </c>
      <c r="K936" s="32" t="str">
        <f>IFERROR(Table57[[#This Row],[In]]+$C$1,"")</f>
        <v/>
      </c>
      <c r="L936" s="29"/>
      <c r="M936" s="31" t="str">
        <f>IF($C$2&gt;Table57[[#This Row],[In]],$C$2-Table57[[#This Row],[In]],"")</f>
        <v/>
      </c>
      <c r="N936" s="29" t="str">
        <f>IFERROR(IF(Table57[[#This Row],[Out]]&gt;$C$3,(Table57[[#This Row],[Out]])-($C$3),""),"")</f>
        <v/>
      </c>
    </row>
    <row r="937" spans="1:14" hidden="1" x14ac:dyDescent="0.25">
      <c r="A937" s="23" t="str">
        <f>Table57[[#This Row],[No.]]&amp;Table57[[#This Row],[Date]]</f>
        <v>00</v>
      </c>
      <c r="B937" s="22">
        <f>'Unique Dates'!A934</f>
        <v>0</v>
      </c>
      <c r="C937" s="22" t="e" cm="1">
        <f t="array" ref="C937">_xlfn.XLOOKUP(Table57[[#This Row],[No.]],Table2[[#All],[CODE]],Table2[[#All],[NAME]],,0,1)</f>
        <v>#N/A</v>
      </c>
      <c r="D937" s="6">
        <f>'Unique Dates'!B934</f>
        <v>0</v>
      </c>
      <c r="E937" t="str">
        <f>TEXT(Table57[[#This Row],[Date]],"dddd")</f>
        <v>Saturday</v>
      </c>
      <c r="F937" s="25" t="str" cm="1">
        <f t="array" ref="F937">IFERROR(_xlfn.XLOOKUP(Table57[[#This Row],[Code]],Table1[[#All],[Code]],Table1[[#All],[Time]],,0,1),"")</f>
        <v/>
      </c>
      <c r="G937" s="25" t="str" cm="1">
        <f t="array" ref="G937">IFERROR(_xlfn.XLOOKUP(Table57[[#This Row],[Code]],Table1[[#All],[Code]],Table1[[#All],[Time]],,0,-1),"")</f>
        <v/>
      </c>
      <c r="H937" s="23" t="str">
        <f>IFERROR(IF(Table57[[#This Row],[Out]]&gt;=Table57[[#This Row],[In]],Table57[[#This Row],[Out]]-Table57[[#This Row],[In]],(0.5+Table57[[#This Row],[Out]])-Table57[[#This Row],[In]]),"")</f>
        <v/>
      </c>
      <c r="I937" s="31" t="str">
        <f>IFERROR(IF(Table57[[#This Row],[In]]&gt;$C$2,Table57[[#This Row],[In]]-$C$2,""),"")</f>
        <v/>
      </c>
      <c r="J937" s="31" t="str">
        <f>IF(Table57[[#This Row],[Work_Hours]]=0,"",(IF(Table57[[#This Row],[Out]]&lt;$C$3,$C$3-Table57[[#This Row],[Out]],"")))</f>
        <v/>
      </c>
      <c r="K937" s="32" t="str">
        <f>IFERROR(Table57[[#This Row],[In]]+$C$1,"")</f>
        <v/>
      </c>
      <c r="L937" s="29"/>
      <c r="M937" s="31" t="str">
        <f>IF($C$2&gt;Table57[[#This Row],[In]],$C$2-Table57[[#This Row],[In]],"")</f>
        <v/>
      </c>
      <c r="N937" s="29" t="str">
        <f>IFERROR(IF(Table57[[#This Row],[Out]]&gt;$C$3,(Table57[[#This Row],[Out]])-($C$3),""),"")</f>
        <v/>
      </c>
    </row>
    <row r="938" spans="1:14" hidden="1" x14ac:dyDescent="0.25">
      <c r="A938" s="23" t="str">
        <f>Table57[[#This Row],[No.]]&amp;Table57[[#This Row],[Date]]</f>
        <v>00</v>
      </c>
      <c r="B938" s="22">
        <f>'Unique Dates'!A935</f>
        <v>0</v>
      </c>
      <c r="C938" s="22" t="e" cm="1">
        <f t="array" ref="C938">_xlfn.XLOOKUP(Table57[[#This Row],[No.]],Table2[[#All],[CODE]],Table2[[#All],[NAME]],,0,1)</f>
        <v>#N/A</v>
      </c>
      <c r="D938" s="6">
        <f>'Unique Dates'!B935</f>
        <v>0</v>
      </c>
      <c r="E938" t="str">
        <f>TEXT(Table57[[#This Row],[Date]],"dddd")</f>
        <v>Saturday</v>
      </c>
      <c r="F938" s="25" t="str" cm="1">
        <f t="array" ref="F938">IFERROR(_xlfn.XLOOKUP(Table57[[#This Row],[Code]],Table1[[#All],[Code]],Table1[[#All],[Time]],,0,1),"")</f>
        <v/>
      </c>
      <c r="G938" s="25" t="str" cm="1">
        <f t="array" ref="G938">IFERROR(_xlfn.XLOOKUP(Table57[[#This Row],[Code]],Table1[[#All],[Code]],Table1[[#All],[Time]],,0,-1),"")</f>
        <v/>
      </c>
      <c r="H938" s="23" t="str">
        <f>IFERROR(IF(Table57[[#This Row],[Out]]&gt;=Table57[[#This Row],[In]],Table57[[#This Row],[Out]]-Table57[[#This Row],[In]],(0.5+Table57[[#This Row],[Out]])-Table57[[#This Row],[In]]),"")</f>
        <v/>
      </c>
      <c r="I938" s="31" t="str">
        <f>IFERROR(IF(Table57[[#This Row],[In]]&gt;$C$2,Table57[[#This Row],[In]]-$C$2,""),"")</f>
        <v/>
      </c>
      <c r="J938" s="31" t="str">
        <f>IF(Table57[[#This Row],[Work_Hours]]=0,"",(IF(Table57[[#This Row],[Out]]&lt;$C$3,$C$3-Table57[[#This Row],[Out]],"")))</f>
        <v/>
      </c>
      <c r="K938" s="32" t="str">
        <f>IFERROR(Table57[[#This Row],[In]]+$C$1,"")</f>
        <v/>
      </c>
      <c r="L938" s="29"/>
      <c r="M938" s="31" t="str">
        <f>IF($C$2&gt;Table57[[#This Row],[In]],$C$2-Table57[[#This Row],[In]],"")</f>
        <v/>
      </c>
      <c r="N938" s="29" t="str">
        <f>IFERROR(IF(Table57[[#This Row],[Out]]&gt;$C$3,(Table57[[#This Row],[Out]])-($C$3),""),"")</f>
        <v/>
      </c>
    </row>
    <row r="939" spans="1:14" hidden="1" x14ac:dyDescent="0.25">
      <c r="A939" s="23" t="str">
        <f>Table57[[#This Row],[No.]]&amp;Table57[[#This Row],[Date]]</f>
        <v>00</v>
      </c>
      <c r="B939" s="22">
        <f>'Unique Dates'!A936</f>
        <v>0</v>
      </c>
      <c r="C939" s="22" t="e" cm="1">
        <f t="array" ref="C939">_xlfn.XLOOKUP(Table57[[#This Row],[No.]],Table2[[#All],[CODE]],Table2[[#All],[NAME]],,0,1)</f>
        <v>#N/A</v>
      </c>
      <c r="D939" s="6">
        <f>'Unique Dates'!B936</f>
        <v>0</v>
      </c>
      <c r="E939" t="str">
        <f>TEXT(Table57[[#This Row],[Date]],"dddd")</f>
        <v>Saturday</v>
      </c>
      <c r="F939" s="25" t="str" cm="1">
        <f t="array" ref="F939">IFERROR(_xlfn.XLOOKUP(Table57[[#This Row],[Code]],Table1[[#All],[Code]],Table1[[#All],[Time]],,0,1),"")</f>
        <v/>
      </c>
      <c r="G939" s="25" t="str" cm="1">
        <f t="array" ref="G939">IFERROR(_xlfn.XLOOKUP(Table57[[#This Row],[Code]],Table1[[#All],[Code]],Table1[[#All],[Time]],,0,-1),"")</f>
        <v/>
      </c>
      <c r="H939" s="23" t="str">
        <f>IFERROR(IF(Table57[[#This Row],[Out]]&gt;=Table57[[#This Row],[In]],Table57[[#This Row],[Out]]-Table57[[#This Row],[In]],(0.5+Table57[[#This Row],[Out]])-Table57[[#This Row],[In]]),"")</f>
        <v/>
      </c>
      <c r="I939" s="31" t="str">
        <f>IFERROR(IF(Table57[[#This Row],[In]]&gt;$C$2,Table57[[#This Row],[In]]-$C$2,""),"")</f>
        <v/>
      </c>
      <c r="J939" s="31" t="str">
        <f>IF(Table57[[#This Row],[Work_Hours]]=0,"",(IF(Table57[[#This Row],[Out]]&lt;$C$3,$C$3-Table57[[#This Row],[Out]],"")))</f>
        <v/>
      </c>
      <c r="K939" s="32" t="str">
        <f>IFERROR(Table57[[#This Row],[In]]+$C$1,"")</f>
        <v/>
      </c>
      <c r="L939" s="29"/>
      <c r="M939" s="31" t="str">
        <f>IF($C$2&gt;Table57[[#This Row],[In]],$C$2-Table57[[#This Row],[In]],"")</f>
        <v/>
      </c>
      <c r="N939" s="29" t="str">
        <f>IFERROR(IF(Table57[[#This Row],[Out]]&gt;$C$3,(Table57[[#This Row],[Out]])-($C$3),""),"")</f>
        <v/>
      </c>
    </row>
    <row r="940" spans="1:14" hidden="1" x14ac:dyDescent="0.25">
      <c r="A940" s="23" t="str">
        <f>Table57[[#This Row],[No.]]&amp;Table57[[#This Row],[Date]]</f>
        <v>00</v>
      </c>
      <c r="B940" s="22">
        <f>'Unique Dates'!A937</f>
        <v>0</v>
      </c>
      <c r="C940" s="22" t="e" cm="1">
        <f t="array" ref="C940">_xlfn.XLOOKUP(Table57[[#This Row],[No.]],Table2[[#All],[CODE]],Table2[[#All],[NAME]],,0,1)</f>
        <v>#N/A</v>
      </c>
      <c r="D940" s="6">
        <f>'Unique Dates'!B937</f>
        <v>0</v>
      </c>
      <c r="E940" t="str">
        <f>TEXT(Table57[[#This Row],[Date]],"dddd")</f>
        <v>Saturday</v>
      </c>
      <c r="F940" s="25" t="str" cm="1">
        <f t="array" ref="F940">IFERROR(_xlfn.XLOOKUP(Table57[[#This Row],[Code]],Table1[[#All],[Code]],Table1[[#All],[Time]],,0,1),"")</f>
        <v/>
      </c>
      <c r="G940" s="25" t="str" cm="1">
        <f t="array" ref="G940">IFERROR(_xlfn.XLOOKUP(Table57[[#This Row],[Code]],Table1[[#All],[Code]],Table1[[#All],[Time]],,0,-1),"")</f>
        <v/>
      </c>
      <c r="H940" s="23" t="str">
        <f>IFERROR(IF(Table57[[#This Row],[Out]]&gt;=Table57[[#This Row],[In]],Table57[[#This Row],[Out]]-Table57[[#This Row],[In]],(0.5+Table57[[#This Row],[Out]])-Table57[[#This Row],[In]]),"")</f>
        <v/>
      </c>
      <c r="I940" s="31" t="str">
        <f>IFERROR(IF(Table57[[#This Row],[In]]&gt;$C$2,Table57[[#This Row],[In]]-$C$2,""),"")</f>
        <v/>
      </c>
      <c r="J940" s="31" t="str">
        <f>IF(Table57[[#This Row],[Work_Hours]]=0,"",(IF(Table57[[#This Row],[Out]]&lt;$C$3,$C$3-Table57[[#This Row],[Out]],"")))</f>
        <v/>
      </c>
      <c r="K940" s="32" t="str">
        <f>IFERROR(Table57[[#This Row],[In]]+$C$1,"")</f>
        <v/>
      </c>
      <c r="L940" s="29"/>
      <c r="M940" s="31" t="str">
        <f>IF($C$2&gt;Table57[[#This Row],[In]],$C$2-Table57[[#This Row],[In]],"")</f>
        <v/>
      </c>
      <c r="N940" s="29" t="str">
        <f>IFERROR(IF(Table57[[#This Row],[Out]]&gt;$C$3,(Table57[[#This Row],[Out]])-($C$3),""),"")</f>
        <v/>
      </c>
    </row>
    <row r="941" spans="1:14" hidden="1" x14ac:dyDescent="0.25">
      <c r="A941" s="23" t="str">
        <f>Table57[[#This Row],[No.]]&amp;Table57[[#This Row],[Date]]</f>
        <v>00</v>
      </c>
      <c r="B941" s="22">
        <f>'Unique Dates'!A938</f>
        <v>0</v>
      </c>
      <c r="C941" s="22" t="e" cm="1">
        <f t="array" ref="C941">_xlfn.XLOOKUP(Table57[[#This Row],[No.]],Table2[[#All],[CODE]],Table2[[#All],[NAME]],,0,1)</f>
        <v>#N/A</v>
      </c>
      <c r="D941" s="6">
        <f>'Unique Dates'!B938</f>
        <v>0</v>
      </c>
      <c r="E941" t="str">
        <f>TEXT(Table57[[#This Row],[Date]],"dddd")</f>
        <v>Saturday</v>
      </c>
      <c r="F941" s="25" t="str" cm="1">
        <f t="array" ref="F941">IFERROR(_xlfn.XLOOKUP(Table57[[#This Row],[Code]],Table1[[#All],[Code]],Table1[[#All],[Time]],,0,1),"")</f>
        <v/>
      </c>
      <c r="G941" s="25" t="str" cm="1">
        <f t="array" ref="G941">IFERROR(_xlfn.XLOOKUP(Table57[[#This Row],[Code]],Table1[[#All],[Code]],Table1[[#All],[Time]],,0,-1),"")</f>
        <v/>
      </c>
      <c r="H941" s="23" t="str">
        <f>IFERROR(IF(Table57[[#This Row],[Out]]&gt;=Table57[[#This Row],[In]],Table57[[#This Row],[Out]]-Table57[[#This Row],[In]],(0.5+Table57[[#This Row],[Out]])-Table57[[#This Row],[In]]),"")</f>
        <v/>
      </c>
      <c r="I941" s="31" t="str">
        <f>IFERROR(IF(Table57[[#This Row],[In]]&gt;$C$2,Table57[[#This Row],[In]]-$C$2,""),"")</f>
        <v/>
      </c>
      <c r="J941" s="31" t="str">
        <f>IF(Table57[[#This Row],[Work_Hours]]=0,"",(IF(Table57[[#This Row],[Out]]&lt;$C$3,$C$3-Table57[[#This Row],[Out]],"")))</f>
        <v/>
      </c>
      <c r="K941" s="32" t="str">
        <f>IFERROR(Table57[[#This Row],[In]]+$C$1,"")</f>
        <v/>
      </c>
      <c r="L941" s="29"/>
      <c r="M941" s="31" t="str">
        <f>IF($C$2&gt;Table57[[#This Row],[In]],$C$2-Table57[[#This Row],[In]],"")</f>
        <v/>
      </c>
      <c r="N941" s="29" t="str">
        <f>IFERROR(IF(Table57[[#This Row],[Out]]&gt;$C$3,(Table57[[#This Row],[Out]])-($C$3),""),"")</f>
        <v/>
      </c>
    </row>
    <row r="942" spans="1:14" hidden="1" x14ac:dyDescent="0.25">
      <c r="A942" s="23" t="str">
        <f>Table57[[#This Row],[No.]]&amp;Table57[[#This Row],[Date]]</f>
        <v>00</v>
      </c>
      <c r="B942" s="22">
        <f>'Unique Dates'!A939</f>
        <v>0</v>
      </c>
      <c r="C942" s="22" t="e" cm="1">
        <f t="array" ref="C942">_xlfn.XLOOKUP(Table57[[#This Row],[No.]],Table2[[#All],[CODE]],Table2[[#All],[NAME]],,0,1)</f>
        <v>#N/A</v>
      </c>
      <c r="D942" s="6">
        <f>'Unique Dates'!B939</f>
        <v>0</v>
      </c>
      <c r="E942" t="str">
        <f>TEXT(Table57[[#This Row],[Date]],"dddd")</f>
        <v>Saturday</v>
      </c>
      <c r="F942" s="25" t="str" cm="1">
        <f t="array" ref="F942">IFERROR(_xlfn.XLOOKUP(Table57[[#This Row],[Code]],Table1[[#All],[Code]],Table1[[#All],[Time]],,0,1),"")</f>
        <v/>
      </c>
      <c r="G942" s="25" t="str" cm="1">
        <f t="array" ref="G942">IFERROR(_xlfn.XLOOKUP(Table57[[#This Row],[Code]],Table1[[#All],[Code]],Table1[[#All],[Time]],,0,-1),"")</f>
        <v/>
      </c>
      <c r="H942" s="23" t="str">
        <f>IFERROR(IF(Table57[[#This Row],[Out]]&gt;=Table57[[#This Row],[In]],Table57[[#This Row],[Out]]-Table57[[#This Row],[In]],(0.5+Table57[[#This Row],[Out]])-Table57[[#This Row],[In]]),"")</f>
        <v/>
      </c>
      <c r="I942" s="31" t="str">
        <f>IFERROR(IF(Table57[[#This Row],[In]]&gt;$C$2,Table57[[#This Row],[In]]-$C$2,""),"")</f>
        <v/>
      </c>
      <c r="J942" s="31" t="str">
        <f>IF(Table57[[#This Row],[Work_Hours]]=0,"",(IF(Table57[[#This Row],[Out]]&lt;$C$3,$C$3-Table57[[#This Row],[Out]],"")))</f>
        <v/>
      </c>
      <c r="K942" s="32" t="str">
        <f>IFERROR(Table57[[#This Row],[In]]+$C$1,"")</f>
        <v/>
      </c>
      <c r="L942" s="29"/>
      <c r="M942" s="31" t="str">
        <f>IF($C$2&gt;Table57[[#This Row],[In]],$C$2-Table57[[#This Row],[In]],"")</f>
        <v/>
      </c>
      <c r="N942" s="29" t="str">
        <f>IFERROR(IF(Table57[[#This Row],[Out]]&gt;$C$3,(Table57[[#This Row],[Out]])-($C$3),""),"")</f>
        <v/>
      </c>
    </row>
    <row r="943" spans="1:14" hidden="1" x14ac:dyDescent="0.25">
      <c r="A943" s="23" t="str">
        <f>Table57[[#This Row],[No.]]&amp;Table57[[#This Row],[Date]]</f>
        <v>00</v>
      </c>
      <c r="B943" s="22">
        <f>'Unique Dates'!A940</f>
        <v>0</v>
      </c>
      <c r="C943" s="22" t="e" cm="1">
        <f t="array" ref="C943">_xlfn.XLOOKUP(Table57[[#This Row],[No.]],Table2[[#All],[CODE]],Table2[[#All],[NAME]],,0,1)</f>
        <v>#N/A</v>
      </c>
      <c r="D943" s="6">
        <f>'Unique Dates'!B940</f>
        <v>0</v>
      </c>
      <c r="E943" t="str">
        <f>TEXT(Table57[[#This Row],[Date]],"dddd")</f>
        <v>Saturday</v>
      </c>
      <c r="F943" s="25" t="str" cm="1">
        <f t="array" ref="F943">IFERROR(_xlfn.XLOOKUP(Table57[[#This Row],[Code]],Table1[[#All],[Code]],Table1[[#All],[Time]],,0,1),"")</f>
        <v/>
      </c>
      <c r="G943" s="25" t="str" cm="1">
        <f t="array" ref="G943">IFERROR(_xlfn.XLOOKUP(Table57[[#This Row],[Code]],Table1[[#All],[Code]],Table1[[#All],[Time]],,0,-1),"")</f>
        <v/>
      </c>
      <c r="H943" s="23" t="str">
        <f>IFERROR(IF(Table57[[#This Row],[Out]]&gt;=Table57[[#This Row],[In]],Table57[[#This Row],[Out]]-Table57[[#This Row],[In]],(0.5+Table57[[#This Row],[Out]])-Table57[[#This Row],[In]]),"")</f>
        <v/>
      </c>
      <c r="I943" s="31" t="str">
        <f>IFERROR(IF(Table57[[#This Row],[In]]&gt;$C$2,Table57[[#This Row],[In]]-$C$2,""),"")</f>
        <v/>
      </c>
      <c r="J943" s="31" t="str">
        <f>IF(Table57[[#This Row],[Work_Hours]]=0,"",(IF(Table57[[#This Row],[Out]]&lt;$C$3,$C$3-Table57[[#This Row],[Out]],"")))</f>
        <v/>
      </c>
      <c r="K943" s="32" t="str">
        <f>IFERROR(Table57[[#This Row],[In]]+$C$1,"")</f>
        <v/>
      </c>
      <c r="L943" s="29"/>
      <c r="M943" s="31" t="str">
        <f>IF($C$2&gt;Table57[[#This Row],[In]],$C$2-Table57[[#This Row],[In]],"")</f>
        <v/>
      </c>
      <c r="N943" s="29" t="str">
        <f>IFERROR(IF(Table57[[#This Row],[Out]]&gt;$C$3,(Table57[[#This Row],[Out]])-($C$3),""),"")</f>
        <v/>
      </c>
    </row>
    <row r="944" spans="1:14" hidden="1" x14ac:dyDescent="0.25">
      <c r="A944" s="23" t="str">
        <f>Table57[[#This Row],[No.]]&amp;Table57[[#This Row],[Date]]</f>
        <v>00</v>
      </c>
      <c r="B944" s="22">
        <f>'Unique Dates'!A941</f>
        <v>0</v>
      </c>
      <c r="C944" s="22" t="e" cm="1">
        <f t="array" ref="C944">_xlfn.XLOOKUP(Table57[[#This Row],[No.]],Table2[[#All],[CODE]],Table2[[#All],[NAME]],,0,1)</f>
        <v>#N/A</v>
      </c>
      <c r="D944" s="6">
        <f>'Unique Dates'!B941</f>
        <v>0</v>
      </c>
      <c r="E944" t="str">
        <f>TEXT(Table57[[#This Row],[Date]],"dddd")</f>
        <v>Saturday</v>
      </c>
      <c r="F944" s="25" t="str" cm="1">
        <f t="array" ref="F944">IFERROR(_xlfn.XLOOKUP(Table57[[#This Row],[Code]],Table1[[#All],[Code]],Table1[[#All],[Time]],,0,1),"")</f>
        <v/>
      </c>
      <c r="G944" s="25" t="str" cm="1">
        <f t="array" ref="G944">IFERROR(_xlfn.XLOOKUP(Table57[[#This Row],[Code]],Table1[[#All],[Code]],Table1[[#All],[Time]],,0,-1),"")</f>
        <v/>
      </c>
      <c r="H944" s="23" t="str">
        <f>IFERROR(IF(Table57[[#This Row],[Out]]&gt;=Table57[[#This Row],[In]],Table57[[#This Row],[Out]]-Table57[[#This Row],[In]],(0.5+Table57[[#This Row],[Out]])-Table57[[#This Row],[In]]),"")</f>
        <v/>
      </c>
      <c r="I944" s="31" t="str">
        <f>IFERROR(IF(Table57[[#This Row],[In]]&gt;$C$2,Table57[[#This Row],[In]]-$C$2,""),"")</f>
        <v/>
      </c>
      <c r="J944" s="31" t="str">
        <f>IF(Table57[[#This Row],[Work_Hours]]=0,"",(IF(Table57[[#This Row],[Out]]&lt;$C$3,$C$3-Table57[[#This Row],[Out]],"")))</f>
        <v/>
      </c>
      <c r="K944" s="32" t="str">
        <f>IFERROR(Table57[[#This Row],[In]]+$C$1,"")</f>
        <v/>
      </c>
      <c r="L944" s="29"/>
      <c r="M944" s="31" t="str">
        <f>IF($C$2&gt;Table57[[#This Row],[In]],$C$2-Table57[[#This Row],[In]],"")</f>
        <v/>
      </c>
      <c r="N944" s="29" t="str">
        <f>IFERROR(IF(Table57[[#This Row],[Out]]&gt;$C$3,(Table57[[#This Row],[Out]])-($C$3),""),"")</f>
        <v/>
      </c>
    </row>
    <row r="945" spans="1:14" hidden="1" x14ac:dyDescent="0.25">
      <c r="A945" s="23" t="str">
        <f>Table57[[#This Row],[No.]]&amp;Table57[[#This Row],[Date]]</f>
        <v>00</v>
      </c>
      <c r="B945" s="22">
        <f>'Unique Dates'!A942</f>
        <v>0</v>
      </c>
      <c r="C945" s="22" t="e" cm="1">
        <f t="array" ref="C945">_xlfn.XLOOKUP(Table57[[#This Row],[No.]],Table2[[#All],[CODE]],Table2[[#All],[NAME]],,0,1)</f>
        <v>#N/A</v>
      </c>
      <c r="D945" s="6">
        <f>'Unique Dates'!B942</f>
        <v>0</v>
      </c>
      <c r="E945" t="str">
        <f>TEXT(Table57[[#This Row],[Date]],"dddd")</f>
        <v>Saturday</v>
      </c>
      <c r="F945" s="25" t="str" cm="1">
        <f t="array" ref="F945">IFERROR(_xlfn.XLOOKUP(Table57[[#This Row],[Code]],Table1[[#All],[Code]],Table1[[#All],[Time]],,0,1),"")</f>
        <v/>
      </c>
      <c r="G945" s="25" t="str" cm="1">
        <f t="array" ref="G945">IFERROR(_xlfn.XLOOKUP(Table57[[#This Row],[Code]],Table1[[#All],[Code]],Table1[[#All],[Time]],,0,-1),"")</f>
        <v/>
      </c>
      <c r="H945" s="23" t="str">
        <f>IFERROR(IF(Table57[[#This Row],[Out]]&gt;=Table57[[#This Row],[In]],Table57[[#This Row],[Out]]-Table57[[#This Row],[In]],(0.5+Table57[[#This Row],[Out]])-Table57[[#This Row],[In]]),"")</f>
        <v/>
      </c>
      <c r="I945" s="31" t="str">
        <f>IFERROR(IF(Table57[[#This Row],[In]]&gt;$C$2,Table57[[#This Row],[In]]-$C$2,""),"")</f>
        <v/>
      </c>
      <c r="J945" s="31" t="str">
        <f>IF(Table57[[#This Row],[Work_Hours]]=0,"",(IF(Table57[[#This Row],[Out]]&lt;$C$3,$C$3-Table57[[#This Row],[Out]],"")))</f>
        <v/>
      </c>
      <c r="K945" s="32" t="str">
        <f>IFERROR(Table57[[#This Row],[In]]+$C$1,"")</f>
        <v/>
      </c>
      <c r="L945" s="29"/>
      <c r="M945" s="31" t="str">
        <f>IF($C$2&gt;Table57[[#This Row],[In]],$C$2-Table57[[#This Row],[In]],"")</f>
        <v/>
      </c>
      <c r="N945" s="29" t="str">
        <f>IFERROR(IF(Table57[[#This Row],[Out]]&gt;$C$3,(Table57[[#This Row],[Out]])-($C$3),""),"")</f>
        <v/>
      </c>
    </row>
    <row r="946" spans="1:14" hidden="1" x14ac:dyDescent="0.25">
      <c r="A946" s="23" t="str">
        <f>Table57[[#This Row],[No.]]&amp;Table57[[#This Row],[Date]]</f>
        <v>00</v>
      </c>
      <c r="B946" s="22">
        <f>'Unique Dates'!A943</f>
        <v>0</v>
      </c>
      <c r="C946" s="22" t="e" cm="1">
        <f t="array" ref="C946">_xlfn.XLOOKUP(Table57[[#This Row],[No.]],Table2[[#All],[CODE]],Table2[[#All],[NAME]],,0,1)</f>
        <v>#N/A</v>
      </c>
      <c r="D946" s="6">
        <f>'Unique Dates'!B943</f>
        <v>0</v>
      </c>
      <c r="E946" t="str">
        <f>TEXT(Table57[[#This Row],[Date]],"dddd")</f>
        <v>Saturday</v>
      </c>
      <c r="F946" s="25" t="str" cm="1">
        <f t="array" ref="F946">IFERROR(_xlfn.XLOOKUP(Table57[[#This Row],[Code]],Table1[[#All],[Code]],Table1[[#All],[Time]],,0,1),"")</f>
        <v/>
      </c>
      <c r="G946" s="25" t="str" cm="1">
        <f t="array" ref="G946">IFERROR(_xlfn.XLOOKUP(Table57[[#This Row],[Code]],Table1[[#All],[Code]],Table1[[#All],[Time]],,0,-1),"")</f>
        <v/>
      </c>
      <c r="H946" s="23" t="str">
        <f>IFERROR(IF(Table57[[#This Row],[Out]]&gt;=Table57[[#This Row],[In]],Table57[[#This Row],[Out]]-Table57[[#This Row],[In]],(0.5+Table57[[#This Row],[Out]])-Table57[[#This Row],[In]]),"")</f>
        <v/>
      </c>
      <c r="I946" s="31" t="str">
        <f>IFERROR(IF(Table57[[#This Row],[In]]&gt;$C$2,Table57[[#This Row],[In]]-$C$2,""),"")</f>
        <v/>
      </c>
      <c r="J946" s="31" t="str">
        <f>IF(Table57[[#This Row],[Work_Hours]]=0,"",(IF(Table57[[#This Row],[Out]]&lt;$C$3,$C$3-Table57[[#This Row],[Out]],"")))</f>
        <v/>
      </c>
      <c r="K946" s="32" t="str">
        <f>IFERROR(Table57[[#This Row],[In]]+$C$1,"")</f>
        <v/>
      </c>
      <c r="L946" s="29"/>
      <c r="M946" s="31" t="str">
        <f>IF($C$2&gt;Table57[[#This Row],[In]],$C$2-Table57[[#This Row],[In]],"")</f>
        <v/>
      </c>
      <c r="N946" s="29" t="str">
        <f>IFERROR(IF(Table57[[#This Row],[Out]]&gt;$C$3,(Table57[[#This Row],[Out]])-($C$3),""),"")</f>
        <v/>
      </c>
    </row>
    <row r="947" spans="1:14" hidden="1" x14ac:dyDescent="0.25">
      <c r="A947" s="23" t="str">
        <f>Table57[[#This Row],[No.]]&amp;Table57[[#This Row],[Date]]</f>
        <v>00</v>
      </c>
      <c r="B947" s="22">
        <f>'Unique Dates'!A944</f>
        <v>0</v>
      </c>
      <c r="C947" s="22" t="e" cm="1">
        <f t="array" ref="C947">_xlfn.XLOOKUP(Table57[[#This Row],[No.]],Table2[[#All],[CODE]],Table2[[#All],[NAME]],,0,1)</f>
        <v>#N/A</v>
      </c>
      <c r="D947" s="6">
        <f>'Unique Dates'!B944</f>
        <v>0</v>
      </c>
      <c r="E947" t="str">
        <f>TEXT(Table57[[#This Row],[Date]],"dddd")</f>
        <v>Saturday</v>
      </c>
      <c r="F947" s="25" t="str" cm="1">
        <f t="array" ref="F947">IFERROR(_xlfn.XLOOKUP(Table57[[#This Row],[Code]],Table1[[#All],[Code]],Table1[[#All],[Time]],,0,1),"")</f>
        <v/>
      </c>
      <c r="G947" s="25" t="str" cm="1">
        <f t="array" ref="G947">IFERROR(_xlfn.XLOOKUP(Table57[[#This Row],[Code]],Table1[[#All],[Code]],Table1[[#All],[Time]],,0,-1),"")</f>
        <v/>
      </c>
      <c r="H947" s="23" t="str">
        <f>IFERROR(IF(Table57[[#This Row],[Out]]&gt;=Table57[[#This Row],[In]],Table57[[#This Row],[Out]]-Table57[[#This Row],[In]],(0.5+Table57[[#This Row],[Out]])-Table57[[#This Row],[In]]),"")</f>
        <v/>
      </c>
      <c r="I947" s="31" t="str">
        <f>IFERROR(IF(Table57[[#This Row],[In]]&gt;$C$2,Table57[[#This Row],[In]]-$C$2,""),"")</f>
        <v/>
      </c>
      <c r="J947" s="31" t="str">
        <f>IF(Table57[[#This Row],[Work_Hours]]=0,"",(IF(Table57[[#This Row],[Out]]&lt;$C$3,$C$3-Table57[[#This Row],[Out]],"")))</f>
        <v/>
      </c>
      <c r="K947" s="32" t="str">
        <f>IFERROR(Table57[[#This Row],[In]]+$C$1,"")</f>
        <v/>
      </c>
      <c r="L947" s="29"/>
      <c r="M947" s="31" t="str">
        <f>IF($C$2&gt;Table57[[#This Row],[In]],$C$2-Table57[[#This Row],[In]],"")</f>
        <v/>
      </c>
      <c r="N947" s="29" t="str">
        <f>IFERROR(IF(Table57[[#This Row],[Out]]&gt;$C$3,(Table57[[#This Row],[Out]])-($C$3),""),"")</f>
        <v/>
      </c>
    </row>
    <row r="948" spans="1:14" hidden="1" x14ac:dyDescent="0.25">
      <c r="A948" s="23" t="str">
        <f>Table57[[#This Row],[No.]]&amp;Table57[[#This Row],[Date]]</f>
        <v>00</v>
      </c>
      <c r="B948" s="22">
        <f>'Unique Dates'!A945</f>
        <v>0</v>
      </c>
      <c r="C948" s="22" t="e" cm="1">
        <f t="array" ref="C948">_xlfn.XLOOKUP(Table57[[#This Row],[No.]],Table2[[#All],[CODE]],Table2[[#All],[NAME]],,0,1)</f>
        <v>#N/A</v>
      </c>
      <c r="D948" s="6">
        <f>'Unique Dates'!B945</f>
        <v>0</v>
      </c>
      <c r="E948" t="str">
        <f>TEXT(Table57[[#This Row],[Date]],"dddd")</f>
        <v>Saturday</v>
      </c>
      <c r="F948" s="25" t="str" cm="1">
        <f t="array" ref="F948">IFERROR(_xlfn.XLOOKUP(Table57[[#This Row],[Code]],Table1[[#All],[Code]],Table1[[#All],[Time]],,0,1),"")</f>
        <v/>
      </c>
      <c r="G948" s="25" t="str" cm="1">
        <f t="array" ref="G948">IFERROR(_xlfn.XLOOKUP(Table57[[#This Row],[Code]],Table1[[#All],[Code]],Table1[[#All],[Time]],,0,-1),"")</f>
        <v/>
      </c>
      <c r="H948" s="23" t="str">
        <f>IFERROR(IF(Table57[[#This Row],[Out]]&gt;=Table57[[#This Row],[In]],Table57[[#This Row],[Out]]-Table57[[#This Row],[In]],(0.5+Table57[[#This Row],[Out]])-Table57[[#This Row],[In]]),"")</f>
        <v/>
      </c>
      <c r="I948" s="31" t="str">
        <f>IFERROR(IF(Table57[[#This Row],[In]]&gt;$C$2,Table57[[#This Row],[In]]-$C$2,""),"")</f>
        <v/>
      </c>
      <c r="J948" s="31" t="str">
        <f>IF(Table57[[#This Row],[Work_Hours]]=0,"",(IF(Table57[[#This Row],[Out]]&lt;$C$3,$C$3-Table57[[#This Row],[Out]],"")))</f>
        <v/>
      </c>
      <c r="K948" s="32" t="str">
        <f>IFERROR(Table57[[#This Row],[In]]+$C$1,"")</f>
        <v/>
      </c>
      <c r="L948" s="29"/>
      <c r="M948" s="31" t="str">
        <f>IF($C$2&gt;Table57[[#This Row],[In]],$C$2-Table57[[#This Row],[In]],"")</f>
        <v/>
      </c>
      <c r="N948" s="29" t="str">
        <f>IFERROR(IF(Table57[[#This Row],[Out]]&gt;$C$3,(Table57[[#This Row],[Out]])-($C$3),""),"")</f>
        <v/>
      </c>
    </row>
    <row r="949" spans="1:14" hidden="1" x14ac:dyDescent="0.25">
      <c r="A949" s="23" t="str">
        <f>Table57[[#This Row],[No.]]&amp;Table57[[#This Row],[Date]]</f>
        <v>00</v>
      </c>
      <c r="B949" s="22">
        <f>'Unique Dates'!A946</f>
        <v>0</v>
      </c>
      <c r="C949" s="22" t="e" cm="1">
        <f t="array" ref="C949">_xlfn.XLOOKUP(Table57[[#This Row],[No.]],Table2[[#All],[CODE]],Table2[[#All],[NAME]],,0,1)</f>
        <v>#N/A</v>
      </c>
      <c r="D949" s="6">
        <f>'Unique Dates'!B946</f>
        <v>0</v>
      </c>
      <c r="E949" t="str">
        <f>TEXT(Table57[[#This Row],[Date]],"dddd")</f>
        <v>Saturday</v>
      </c>
      <c r="F949" s="25" t="str" cm="1">
        <f t="array" ref="F949">IFERROR(_xlfn.XLOOKUP(Table57[[#This Row],[Code]],Table1[[#All],[Code]],Table1[[#All],[Time]],,0,1),"")</f>
        <v/>
      </c>
      <c r="G949" s="25" t="str" cm="1">
        <f t="array" ref="G949">IFERROR(_xlfn.XLOOKUP(Table57[[#This Row],[Code]],Table1[[#All],[Code]],Table1[[#All],[Time]],,0,-1),"")</f>
        <v/>
      </c>
      <c r="H949" s="23" t="str">
        <f>IFERROR(IF(Table57[[#This Row],[Out]]&gt;=Table57[[#This Row],[In]],Table57[[#This Row],[Out]]-Table57[[#This Row],[In]],(0.5+Table57[[#This Row],[Out]])-Table57[[#This Row],[In]]),"")</f>
        <v/>
      </c>
      <c r="I949" s="31" t="str">
        <f>IFERROR(IF(Table57[[#This Row],[In]]&gt;$C$2,Table57[[#This Row],[In]]-$C$2,""),"")</f>
        <v/>
      </c>
      <c r="J949" s="31" t="str">
        <f>IF(Table57[[#This Row],[Work_Hours]]=0,"",(IF(Table57[[#This Row],[Out]]&lt;$C$3,$C$3-Table57[[#This Row],[Out]],"")))</f>
        <v/>
      </c>
      <c r="K949" s="32" t="str">
        <f>IFERROR(Table57[[#This Row],[In]]+$C$1,"")</f>
        <v/>
      </c>
      <c r="L949" s="29"/>
      <c r="M949" s="31" t="str">
        <f>IF($C$2&gt;Table57[[#This Row],[In]],$C$2-Table57[[#This Row],[In]],"")</f>
        <v/>
      </c>
      <c r="N949" s="29" t="str">
        <f>IFERROR(IF(Table57[[#This Row],[Out]]&gt;$C$3,(Table57[[#This Row],[Out]])-($C$3),""),"")</f>
        <v/>
      </c>
    </row>
    <row r="950" spans="1:14" hidden="1" x14ac:dyDescent="0.25">
      <c r="A950" s="23" t="str">
        <f>Table57[[#This Row],[No.]]&amp;Table57[[#This Row],[Date]]</f>
        <v>00</v>
      </c>
      <c r="B950" s="22">
        <f>'Unique Dates'!A947</f>
        <v>0</v>
      </c>
      <c r="C950" s="22" t="e" cm="1">
        <f t="array" ref="C950">_xlfn.XLOOKUP(Table57[[#This Row],[No.]],Table2[[#All],[CODE]],Table2[[#All],[NAME]],,0,1)</f>
        <v>#N/A</v>
      </c>
      <c r="D950" s="6">
        <f>'Unique Dates'!B947</f>
        <v>0</v>
      </c>
      <c r="E950" t="str">
        <f>TEXT(Table57[[#This Row],[Date]],"dddd")</f>
        <v>Saturday</v>
      </c>
      <c r="F950" s="25" t="str" cm="1">
        <f t="array" ref="F950">IFERROR(_xlfn.XLOOKUP(Table57[[#This Row],[Code]],Table1[[#All],[Code]],Table1[[#All],[Time]],,0,1),"")</f>
        <v/>
      </c>
      <c r="G950" s="25" t="str" cm="1">
        <f t="array" ref="G950">IFERROR(_xlfn.XLOOKUP(Table57[[#This Row],[Code]],Table1[[#All],[Code]],Table1[[#All],[Time]],,0,-1),"")</f>
        <v/>
      </c>
      <c r="H950" s="23" t="str">
        <f>IFERROR(IF(Table57[[#This Row],[Out]]&gt;=Table57[[#This Row],[In]],Table57[[#This Row],[Out]]-Table57[[#This Row],[In]],(0.5+Table57[[#This Row],[Out]])-Table57[[#This Row],[In]]),"")</f>
        <v/>
      </c>
      <c r="I950" s="31" t="str">
        <f>IFERROR(IF(Table57[[#This Row],[In]]&gt;$C$2,Table57[[#This Row],[In]]-$C$2,""),"")</f>
        <v/>
      </c>
      <c r="J950" s="31" t="str">
        <f>IF(Table57[[#This Row],[Work_Hours]]=0,"",(IF(Table57[[#This Row],[Out]]&lt;$C$3,$C$3-Table57[[#This Row],[Out]],"")))</f>
        <v/>
      </c>
      <c r="K950" s="32" t="str">
        <f>IFERROR(Table57[[#This Row],[In]]+$C$1,"")</f>
        <v/>
      </c>
      <c r="L950" s="29"/>
      <c r="M950" s="31" t="str">
        <f>IF($C$2&gt;Table57[[#This Row],[In]],$C$2-Table57[[#This Row],[In]],"")</f>
        <v/>
      </c>
      <c r="N950" s="29" t="str">
        <f>IFERROR(IF(Table57[[#This Row],[Out]]&gt;$C$3,(Table57[[#This Row],[Out]])-($C$3),""),"")</f>
        <v/>
      </c>
    </row>
    <row r="951" spans="1:14" hidden="1" x14ac:dyDescent="0.25">
      <c r="A951" s="23" t="str">
        <f>Table57[[#This Row],[No.]]&amp;Table57[[#This Row],[Date]]</f>
        <v>00</v>
      </c>
      <c r="B951" s="22">
        <f>'Unique Dates'!A948</f>
        <v>0</v>
      </c>
      <c r="C951" s="22" t="e" cm="1">
        <f t="array" ref="C951">_xlfn.XLOOKUP(Table57[[#This Row],[No.]],Table2[[#All],[CODE]],Table2[[#All],[NAME]],,0,1)</f>
        <v>#N/A</v>
      </c>
      <c r="D951" s="6">
        <f>'Unique Dates'!B948</f>
        <v>0</v>
      </c>
      <c r="E951" t="str">
        <f>TEXT(Table57[[#This Row],[Date]],"dddd")</f>
        <v>Saturday</v>
      </c>
      <c r="F951" s="25" t="str" cm="1">
        <f t="array" ref="F951">IFERROR(_xlfn.XLOOKUP(Table57[[#This Row],[Code]],Table1[[#All],[Code]],Table1[[#All],[Time]],,0,1),"")</f>
        <v/>
      </c>
      <c r="G951" s="25" t="str" cm="1">
        <f t="array" ref="G951">IFERROR(_xlfn.XLOOKUP(Table57[[#This Row],[Code]],Table1[[#All],[Code]],Table1[[#All],[Time]],,0,-1),"")</f>
        <v/>
      </c>
      <c r="H951" s="23" t="str">
        <f>IFERROR(IF(Table57[[#This Row],[Out]]&gt;=Table57[[#This Row],[In]],Table57[[#This Row],[Out]]-Table57[[#This Row],[In]],(0.5+Table57[[#This Row],[Out]])-Table57[[#This Row],[In]]),"")</f>
        <v/>
      </c>
      <c r="I951" s="31" t="str">
        <f>IFERROR(IF(Table57[[#This Row],[In]]&gt;$C$2,Table57[[#This Row],[In]]-$C$2,""),"")</f>
        <v/>
      </c>
      <c r="J951" s="31" t="str">
        <f>IF(Table57[[#This Row],[Work_Hours]]=0,"",(IF(Table57[[#This Row],[Out]]&lt;$C$3,$C$3-Table57[[#This Row],[Out]],"")))</f>
        <v/>
      </c>
      <c r="K951" s="32" t="str">
        <f>IFERROR(Table57[[#This Row],[In]]+$C$1,"")</f>
        <v/>
      </c>
      <c r="L951" s="29"/>
      <c r="M951" s="31" t="str">
        <f>IF($C$2&gt;Table57[[#This Row],[In]],$C$2-Table57[[#This Row],[In]],"")</f>
        <v/>
      </c>
      <c r="N951" s="29" t="str">
        <f>IFERROR(IF(Table57[[#This Row],[Out]]&gt;$C$3,(Table57[[#This Row],[Out]])-($C$3),""),"")</f>
        <v/>
      </c>
    </row>
    <row r="952" spans="1:14" hidden="1" x14ac:dyDescent="0.25">
      <c r="A952" s="23" t="str">
        <f>Table57[[#This Row],[No.]]&amp;Table57[[#This Row],[Date]]</f>
        <v>00</v>
      </c>
      <c r="B952" s="22">
        <f>'Unique Dates'!A949</f>
        <v>0</v>
      </c>
      <c r="C952" s="22" t="e" cm="1">
        <f t="array" ref="C952">_xlfn.XLOOKUP(Table57[[#This Row],[No.]],Table2[[#All],[CODE]],Table2[[#All],[NAME]],,0,1)</f>
        <v>#N/A</v>
      </c>
      <c r="D952" s="6">
        <f>'Unique Dates'!B949</f>
        <v>0</v>
      </c>
      <c r="E952" t="str">
        <f>TEXT(Table57[[#This Row],[Date]],"dddd")</f>
        <v>Saturday</v>
      </c>
      <c r="F952" s="25" t="str" cm="1">
        <f t="array" ref="F952">IFERROR(_xlfn.XLOOKUP(Table57[[#This Row],[Code]],Table1[[#All],[Code]],Table1[[#All],[Time]],,0,1),"")</f>
        <v/>
      </c>
      <c r="G952" s="25" t="str" cm="1">
        <f t="array" ref="G952">IFERROR(_xlfn.XLOOKUP(Table57[[#This Row],[Code]],Table1[[#All],[Code]],Table1[[#All],[Time]],,0,-1),"")</f>
        <v/>
      </c>
      <c r="H952" s="23" t="str">
        <f>IFERROR(IF(Table57[[#This Row],[Out]]&gt;=Table57[[#This Row],[In]],Table57[[#This Row],[Out]]-Table57[[#This Row],[In]],(0.5+Table57[[#This Row],[Out]])-Table57[[#This Row],[In]]),"")</f>
        <v/>
      </c>
      <c r="I952" s="31" t="str">
        <f>IFERROR(IF(Table57[[#This Row],[In]]&gt;$C$2,Table57[[#This Row],[In]]-$C$2,""),"")</f>
        <v/>
      </c>
      <c r="J952" s="31" t="str">
        <f>IF(Table57[[#This Row],[Work_Hours]]=0,"",(IF(Table57[[#This Row],[Out]]&lt;$C$3,$C$3-Table57[[#This Row],[Out]],"")))</f>
        <v/>
      </c>
      <c r="K952" s="32" t="str">
        <f>IFERROR(Table57[[#This Row],[In]]+$C$1,"")</f>
        <v/>
      </c>
      <c r="L952" s="29"/>
      <c r="M952" s="31" t="str">
        <f>IF($C$2&gt;Table57[[#This Row],[In]],$C$2-Table57[[#This Row],[In]],"")</f>
        <v/>
      </c>
      <c r="N952" s="29" t="str">
        <f>IFERROR(IF(Table57[[#This Row],[Out]]&gt;$C$3,(Table57[[#This Row],[Out]])-($C$3),""),"")</f>
        <v/>
      </c>
    </row>
    <row r="953" spans="1:14" hidden="1" x14ac:dyDescent="0.25">
      <c r="A953" s="23" t="str">
        <f>Table57[[#This Row],[No.]]&amp;Table57[[#This Row],[Date]]</f>
        <v>00</v>
      </c>
      <c r="B953" s="22">
        <f>'Unique Dates'!A950</f>
        <v>0</v>
      </c>
      <c r="C953" s="22" t="e" cm="1">
        <f t="array" ref="C953">_xlfn.XLOOKUP(Table57[[#This Row],[No.]],Table2[[#All],[CODE]],Table2[[#All],[NAME]],,0,1)</f>
        <v>#N/A</v>
      </c>
      <c r="D953" s="6">
        <f>'Unique Dates'!B950</f>
        <v>0</v>
      </c>
      <c r="E953" t="str">
        <f>TEXT(Table57[[#This Row],[Date]],"dddd")</f>
        <v>Saturday</v>
      </c>
      <c r="F953" s="25" t="str" cm="1">
        <f t="array" ref="F953">IFERROR(_xlfn.XLOOKUP(Table57[[#This Row],[Code]],Table1[[#All],[Code]],Table1[[#All],[Time]],,0,1),"")</f>
        <v/>
      </c>
      <c r="G953" s="25" t="str" cm="1">
        <f t="array" ref="G953">IFERROR(_xlfn.XLOOKUP(Table57[[#This Row],[Code]],Table1[[#All],[Code]],Table1[[#All],[Time]],,0,-1),"")</f>
        <v/>
      </c>
      <c r="H953" s="23" t="str">
        <f>IFERROR(IF(Table57[[#This Row],[Out]]&gt;=Table57[[#This Row],[In]],Table57[[#This Row],[Out]]-Table57[[#This Row],[In]],(0.5+Table57[[#This Row],[Out]])-Table57[[#This Row],[In]]),"")</f>
        <v/>
      </c>
      <c r="I953" s="31" t="str">
        <f>IFERROR(IF(Table57[[#This Row],[In]]&gt;$C$2,Table57[[#This Row],[In]]-$C$2,""),"")</f>
        <v/>
      </c>
      <c r="J953" s="31" t="str">
        <f>IF(Table57[[#This Row],[Work_Hours]]=0,"",(IF(Table57[[#This Row],[Out]]&lt;$C$3,$C$3-Table57[[#This Row],[Out]],"")))</f>
        <v/>
      </c>
      <c r="K953" s="32" t="str">
        <f>IFERROR(Table57[[#This Row],[In]]+$C$1,"")</f>
        <v/>
      </c>
      <c r="L953" s="29"/>
      <c r="M953" s="31" t="str">
        <f>IF($C$2&gt;Table57[[#This Row],[In]],$C$2-Table57[[#This Row],[In]],"")</f>
        <v/>
      </c>
      <c r="N953" s="29" t="str">
        <f>IFERROR(IF(Table57[[#This Row],[Out]]&gt;$C$3,(Table57[[#This Row],[Out]])-($C$3),""),"")</f>
        <v/>
      </c>
    </row>
    <row r="954" spans="1:14" hidden="1" x14ac:dyDescent="0.25">
      <c r="A954" s="23" t="str">
        <f>Table57[[#This Row],[No.]]&amp;Table57[[#This Row],[Date]]</f>
        <v>00</v>
      </c>
      <c r="B954" s="22">
        <f>'Unique Dates'!A951</f>
        <v>0</v>
      </c>
      <c r="C954" s="22" t="e" cm="1">
        <f t="array" ref="C954">_xlfn.XLOOKUP(Table57[[#This Row],[No.]],Table2[[#All],[CODE]],Table2[[#All],[NAME]],,0,1)</f>
        <v>#N/A</v>
      </c>
      <c r="D954" s="6">
        <f>'Unique Dates'!B951</f>
        <v>0</v>
      </c>
      <c r="E954" t="str">
        <f>TEXT(Table57[[#This Row],[Date]],"dddd")</f>
        <v>Saturday</v>
      </c>
      <c r="F954" s="25" t="str" cm="1">
        <f t="array" ref="F954">IFERROR(_xlfn.XLOOKUP(Table57[[#This Row],[Code]],Table1[[#All],[Code]],Table1[[#All],[Time]],,0,1),"")</f>
        <v/>
      </c>
      <c r="G954" s="25" t="str" cm="1">
        <f t="array" ref="G954">IFERROR(_xlfn.XLOOKUP(Table57[[#This Row],[Code]],Table1[[#All],[Code]],Table1[[#All],[Time]],,0,-1),"")</f>
        <v/>
      </c>
      <c r="H954" s="23" t="str">
        <f>IFERROR(IF(Table57[[#This Row],[Out]]&gt;=Table57[[#This Row],[In]],Table57[[#This Row],[Out]]-Table57[[#This Row],[In]],(0.5+Table57[[#This Row],[Out]])-Table57[[#This Row],[In]]),"")</f>
        <v/>
      </c>
      <c r="I954" s="31" t="str">
        <f>IFERROR(IF(Table57[[#This Row],[In]]&gt;$C$2,Table57[[#This Row],[In]]-$C$2,""),"")</f>
        <v/>
      </c>
      <c r="J954" s="31" t="str">
        <f>IF(Table57[[#This Row],[Work_Hours]]=0,"",(IF(Table57[[#This Row],[Out]]&lt;$C$3,$C$3-Table57[[#This Row],[Out]],"")))</f>
        <v/>
      </c>
      <c r="K954" s="32" t="str">
        <f>IFERROR(Table57[[#This Row],[In]]+$C$1,"")</f>
        <v/>
      </c>
      <c r="L954" s="29"/>
      <c r="M954" s="31" t="str">
        <f>IF($C$2&gt;Table57[[#This Row],[In]],$C$2-Table57[[#This Row],[In]],"")</f>
        <v/>
      </c>
      <c r="N954" s="29" t="str">
        <f>IFERROR(IF(Table57[[#This Row],[Out]]&gt;$C$3,(Table57[[#This Row],[Out]])-($C$3),""),"")</f>
        <v/>
      </c>
    </row>
    <row r="955" spans="1:14" hidden="1" x14ac:dyDescent="0.25">
      <c r="A955" s="23" t="str">
        <f>Table57[[#This Row],[No.]]&amp;Table57[[#This Row],[Date]]</f>
        <v>00</v>
      </c>
      <c r="B955" s="22">
        <f>'Unique Dates'!A952</f>
        <v>0</v>
      </c>
      <c r="C955" s="22" t="e" cm="1">
        <f t="array" ref="C955">_xlfn.XLOOKUP(Table57[[#This Row],[No.]],Table2[[#All],[CODE]],Table2[[#All],[NAME]],,0,1)</f>
        <v>#N/A</v>
      </c>
      <c r="D955" s="6">
        <f>'Unique Dates'!B952</f>
        <v>0</v>
      </c>
      <c r="E955" t="str">
        <f>TEXT(Table57[[#This Row],[Date]],"dddd")</f>
        <v>Saturday</v>
      </c>
      <c r="F955" s="25" t="str" cm="1">
        <f t="array" ref="F955">IFERROR(_xlfn.XLOOKUP(Table57[[#This Row],[Code]],Table1[[#All],[Code]],Table1[[#All],[Time]],,0,1),"")</f>
        <v/>
      </c>
      <c r="G955" s="25" t="str" cm="1">
        <f t="array" ref="G955">IFERROR(_xlfn.XLOOKUP(Table57[[#This Row],[Code]],Table1[[#All],[Code]],Table1[[#All],[Time]],,0,-1),"")</f>
        <v/>
      </c>
      <c r="H955" s="23" t="str">
        <f>IFERROR(IF(Table57[[#This Row],[Out]]&gt;=Table57[[#This Row],[In]],Table57[[#This Row],[Out]]-Table57[[#This Row],[In]],(0.5+Table57[[#This Row],[Out]])-Table57[[#This Row],[In]]),"")</f>
        <v/>
      </c>
      <c r="I955" s="31" t="str">
        <f>IFERROR(IF(Table57[[#This Row],[In]]&gt;$C$2,Table57[[#This Row],[In]]-$C$2,""),"")</f>
        <v/>
      </c>
      <c r="J955" s="31" t="str">
        <f>IF(Table57[[#This Row],[Work_Hours]]=0,"",(IF(Table57[[#This Row],[Out]]&lt;$C$3,$C$3-Table57[[#This Row],[Out]],"")))</f>
        <v/>
      </c>
      <c r="K955" s="32" t="str">
        <f>IFERROR(Table57[[#This Row],[In]]+$C$1,"")</f>
        <v/>
      </c>
      <c r="L955" s="29"/>
      <c r="M955" s="31" t="str">
        <f>IF($C$2&gt;Table57[[#This Row],[In]],$C$2-Table57[[#This Row],[In]],"")</f>
        <v/>
      </c>
      <c r="N955" s="29" t="str">
        <f>IFERROR(IF(Table57[[#This Row],[Out]]&gt;$C$3,(Table57[[#This Row],[Out]])-($C$3),""),"")</f>
        <v/>
      </c>
    </row>
    <row r="956" spans="1:14" hidden="1" x14ac:dyDescent="0.25">
      <c r="A956" s="23" t="str">
        <f>Table57[[#This Row],[No.]]&amp;Table57[[#This Row],[Date]]</f>
        <v>00</v>
      </c>
      <c r="B956" s="22">
        <f>'Unique Dates'!A953</f>
        <v>0</v>
      </c>
      <c r="C956" s="22" t="e" cm="1">
        <f t="array" ref="C956">_xlfn.XLOOKUP(Table57[[#This Row],[No.]],Table2[[#All],[CODE]],Table2[[#All],[NAME]],,0,1)</f>
        <v>#N/A</v>
      </c>
      <c r="D956" s="6">
        <f>'Unique Dates'!B953</f>
        <v>0</v>
      </c>
      <c r="E956" t="str">
        <f>TEXT(Table57[[#This Row],[Date]],"dddd")</f>
        <v>Saturday</v>
      </c>
      <c r="F956" s="25" t="str" cm="1">
        <f t="array" ref="F956">IFERROR(_xlfn.XLOOKUP(Table57[[#This Row],[Code]],Table1[[#All],[Code]],Table1[[#All],[Time]],,0,1),"")</f>
        <v/>
      </c>
      <c r="G956" s="25" t="str" cm="1">
        <f t="array" ref="G956">IFERROR(_xlfn.XLOOKUP(Table57[[#This Row],[Code]],Table1[[#All],[Code]],Table1[[#All],[Time]],,0,-1),"")</f>
        <v/>
      </c>
      <c r="H956" s="23" t="str">
        <f>IFERROR(IF(Table57[[#This Row],[Out]]&gt;=Table57[[#This Row],[In]],Table57[[#This Row],[Out]]-Table57[[#This Row],[In]],(0.5+Table57[[#This Row],[Out]])-Table57[[#This Row],[In]]),"")</f>
        <v/>
      </c>
      <c r="I956" s="31" t="str">
        <f>IFERROR(IF(Table57[[#This Row],[In]]&gt;$C$2,Table57[[#This Row],[In]]-$C$2,""),"")</f>
        <v/>
      </c>
      <c r="J956" s="31" t="str">
        <f>IF(Table57[[#This Row],[Work_Hours]]=0,"",(IF(Table57[[#This Row],[Out]]&lt;$C$3,$C$3-Table57[[#This Row],[Out]],"")))</f>
        <v/>
      </c>
      <c r="K956" s="32" t="str">
        <f>IFERROR(Table57[[#This Row],[In]]+$C$1,"")</f>
        <v/>
      </c>
      <c r="L956" s="29"/>
      <c r="M956" s="31" t="str">
        <f>IF($C$2&gt;Table57[[#This Row],[In]],$C$2-Table57[[#This Row],[In]],"")</f>
        <v/>
      </c>
      <c r="N956" s="29" t="str">
        <f>IFERROR(IF(Table57[[#This Row],[Out]]&gt;$C$3,(Table57[[#This Row],[Out]])-($C$3),""),"")</f>
        <v/>
      </c>
    </row>
    <row r="957" spans="1:14" hidden="1" x14ac:dyDescent="0.25">
      <c r="A957" s="23" t="str">
        <f>Table57[[#This Row],[No.]]&amp;Table57[[#This Row],[Date]]</f>
        <v>00</v>
      </c>
      <c r="B957" s="22">
        <f>'Unique Dates'!A954</f>
        <v>0</v>
      </c>
      <c r="C957" s="22" t="e" cm="1">
        <f t="array" ref="C957">_xlfn.XLOOKUP(Table57[[#This Row],[No.]],Table2[[#All],[CODE]],Table2[[#All],[NAME]],,0,1)</f>
        <v>#N/A</v>
      </c>
      <c r="D957" s="6">
        <f>'Unique Dates'!B954</f>
        <v>0</v>
      </c>
      <c r="E957" t="str">
        <f>TEXT(Table57[[#This Row],[Date]],"dddd")</f>
        <v>Saturday</v>
      </c>
      <c r="F957" s="25" t="str" cm="1">
        <f t="array" ref="F957">IFERROR(_xlfn.XLOOKUP(Table57[[#This Row],[Code]],Table1[[#All],[Code]],Table1[[#All],[Time]],,0,1),"")</f>
        <v/>
      </c>
      <c r="G957" s="25" t="str" cm="1">
        <f t="array" ref="G957">IFERROR(_xlfn.XLOOKUP(Table57[[#This Row],[Code]],Table1[[#All],[Code]],Table1[[#All],[Time]],,0,-1),"")</f>
        <v/>
      </c>
      <c r="H957" s="23" t="str">
        <f>IFERROR(IF(Table57[[#This Row],[Out]]&gt;=Table57[[#This Row],[In]],Table57[[#This Row],[Out]]-Table57[[#This Row],[In]],(0.5+Table57[[#This Row],[Out]])-Table57[[#This Row],[In]]),"")</f>
        <v/>
      </c>
      <c r="I957" s="31" t="str">
        <f>IFERROR(IF(Table57[[#This Row],[In]]&gt;$C$2,Table57[[#This Row],[In]]-$C$2,""),"")</f>
        <v/>
      </c>
      <c r="J957" s="31" t="str">
        <f>IF(Table57[[#This Row],[Work_Hours]]=0,"",(IF(Table57[[#This Row],[Out]]&lt;$C$3,$C$3-Table57[[#This Row],[Out]],"")))</f>
        <v/>
      </c>
      <c r="K957" s="32" t="str">
        <f>IFERROR(Table57[[#This Row],[In]]+$C$1,"")</f>
        <v/>
      </c>
      <c r="L957" s="29"/>
      <c r="M957" s="31" t="str">
        <f>IF($C$2&gt;Table57[[#This Row],[In]],$C$2-Table57[[#This Row],[In]],"")</f>
        <v/>
      </c>
      <c r="N957" s="29" t="str">
        <f>IFERROR(IF(Table57[[#This Row],[Out]]&gt;$C$3,(Table57[[#This Row],[Out]])-($C$3),""),"")</f>
        <v/>
      </c>
    </row>
    <row r="958" spans="1:14" hidden="1" x14ac:dyDescent="0.25">
      <c r="A958" s="23" t="str">
        <f>Table57[[#This Row],[No.]]&amp;Table57[[#This Row],[Date]]</f>
        <v>00</v>
      </c>
      <c r="B958" s="22">
        <f>'Unique Dates'!A955</f>
        <v>0</v>
      </c>
      <c r="C958" s="22" t="e" cm="1">
        <f t="array" ref="C958">_xlfn.XLOOKUP(Table57[[#This Row],[No.]],Table2[[#All],[CODE]],Table2[[#All],[NAME]],,0,1)</f>
        <v>#N/A</v>
      </c>
      <c r="D958" s="6">
        <f>'Unique Dates'!B955</f>
        <v>0</v>
      </c>
      <c r="E958" t="str">
        <f>TEXT(Table57[[#This Row],[Date]],"dddd")</f>
        <v>Saturday</v>
      </c>
      <c r="F958" s="25" t="str" cm="1">
        <f t="array" ref="F958">IFERROR(_xlfn.XLOOKUP(Table57[[#This Row],[Code]],Table1[[#All],[Code]],Table1[[#All],[Time]],,0,1),"")</f>
        <v/>
      </c>
      <c r="G958" s="25" t="str" cm="1">
        <f t="array" ref="G958">IFERROR(_xlfn.XLOOKUP(Table57[[#This Row],[Code]],Table1[[#All],[Code]],Table1[[#All],[Time]],,0,-1),"")</f>
        <v/>
      </c>
      <c r="H958" s="23" t="str">
        <f>IFERROR(IF(Table57[[#This Row],[Out]]&gt;=Table57[[#This Row],[In]],Table57[[#This Row],[Out]]-Table57[[#This Row],[In]],(0.5+Table57[[#This Row],[Out]])-Table57[[#This Row],[In]]),"")</f>
        <v/>
      </c>
      <c r="I958" s="31" t="str">
        <f>IFERROR(IF(Table57[[#This Row],[In]]&gt;$C$2,Table57[[#This Row],[In]]-$C$2,""),"")</f>
        <v/>
      </c>
      <c r="J958" s="31" t="str">
        <f>IF(Table57[[#This Row],[Work_Hours]]=0,"",(IF(Table57[[#This Row],[Out]]&lt;$C$3,$C$3-Table57[[#This Row],[Out]],"")))</f>
        <v/>
      </c>
      <c r="K958" s="32" t="str">
        <f>IFERROR(Table57[[#This Row],[In]]+$C$1,"")</f>
        <v/>
      </c>
      <c r="L958" s="29"/>
      <c r="M958" s="31" t="str">
        <f>IF($C$2&gt;Table57[[#This Row],[In]],$C$2-Table57[[#This Row],[In]],"")</f>
        <v/>
      </c>
      <c r="N958" s="29" t="str">
        <f>IFERROR(IF(Table57[[#This Row],[Out]]&gt;$C$3,(Table57[[#This Row],[Out]])-($C$3),""),"")</f>
        <v/>
      </c>
    </row>
    <row r="959" spans="1:14" hidden="1" x14ac:dyDescent="0.25">
      <c r="A959" s="23" t="str">
        <f>Table57[[#This Row],[No.]]&amp;Table57[[#This Row],[Date]]</f>
        <v>00</v>
      </c>
      <c r="B959" s="22">
        <f>'Unique Dates'!A956</f>
        <v>0</v>
      </c>
      <c r="C959" s="22" t="e" cm="1">
        <f t="array" ref="C959">_xlfn.XLOOKUP(Table57[[#This Row],[No.]],Table2[[#All],[CODE]],Table2[[#All],[NAME]],,0,1)</f>
        <v>#N/A</v>
      </c>
      <c r="D959" s="6">
        <f>'Unique Dates'!B956</f>
        <v>0</v>
      </c>
      <c r="E959" t="str">
        <f>TEXT(Table57[[#This Row],[Date]],"dddd")</f>
        <v>Saturday</v>
      </c>
      <c r="F959" s="25" t="str" cm="1">
        <f t="array" ref="F959">IFERROR(_xlfn.XLOOKUP(Table57[[#This Row],[Code]],Table1[[#All],[Code]],Table1[[#All],[Time]],,0,1),"")</f>
        <v/>
      </c>
      <c r="G959" s="25" t="str" cm="1">
        <f t="array" ref="G959">IFERROR(_xlfn.XLOOKUP(Table57[[#This Row],[Code]],Table1[[#All],[Code]],Table1[[#All],[Time]],,0,-1),"")</f>
        <v/>
      </c>
      <c r="H959" s="23" t="str">
        <f>IFERROR(IF(Table57[[#This Row],[Out]]&gt;=Table57[[#This Row],[In]],Table57[[#This Row],[Out]]-Table57[[#This Row],[In]],(0.5+Table57[[#This Row],[Out]])-Table57[[#This Row],[In]]),"")</f>
        <v/>
      </c>
      <c r="I959" s="31" t="str">
        <f>IFERROR(IF(Table57[[#This Row],[In]]&gt;$C$2,Table57[[#This Row],[In]]-$C$2,""),"")</f>
        <v/>
      </c>
      <c r="J959" s="31" t="str">
        <f>IF(Table57[[#This Row],[Work_Hours]]=0,"",(IF(Table57[[#This Row],[Out]]&lt;$C$3,$C$3-Table57[[#This Row],[Out]],"")))</f>
        <v/>
      </c>
      <c r="K959" s="32" t="str">
        <f>IFERROR(Table57[[#This Row],[In]]+$C$1,"")</f>
        <v/>
      </c>
      <c r="L959" s="29"/>
      <c r="M959" s="31" t="str">
        <f>IF($C$2&gt;Table57[[#This Row],[In]],$C$2-Table57[[#This Row],[In]],"")</f>
        <v/>
      </c>
      <c r="N959" s="29" t="str">
        <f>IFERROR(IF(Table57[[#This Row],[Out]]&gt;$C$3,(Table57[[#This Row],[Out]])-($C$3),""),"")</f>
        <v/>
      </c>
    </row>
    <row r="960" spans="1:14" hidden="1" x14ac:dyDescent="0.25">
      <c r="A960" s="23" t="str">
        <f>Table57[[#This Row],[No.]]&amp;Table57[[#This Row],[Date]]</f>
        <v>00</v>
      </c>
      <c r="B960" s="22">
        <f>'Unique Dates'!A957</f>
        <v>0</v>
      </c>
      <c r="C960" s="22" t="e" cm="1">
        <f t="array" ref="C960">_xlfn.XLOOKUP(Table57[[#This Row],[No.]],Table2[[#All],[CODE]],Table2[[#All],[NAME]],,0,1)</f>
        <v>#N/A</v>
      </c>
      <c r="D960" s="6">
        <f>'Unique Dates'!B957</f>
        <v>0</v>
      </c>
      <c r="E960" t="str">
        <f>TEXT(Table57[[#This Row],[Date]],"dddd")</f>
        <v>Saturday</v>
      </c>
      <c r="F960" s="25" t="str" cm="1">
        <f t="array" ref="F960">IFERROR(_xlfn.XLOOKUP(Table57[[#This Row],[Code]],Table1[[#All],[Code]],Table1[[#All],[Time]],,0,1),"")</f>
        <v/>
      </c>
      <c r="G960" s="25" t="str" cm="1">
        <f t="array" ref="G960">IFERROR(_xlfn.XLOOKUP(Table57[[#This Row],[Code]],Table1[[#All],[Code]],Table1[[#All],[Time]],,0,-1),"")</f>
        <v/>
      </c>
      <c r="H960" s="23" t="str">
        <f>IFERROR(IF(Table57[[#This Row],[Out]]&gt;=Table57[[#This Row],[In]],Table57[[#This Row],[Out]]-Table57[[#This Row],[In]],(0.5+Table57[[#This Row],[Out]])-Table57[[#This Row],[In]]),"")</f>
        <v/>
      </c>
      <c r="I960" s="31" t="str">
        <f>IFERROR(IF(Table57[[#This Row],[In]]&gt;$C$2,Table57[[#This Row],[In]]-$C$2,""),"")</f>
        <v/>
      </c>
      <c r="J960" s="31" t="str">
        <f>IF(Table57[[#This Row],[Work_Hours]]=0,"",(IF(Table57[[#This Row],[Out]]&lt;$C$3,$C$3-Table57[[#This Row],[Out]],"")))</f>
        <v/>
      </c>
      <c r="K960" s="32" t="str">
        <f>IFERROR(Table57[[#This Row],[In]]+$C$1,"")</f>
        <v/>
      </c>
      <c r="L960" s="29"/>
      <c r="M960" s="31" t="str">
        <f>IF($C$2&gt;Table57[[#This Row],[In]],$C$2-Table57[[#This Row],[In]],"")</f>
        <v/>
      </c>
      <c r="N960" s="29" t="str">
        <f>IFERROR(IF(Table57[[#This Row],[Out]]&gt;$C$3,(Table57[[#This Row],[Out]])-($C$3),""),"")</f>
        <v/>
      </c>
    </row>
    <row r="961" spans="1:14" hidden="1" x14ac:dyDescent="0.25">
      <c r="A961" s="23" t="str">
        <f>Table57[[#This Row],[No.]]&amp;Table57[[#This Row],[Date]]</f>
        <v>00</v>
      </c>
      <c r="B961" s="22">
        <f>'Unique Dates'!A958</f>
        <v>0</v>
      </c>
      <c r="C961" s="22" t="e" cm="1">
        <f t="array" ref="C961">_xlfn.XLOOKUP(Table57[[#This Row],[No.]],Table2[[#All],[CODE]],Table2[[#All],[NAME]],,0,1)</f>
        <v>#N/A</v>
      </c>
      <c r="D961" s="6">
        <f>'Unique Dates'!B958</f>
        <v>0</v>
      </c>
      <c r="E961" t="str">
        <f>TEXT(Table57[[#This Row],[Date]],"dddd")</f>
        <v>Saturday</v>
      </c>
      <c r="F961" s="25" t="str" cm="1">
        <f t="array" ref="F961">IFERROR(_xlfn.XLOOKUP(Table57[[#This Row],[Code]],Table1[[#All],[Code]],Table1[[#All],[Time]],,0,1),"")</f>
        <v/>
      </c>
      <c r="G961" s="25" t="str" cm="1">
        <f t="array" ref="G961">IFERROR(_xlfn.XLOOKUP(Table57[[#This Row],[Code]],Table1[[#All],[Code]],Table1[[#All],[Time]],,0,-1),"")</f>
        <v/>
      </c>
      <c r="H961" s="23" t="str">
        <f>IFERROR(IF(Table57[[#This Row],[Out]]&gt;=Table57[[#This Row],[In]],Table57[[#This Row],[Out]]-Table57[[#This Row],[In]],(0.5+Table57[[#This Row],[Out]])-Table57[[#This Row],[In]]),"")</f>
        <v/>
      </c>
      <c r="I961" s="31" t="str">
        <f>IFERROR(IF(Table57[[#This Row],[In]]&gt;$C$2,Table57[[#This Row],[In]]-$C$2,""),"")</f>
        <v/>
      </c>
      <c r="J961" s="31" t="str">
        <f>IF(Table57[[#This Row],[Work_Hours]]=0,"",(IF(Table57[[#This Row],[Out]]&lt;$C$3,$C$3-Table57[[#This Row],[Out]],"")))</f>
        <v/>
      </c>
      <c r="K961" s="32" t="str">
        <f>IFERROR(Table57[[#This Row],[In]]+$C$1,"")</f>
        <v/>
      </c>
      <c r="L961" s="29"/>
      <c r="M961" s="31" t="str">
        <f>IF($C$2&gt;Table57[[#This Row],[In]],$C$2-Table57[[#This Row],[In]],"")</f>
        <v/>
      </c>
      <c r="N961" s="29" t="str">
        <f>IFERROR(IF(Table57[[#This Row],[Out]]&gt;$C$3,(Table57[[#This Row],[Out]])-($C$3),""),"")</f>
        <v/>
      </c>
    </row>
    <row r="962" spans="1:14" hidden="1" x14ac:dyDescent="0.25">
      <c r="A962" s="23" t="str">
        <f>Table57[[#This Row],[No.]]&amp;Table57[[#This Row],[Date]]</f>
        <v>00</v>
      </c>
      <c r="B962" s="22">
        <f>'Unique Dates'!A959</f>
        <v>0</v>
      </c>
      <c r="C962" s="22" t="e" cm="1">
        <f t="array" ref="C962">_xlfn.XLOOKUP(Table57[[#This Row],[No.]],Table2[[#All],[CODE]],Table2[[#All],[NAME]],,0,1)</f>
        <v>#N/A</v>
      </c>
      <c r="D962" s="6">
        <f>'Unique Dates'!B959</f>
        <v>0</v>
      </c>
      <c r="E962" t="str">
        <f>TEXT(Table57[[#This Row],[Date]],"dddd")</f>
        <v>Saturday</v>
      </c>
      <c r="F962" s="25" t="str" cm="1">
        <f t="array" ref="F962">IFERROR(_xlfn.XLOOKUP(Table57[[#This Row],[Code]],Table1[[#All],[Code]],Table1[[#All],[Time]],,0,1),"")</f>
        <v/>
      </c>
      <c r="G962" s="25" t="str" cm="1">
        <f t="array" ref="G962">IFERROR(_xlfn.XLOOKUP(Table57[[#This Row],[Code]],Table1[[#All],[Code]],Table1[[#All],[Time]],,0,-1),"")</f>
        <v/>
      </c>
      <c r="H962" s="23" t="str">
        <f>IFERROR(IF(Table57[[#This Row],[Out]]&gt;=Table57[[#This Row],[In]],Table57[[#This Row],[Out]]-Table57[[#This Row],[In]],(0.5+Table57[[#This Row],[Out]])-Table57[[#This Row],[In]]),"")</f>
        <v/>
      </c>
      <c r="I962" s="31" t="str">
        <f>IFERROR(IF(Table57[[#This Row],[In]]&gt;$C$2,Table57[[#This Row],[In]]-$C$2,""),"")</f>
        <v/>
      </c>
      <c r="J962" s="31" t="str">
        <f>IF(Table57[[#This Row],[Work_Hours]]=0,"",(IF(Table57[[#This Row],[Out]]&lt;$C$3,$C$3-Table57[[#This Row],[Out]],"")))</f>
        <v/>
      </c>
      <c r="K962" s="32" t="str">
        <f>IFERROR(Table57[[#This Row],[In]]+$C$1,"")</f>
        <v/>
      </c>
      <c r="L962" s="29"/>
      <c r="M962" s="31" t="str">
        <f>IF($C$2&gt;Table57[[#This Row],[In]],$C$2-Table57[[#This Row],[In]],"")</f>
        <v/>
      </c>
      <c r="N962" s="29" t="str">
        <f>IFERROR(IF(Table57[[#This Row],[Out]]&gt;$C$3,(Table57[[#This Row],[Out]])-($C$3),""),"")</f>
        <v/>
      </c>
    </row>
    <row r="963" spans="1:14" hidden="1" x14ac:dyDescent="0.25">
      <c r="A963" s="23" t="str">
        <f>Table57[[#This Row],[No.]]&amp;Table57[[#This Row],[Date]]</f>
        <v>00</v>
      </c>
      <c r="B963" s="22">
        <f>'Unique Dates'!A960</f>
        <v>0</v>
      </c>
      <c r="C963" s="22" t="e" cm="1">
        <f t="array" ref="C963">_xlfn.XLOOKUP(Table57[[#This Row],[No.]],Table2[[#All],[CODE]],Table2[[#All],[NAME]],,0,1)</f>
        <v>#N/A</v>
      </c>
      <c r="D963" s="6">
        <f>'Unique Dates'!B960</f>
        <v>0</v>
      </c>
      <c r="E963" t="str">
        <f>TEXT(Table57[[#This Row],[Date]],"dddd")</f>
        <v>Saturday</v>
      </c>
      <c r="F963" s="25" t="str" cm="1">
        <f t="array" ref="F963">IFERROR(_xlfn.XLOOKUP(Table57[[#This Row],[Code]],Table1[[#All],[Code]],Table1[[#All],[Time]],,0,1),"")</f>
        <v/>
      </c>
      <c r="G963" s="25" t="str" cm="1">
        <f t="array" ref="G963">IFERROR(_xlfn.XLOOKUP(Table57[[#This Row],[Code]],Table1[[#All],[Code]],Table1[[#All],[Time]],,0,-1),"")</f>
        <v/>
      </c>
      <c r="H963" s="23" t="str">
        <f>IFERROR(IF(Table57[[#This Row],[Out]]&gt;=Table57[[#This Row],[In]],Table57[[#This Row],[Out]]-Table57[[#This Row],[In]],(0.5+Table57[[#This Row],[Out]])-Table57[[#This Row],[In]]),"")</f>
        <v/>
      </c>
      <c r="I963" s="31" t="str">
        <f>IFERROR(IF(Table57[[#This Row],[In]]&gt;$C$2,Table57[[#This Row],[In]]-$C$2,""),"")</f>
        <v/>
      </c>
      <c r="J963" s="31" t="str">
        <f>IF(Table57[[#This Row],[Work_Hours]]=0,"",(IF(Table57[[#This Row],[Out]]&lt;$C$3,$C$3-Table57[[#This Row],[Out]],"")))</f>
        <v/>
      </c>
      <c r="K963" s="32" t="str">
        <f>IFERROR(Table57[[#This Row],[In]]+$C$1,"")</f>
        <v/>
      </c>
      <c r="L963" s="29"/>
      <c r="M963" s="31" t="str">
        <f>IF($C$2&gt;Table57[[#This Row],[In]],$C$2-Table57[[#This Row],[In]],"")</f>
        <v/>
      </c>
      <c r="N963" s="29" t="str">
        <f>IFERROR(IF(Table57[[#This Row],[Out]]&gt;$C$3,(Table57[[#This Row],[Out]])-($C$3),""),"")</f>
        <v/>
      </c>
    </row>
    <row r="964" spans="1:14" hidden="1" x14ac:dyDescent="0.25">
      <c r="A964" s="23" t="str">
        <f>Table57[[#This Row],[No.]]&amp;Table57[[#This Row],[Date]]</f>
        <v>00</v>
      </c>
      <c r="B964" s="22">
        <f>'Unique Dates'!A961</f>
        <v>0</v>
      </c>
      <c r="C964" s="22" t="e" cm="1">
        <f t="array" ref="C964">_xlfn.XLOOKUP(Table57[[#This Row],[No.]],Table2[[#All],[CODE]],Table2[[#All],[NAME]],,0,1)</f>
        <v>#N/A</v>
      </c>
      <c r="D964" s="6">
        <f>'Unique Dates'!B961</f>
        <v>0</v>
      </c>
      <c r="E964" t="str">
        <f>TEXT(Table57[[#This Row],[Date]],"dddd")</f>
        <v>Saturday</v>
      </c>
      <c r="F964" s="25" t="str" cm="1">
        <f t="array" ref="F964">IFERROR(_xlfn.XLOOKUP(Table57[[#This Row],[Code]],Table1[[#All],[Code]],Table1[[#All],[Time]],,0,1),"")</f>
        <v/>
      </c>
      <c r="G964" s="25" t="str" cm="1">
        <f t="array" ref="G964">IFERROR(_xlfn.XLOOKUP(Table57[[#This Row],[Code]],Table1[[#All],[Code]],Table1[[#All],[Time]],,0,-1),"")</f>
        <v/>
      </c>
      <c r="H964" s="23" t="str">
        <f>IFERROR(IF(Table57[[#This Row],[Out]]&gt;=Table57[[#This Row],[In]],Table57[[#This Row],[Out]]-Table57[[#This Row],[In]],(0.5+Table57[[#This Row],[Out]])-Table57[[#This Row],[In]]),"")</f>
        <v/>
      </c>
      <c r="I964" s="31" t="str">
        <f>IFERROR(IF(Table57[[#This Row],[In]]&gt;$C$2,Table57[[#This Row],[In]]-$C$2,""),"")</f>
        <v/>
      </c>
      <c r="J964" s="31" t="str">
        <f>IF(Table57[[#This Row],[Work_Hours]]=0,"",(IF(Table57[[#This Row],[Out]]&lt;$C$3,$C$3-Table57[[#This Row],[Out]],"")))</f>
        <v/>
      </c>
      <c r="K964" s="32" t="str">
        <f>IFERROR(Table57[[#This Row],[In]]+$C$1,"")</f>
        <v/>
      </c>
      <c r="L964" s="29"/>
      <c r="M964" s="31" t="str">
        <f>IF($C$2&gt;Table57[[#This Row],[In]],$C$2-Table57[[#This Row],[In]],"")</f>
        <v/>
      </c>
      <c r="N964" s="29" t="str">
        <f>IFERROR(IF(Table57[[#This Row],[Out]]&gt;$C$3,(Table57[[#This Row],[Out]])-($C$3),""),"")</f>
        <v/>
      </c>
    </row>
    <row r="965" spans="1:14" hidden="1" x14ac:dyDescent="0.25">
      <c r="A965" s="7" t="str">
        <f>Table57[[#This Row],[No.]]&amp;Table57[[#This Row],[Date]]</f>
        <v>00</v>
      </c>
      <c r="B965" s="22">
        <f>'Unique Dates'!A962</f>
        <v>0</v>
      </c>
      <c r="C965" s="22" t="e" cm="1">
        <f t="array" ref="C965">_xlfn.XLOOKUP(Table57[[#This Row],[No.]],Table2[[#All],[CODE]],Table2[[#All],[NAME]],,0,1)</f>
        <v>#N/A</v>
      </c>
      <c r="D965" s="6">
        <f>'Unique Dates'!B962</f>
        <v>0</v>
      </c>
      <c r="E965" t="str">
        <f>TEXT(Table57[[#This Row],[Date]],"dddd")</f>
        <v>Saturday</v>
      </c>
      <c r="F965" s="25" t="str" cm="1">
        <f t="array" ref="F965">IFERROR(_xlfn.XLOOKUP(Table57[[#This Row],[Code]],Table1[[#All],[Code]],Table1[[#All],[Time]],,0,1),"")</f>
        <v/>
      </c>
      <c r="G965" s="25" t="str" cm="1">
        <f t="array" ref="G965">IFERROR(_xlfn.XLOOKUP(Table57[[#This Row],[Code]],Table1[[#All],[Code]],Table1[[#All],[Time]],,0,-1),"")</f>
        <v/>
      </c>
      <c r="H965" s="23" t="str">
        <f>IFERROR(IF(Table57[[#This Row],[Out]]&gt;=Table57[[#This Row],[In]],Table57[[#This Row],[Out]]-Table57[[#This Row],[In]],(0.5+Table57[[#This Row],[Out]])-Table57[[#This Row],[In]]),"")</f>
        <v/>
      </c>
      <c r="I965" s="31" t="str">
        <f>IFERROR(IF(Table57[[#This Row],[In]]&gt;$C$2,Table57[[#This Row],[In]]-$C$2,""),"")</f>
        <v/>
      </c>
      <c r="J965" s="31" t="str">
        <f>IF(Table57[[#This Row],[Work_Hours]]=0,"",(IF(Table57[[#This Row],[Out]]&lt;$C$3,$C$3-Table57[[#This Row],[Out]],"")))</f>
        <v/>
      </c>
      <c r="K965" s="32" t="str">
        <f>IFERROR(Table57[[#This Row],[In]]+$C$1,"")</f>
        <v/>
      </c>
      <c r="L965" s="29"/>
      <c r="M965" s="31" t="str">
        <f>IF($C$2&gt;Table57[[#This Row],[In]],$C$2-Table57[[#This Row],[In]],"")</f>
        <v/>
      </c>
      <c r="N965" s="29" t="str">
        <f>IFERROR(IF(Table57[[#This Row],[Out]]&gt;$C$3,(Table57[[#This Row],[Out]])-($C$3),""),"")</f>
        <v/>
      </c>
    </row>
    <row r="966" spans="1:14" x14ac:dyDescent="0.25">
      <c r="A966" s="22"/>
      <c r="B966" s="22"/>
      <c r="C966" s="22"/>
      <c r="D966" s="6"/>
      <c r="E966" s="33"/>
      <c r="F966" s="25"/>
      <c r="G966" s="25"/>
      <c r="H966" s="31">
        <f>SUBTOTAL(109,Table57[Work_Hours])</f>
        <v>6.4110763888888886</v>
      </c>
      <c r="I966" s="31">
        <f>SUBTOTAL(109,Table57[التاخير عن الحضور])</f>
        <v>0.67009259259259302</v>
      </c>
      <c r="J966" s="31">
        <f>SUBTOTAL(109,Table57[خروج قبل الانصراف])</f>
        <v>0.41768518518518494</v>
      </c>
      <c r="K966" s="32"/>
      <c r="L966" s="29">
        <f>SUBTOTAL(109,Table57[مده السماح])</f>
        <v>0</v>
      </c>
      <c r="M966" s="29">
        <f>SUBTOTAL(109,Table57[الحضور قبل الموعد الرسمي])</f>
        <v>3.7824074074073732E-2</v>
      </c>
      <c r="N966" s="31">
        <f>SUBTOTAL(109,Table57[الخروج بعد الانصراف])</f>
        <v>0.32574074074074078</v>
      </c>
    </row>
  </sheetData>
  <mergeCells count="3">
    <mergeCell ref="A1:B1"/>
    <mergeCell ref="A2:B2"/>
    <mergeCell ref="A3:B3"/>
  </mergeCells>
  <conditionalFormatting sqref="H5:H965">
    <cfRule type="cellIs" dxfId="29" priority="1" operator="between">
      <formula>0</formula>
      <formula>0.00138888888888889</formula>
    </cfRule>
  </conditionalFormatting>
  <pageMargins left="0.7" right="0.7" top="0.75" bottom="0.75" header="0.3" footer="0.3"/>
  <pageSetup orientation="portrait" r:id="rId1"/>
  <ignoredErrors>
    <ignoredError sqref="J5:J138 M5:M138 I5:I138 M175:M965 I175:I965 J175:J965 I139:J174"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ADD453-B742-4A4C-889B-DA2A1E47EA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Codes</vt:lpstr>
      <vt:lpstr>Unique Dates</vt:lpstr>
      <vt:lpstr>finger</vt:lpstr>
      <vt:lpstr>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2024-11-20T12:06:18Z</dcterms:modified>
</cp:coreProperties>
</file>