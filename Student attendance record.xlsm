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Portfolio\"/>
    </mc:Choice>
  </mc:AlternateContent>
  <xr:revisionPtr revIDLastSave="0" documentId="13_ncr:1_{E0C26ADC-EF82-47C6-B742-6CB103ABF83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tudents" sheetId="3" r:id="rId1"/>
    <sheet name="Attendance" sheetId="2" r:id="rId2"/>
    <sheet name="Monthly Student Attendance" sheetId="1" r:id="rId3"/>
    <sheet name="Monthly Student Attendance (2)" sheetId="22" r:id="rId4"/>
    <sheet name="Tabasheer Ayman" sheetId="21" r:id="rId5"/>
    <sheet name="Sawsam Ahmad" sheetId="20" r:id="rId6"/>
    <sheet name="Sara Habib" sheetId="19" r:id="rId7"/>
    <sheet name="Sameera Okal" sheetId="18" r:id="rId8"/>
    <sheet name="Salwam Tahab" sheetId="17" r:id="rId9"/>
    <sheet name="Saleem Halem" sheetId="16" r:id="rId10"/>
    <sheet name="Saeed Qays" sheetId="15" r:id="rId11"/>
    <sheet name="Najeeb Qanbar" sheetId="14" r:id="rId12"/>
    <sheet name="Mohammad Ali" sheetId="13" r:id="rId13"/>
    <sheet name="Kwther Ameen" sheetId="12" r:id="rId14"/>
    <sheet name="Khaled Katem" sheetId="11" r:id="rId15"/>
    <sheet name="Kareem Ahmad" sheetId="10" r:id="rId16"/>
    <sheet name="Ismael Othaman" sheetId="9" r:id="rId17"/>
    <sheet name="Hala Ahmadi" sheetId="8" r:id="rId18"/>
    <sheet name="Haitham Khald" sheetId="7" r:id="rId19"/>
    <sheet name="Ameen Ahmad" sheetId="6" r:id="rId20"/>
    <sheet name="Ali Omar" sheetId="5" r:id="rId21"/>
    <sheet name="Ahmad Omran" sheetId="4" r:id="rId22"/>
  </sheets>
  <calcPr calcId="191029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22" l="1" a="1"/>
  <c r="C10" i="22" s="1"/>
  <c r="AF9" i="22"/>
  <c r="AE9" i="22"/>
  <c r="AD9" i="22"/>
  <c r="AC9" i="22"/>
  <c r="AB9" i="22"/>
  <c r="AA9" i="22"/>
  <c r="Z9" i="22"/>
  <c r="Y9" i="22"/>
  <c r="X9" i="22"/>
  <c r="W9" i="22"/>
  <c r="V9" i="22"/>
  <c r="U9" i="22"/>
  <c r="T9" i="22"/>
  <c r="S9" i="22"/>
  <c r="R9" i="22"/>
  <c r="Q9" i="22"/>
  <c r="P9" i="22"/>
  <c r="O9" i="22"/>
  <c r="N9" i="22"/>
  <c r="M9" i="22"/>
  <c r="L9" i="22"/>
  <c r="K9" i="22"/>
  <c r="J9" i="22"/>
  <c r="I9" i="22"/>
  <c r="H9" i="22"/>
  <c r="G9" i="22"/>
  <c r="F9" i="22"/>
  <c r="E9" i="22"/>
  <c r="D9" i="22"/>
  <c r="C9" i="22"/>
  <c r="AJ8" i="22" s="1"/>
  <c r="AE5" i="22"/>
  <c r="W5" i="22"/>
  <c r="K5" i="22"/>
  <c r="B5" i="22"/>
  <c r="AH3" i="22"/>
  <c r="AE3" i="22"/>
  <c r="S3" i="22"/>
  <c r="P3" i="22"/>
  <c r="K3" i="22"/>
  <c r="C10" i="21" a="1"/>
  <c r="C10" i="21" s="1"/>
  <c r="AF9" i="21"/>
  <c r="AE9" i="21"/>
  <c r="AD9" i="21"/>
  <c r="AC9" i="21"/>
  <c r="AB9" i="21"/>
  <c r="AA9" i="21"/>
  <c r="Z9" i="21"/>
  <c r="Y9" i="21"/>
  <c r="X9" i="21"/>
  <c r="W9" i="21"/>
  <c r="V9" i="21"/>
  <c r="U9" i="21"/>
  <c r="T9" i="21"/>
  <c r="S9" i="21"/>
  <c r="R9" i="21"/>
  <c r="Q9" i="21"/>
  <c r="P9" i="21"/>
  <c r="O9" i="21"/>
  <c r="N9" i="21"/>
  <c r="M9" i="21"/>
  <c r="L9" i="21"/>
  <c r="K9" i="21"/>
  <c r="J9" i="21"/>
  <c r="I9" i="21"/>
  <c r="H9" i="21"/>
  <c r="G9" i="21"/>
  <c r="F9" i="21"/>
  <c r="AG8" i="21" s="1"/>
  <c r="E9" i="21"/>
  <c r="D9" i="21"/>
  <c r="C9" i="21"/>
  <c r="AE5" i="21"/>
  <c r="W5" i="21"/>
  <c r="K5" i="21"/>
  <c r="B5" i="21"/>
  <c r="AH3" i="21"/>
  <c r="AE3" i="21"/>
  <c r="S3" i="21"/>
  <c r="P3" i="21"/>
  <c r="K3" i="21"/>
  <c r="C10" i="20" a="1"/>
  <c r="C10" i="20" s="1"/>
  <c r="AF9" i="20"/>
  <c r="AE9" i="20"/>
  <c r="AD9" i="20"/>
  <c r="AC9" i="20"/>
  <c r="AB9" i="20"/>
  <c r="AA9" i="20"/>
  <c r="Z9" i="20"/>
  <c r="Y9" i="20"/>
  <c r="X9" i="20"/>
  <c r="W9" i="20"/>
  <c r="V9" i="20"/>
  <c r="U9" i="20"/>
  <c r="T9" i="20"/>
  <c r="S9" i="20"/>
  <c r="R9" i="20"/>
  <c r="Q9" i="20"/>
  <c r="P9" i="20"/>
  <c r="O9" i="20"/>
  <c r="N9" i="20"/>
  <c r="M9" i="20"/>
  <c r="L9" i="20"/>
  <c r="K9" i="20"/>
  <c r="J9" i="20"/>
  <c r="I9" i="20"/>
  <c r="H9" i="20"/>
  <c r="G9" i="20"/>
  <c r="F9" i="20"/>
  <c r="E9" i="20"/>
  <c r="D9" i="20"/>
  <c r="C9" i="20"/>
  <c r="AJ8" i="20" s="1"/>
  <c r="AE5" i="20"/>
  <c r="W5" i="20"/>
  <c r="K5" i="20"/>
  <c r="B5" i="20"/>
  <c r="AH3" i="20"/>
  <c r="AE3" i="20"/>
  <c r="S3" i="20"/>
  <c r="P3" i="20"/>
  <c r="K3" i="20"/>
  <c r="C10" i="19" a="1"/>
  <c r="C10" i="19" s="1"/>
  <c r="AF9" i="19"/>
  <c r="AE9" i="19"/>
  <c r="AD9" i="19"/>
  <c r="AC9" i="19"/>
  <c r="AB9" i="19"/>
  <c r="AA9" i="19"/>
  <c r="Z9" i="19"/>
  <c r="Y9" i="19"/>
  <c r="X9" i="19"/>
  <c r="W9" i="19"/>
  <c r="V9" i="19"/>
  <c r="U9" i="19"/>
  <c r="T9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AJ8" i="19" s="1"/>
  <c r="AE5" i="19"/>
  <c r="W5" i="19"/>
  <c r="K5" i="19"/>
  <c r="B5" i="19"/>
  <c r="AH3" i="19"/>
  <c r="AE3" i="19"/>
  <c r="S3" i="19"/>
  <c r="P3" i="19"/>
  <c r="K3" i="19"/>
  <c r="C10" i="18" a="1"/>
  <c r="C10" i="18" s="1"/>
  <c r="AF9" i="18"/>
  <c r="AE9" i="18"/>
  <c r="AD9" i="18"/>
  <c r="AC9" i="18"/>
  <c r="AB9" i="18"/>
  <c r="AA9" i="18"/>
  <c r="Z9" i="18"/>
  <c r="Y9" i="18"/>
  <c r="X9" i="18"/>
  <c r="W9" i="18"/>
  <c r="V9" i="18"/>
  <c r="U9" i="18"/>
  <c r="T9" i="18"/>
  <c r="S9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D9" i="18"/>
  <c r="C9" i="18"/>
  <c r="AJ8" i="18" s="1"/>
  <c r="AE5" i="18"/>
  <c r="W5" i="18"/>
  <c r="K5" i="18"/>
  <c r="B5" i="18"/>
  <c r="AH3" i="18"/>
  <c r="AE3" i="18"/>
  <c r="S3" i="18"/>
  <c r="P3" i="18"/>
  <c r="K3" i="18"/>
  <c r="C10" i="17" a="1"/>
  <c r="C10" i="17" s="1"/>
  <c r="AF9" i="17"/>
  <c r="AE9" i="17"/>
  <c r="AD9" i="17"/>
  <c r="AC9" i="17"/>
  <c r="AB9" i="17"/>
  <c r="AA9" i="17"/>
  <c r="Z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AE5" i="17"/>
  <c r="W5" i="17"/>
  <c r="K5" i="17"/>
  <c r="B5" i="17"/>
  <c r="AH3" i="17"/>
  <c r="AE3" i="17"/>
  <c r="S3" i="17"/>
  <c r="P3" i="17"/>
  <c r="K3" i="17"/>
  <c r="C10" i="16" a="1"/>
  <c r="C10" i="16" s="1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C9" i="16"/>
  <c r="AJ8" i="16" s="1"/>
  <c r="AE5" i="16"/>
  <c r="W5" i="16"/>
  <c r="K5" i="16"/>
  <c r="B5" i="16"/>
  <c r="AH3" i="16"/>
  <c r="AE3" i="16"/>
  <c r="S3" i="16"/>
  <c r="P3" i="16"/>
  <c r="K3" i="16"/>
  <c r="C10" i="15" a="1"/>
  <c r="C10" i="15" s="1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I8" i="15" s="1"/>
  <c r="AE5" i="15"/>
  <c r="W5" i="15"/>
  <c r="K5" i="15"/>
  <c r="B5" i="15"/>
  <c r="AH3" i="15"/>
  <c r="AE3" i="15"/>
  <c r="S3" i="15"/>
  <c r="P3" i="15"/>
  <c r="K3" i="15"/>
  <c r="C10" i="14" a="1"/>
  <c r="C10" i="14" s="1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AG8" i="14" s="1"/>
  <c r="E9" i="14"/>
  <c r="D9" i="14"/>
  <c r="C9" i="14"/>
  <c r="AE5" i="14"/>
  <c r="W5" i="14"/>
  <c r="K5" i="14"/>
  <c r="B5" i="14"/>
  <c r="AH3" i="14"/>
  <c r="AE3" i="14"/>
  <c r="S3" i="14"/>
  <c r="P3" i="14"/>
  <c r="K3" i="14"/>
  <c r="C10" i="13" a="1"/>
  <c r="C10" i="13" s="1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AG8" i="13" s="1"/>
  <c r="F9" i="13"/>
  <c r="E9" i="13"/>
  <c r="D9" i="13"/>
  <c r="C9" i="13"/>
  <c r="AJ8" i="13" s="1"/>
  <c r="AE5" i="13"/>
  <c r="W5" i="13"/>
  <c r="K5" i="13"/>
  <c r="B5" i="13"/>
  <c r="AH3" i="13"/>
  <c r="AE3" i="13"/>
  <c r="S3" i="13"/>
  <c r="P3" i="13"/>
  <c r="K3" i="13"/>
  <c r="C10" i="12" a="1"/>
  <c r="C10" i="12" s="1"/>
  <c r="AF9" i="12"/>
  <c r="AE9" i="12"/>
  <c r="AD9" i="12"/>
  <c r="AC9" i="12"/>
  <c r="AB9" i="12"/>
  <c r="AA9" i="12"/>
  <c r="Z9" i="12"/>
  <c r="Y9" i="12"/>
  <c r="X9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E9" i="12"/>
  <c r="D9" i="12"/>
  <c r="C9" i="12"/>
  <c r="AJ8" i="12" s="1"/>
  <c r="AE5" i="12"/>
  <c r="W5" i="12"/>
  <c r="K5" i="12"/>
  <c r="B5" i="12"/>
  <c r="AH3" i="12"/>
  <c r="AE3" i="12"/>
  <c r="S3" i="12"/>
  <c r="P3" i="12"/>
  <c r="K3" i="12"/>
  <c r="C10" i="11" a="1"/>
  <c r="C10" i="11" s="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J8" i="11" s="1"/>
  <c r="AE5" i="11"/>
  <c r="W5" i="11"/>
  <c r="K5" i="11"/>
  <c r="B5" i="11"/>
  <c r="AH3" i="11"/>
  <c r="AE3" i="11"/>
  <c r="S3" i="11"/>
  <c r="P3" i="11"/>
  <c r="K3" i="11"/>
  <c r="C10" i="10" a="1"/>
  <c r="C10" i="10" s="1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E5" i="10"/>
  <c r="W5" i="10"/>
  <c r="K5" i="10"/>
  <c r="B5" i="10"/>
  <c r="AH3" i="10"/>
  <c r="AE3" i="10"/>
  <c r="S3" i="10"/>
  <c r="P3" i="10"/>
  <c r="K3" i="10"/>
  <c r="C10" i="9" a="1"/>
  <c r="C10" i="9" s="1"/>
  <c r="AF9" i="9"/>
  <c r="AE9" i="9"/>
  <c r="AD9" i="9"/>
  <c r="AC9" i="9"/>
  <c r="AB9" i="9"/>
  <c r="AA9" i="9"/>
  <c r="Z9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AG8" i="9"/>
  <c r="AE5" i="9"/>
  <c r="W5" i="9"/>
  <c r="K5" i="9"/>
  <c r="B5" i="9"/>
  <c r="AH3" i="9"/>
  <c r="AE3" i="9"/>
  <c r="S3" i="9"/>
  <c r="P3" i="9"/>
  <c r="K3" i="9"/>
  <c r="C10" i="8" a="1"/>
  <c r="C10" i="8" s="1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C9" i="8"/>
  <c r="AJ8" i="8" s="1"/>
  <c r="AE5" i="8"/>
  <c r="W5" i="8"/>
  <c r="K5" i="8"/>
  <c r="B5" i="8"/>
  <c r="AH3" i="8"/>
  <c r="AE3" i="8"/>
  <c r="S3" i="8"/>
  <c r="P3" i="8"/>
  <c r="K3" i="8"/>
  <c r="C10" i="7" a="1"/>
  <c r="C10" i="7" s="1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AG8" i="7" s="1"/>
  <c r="D9" i="7"/>
  <c r="C9" i="7"/>
  <c r="AE5" i="7"/>
  <c r="W5" i="7"/>
  <c r="K5" i="7"/>
  <c r="B5" i="7"/>
  <c r="AH3" i="7"/>
  <c r="AE3" i="7"/>
  <c r="S3" i="7"/>
  <c r="P3" i="7"/>
  <c r="K3" i="7"/>
  <c r="C10" i="6" a="1"/>
  <c r="C10" i="6" s="1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AJ8" i="6" s="1"/>
  <c r="AG8" i="6"/>
  <c r="AE5" i="6"/>
  <c r="W5" i="6"/>
  <c r="K5" i="6"/>
  <c r="B5" i="6"/>
  <c r="AH3" i="6"/>
  <c r="AE3" i="6"/>
  <c r="S3" i="6"/>
  <c r="P3" i="6"/>
  <c r="K3" i="6"/>
  <c r="C10" i="5" a="1"/>
  <c r="C10" i="5" s="1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8" i="5"/>
  <c r="AE5" i="5"/>
  <c r="W5" i="5"/>
  <c r="K5" i="5"/>
  <c r="B5" i="5"/>
  <c r="AH3" i="5"/>
  <c r="AE3" i="5"/>
  <c r="S3" i="5"/>
  <c r="P3" i="5"/>
  <c r="K3" i="5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AI8" i="4" s="1"/>
  <c r="E9" i="4"/>
  <c r="D9" i="4"/>
  <c r="C9" i="4"/>
  <c r="AH8" i="4" s="1"/>
  <c r="AJ8" i="4"/>
  <c r="AE5" i="4"/>
  <c r="W5" i="4"/>
  <c r="K5" i="4"/>
  <c r="B5" i="4"/>
  <c r="AH3" i="4"/>
  <c r="AE3" i="4"/>
  <c r="S3" i="4"/>
  <c r="P3" i="4"/>
  <c r="K3" i="4"/>
  <c r="C10" i="1" a="1"/>
  <c r="C10" i="1" s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C9" i="1"/>
  <c r="AE5" i="1"/>
  <c r="W5" i="1"/>
  <c r="K5" i="1"/>
  <c r="B5" i="1"/>
  <c r="AH3" i="1"/>
  <c r="AE3" i="1"/>
  <c r="S3" i="1"/>
  <c r="P3" i="1"/>
  <c r="K3" i="1"/>
  <c r="AI8" i="22" l="1"/>
  <c r="AG8" i="22"/>
  <c r="AH8" i="22"/>
  <c r="AJ8" i="21"/>
  <c r="AH8" i="21"/>
  <c r="AI8" i="21"/>
  <c r="AG8" i="20"/>
  <c r="AH8" i="20"/>
  <c r="AI8" i="20"/>
  <c r="AH8" i="19"/>
  <c r="AG8" i="19"/>
  <c r="AI8" i="19"/>
  <c r="AH8" i="18"/>
  <c r="AI8" i="18"/>
  <c r="AG8" i="18"/>
  <c r="AG8" i="17"/>
  <c r="AJ8" i="17"/>
  <c r="AH8" i="17"/>
  <c r="AI8" i="17"/>
  <c r="AH8" i="16"/>
  <c r="AG8" i="16"/>
  <c r="AI8" i="16"/>
  <c r="AG8" i="15"/>
  <c r="AJ8" i="15"/>
  <c r="AH8" i="15"/>
  <c r="AJ8" i="14"/>
  <c r="AH8" i="14"/>
  <c r="AI8" i="14"/>
  <c r="AH8" i="13"/>
  <c r="AI8" i="13"/>
  <c r="AH8" i="12"/>
  <c r="AI8" i="12"/>
  <c r="AG8" i="12"/>
  <c r="AH8" i="11"/>
  <c r="AI8" i="11"/>
  <c r="AG8" i="11"/>
  <c r="AJ8" i="10"/>
  <c r="AH8" i="10"/>
  <c r="AI8" i="10"/>
  <c r="AG8" i="10"/>
  <c r="AJ8" i="9"/>
  <c r="AH8" i="9"/>
  <c r="AI8" i="9"/>
  <c r="AG8" i="8"/>
  <c r="AH8" i="8"/>
  <c r="AI8" i="8"/>
  <c r="AJ8" i="7"/>
  <c r="AI8" i="7"/>
  <c r="AH8" i="7"/>
  <c r="AH8" i="6"/>
  <c r="AI8" i="6"/>
  <c r="AJ8" i="5"/>
  <c r="AH8" i="5"/>
  <c r="AI8" i="5"/>
  <c r="AG8" i="4"/>
  <c r="AG8" i="1"/>
  <c r="AJ8" i="1" l="1"/>
  <c r="AI8" i="1"/>
  <c r="AH8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<sst xmlns="http://schemas.openxmlformats.org/spreadsheetml/2006/main" count="1728" uniqueCount="148">
  <si>
    <t>Grade</t>
  </si>
  <si>
    <t>School</t>
  </si>
  <si>
    <t>Room</t>
  </si>
  <si>
    <t>Attendance Totals</t>
  </si>
  <si>
    <t>Tardy</t>
  </si>
  <si>
    <t>Unexcused</t>
  </si>
  <si>
    <t>Excused</t>
  </si>
  <si>
    <t>Present</t>
  </si>
  <si>
    <t>Name of Student</t>
  </si>
  <si>
    <t>Birth Date</t>
  </si>
  <si>
    <t>Student ID #</t>
  </si>
  <si>
    <t>T = Tardy; U = Unexcused; E = Excused; P = Present</t>
  </si>
  <si>
    <t>Gender</t>
  </si>
  <si>
    <t>June</t>
  </si>
  <si>
    <t>Student Attendance Record - June 2019</t>
  </si>
  <si>
    <t>Student Name</t>
  </si>
  <si>
    <t>Ahmad Omran</t>
  </si>
  <si>
    <t>Sawsam Ahmad</t>
  </si>
  <si>
    <t>Mohammad Ali</t>
  </si>
  <si>
    <t>Ali Omar</t>
  </si>
  <si>
    <t>Salwam Tahab</t>
  </si>
  <si>
    <t>Khaled Katem</t>
  </si>
  <si>
    <t>Ismael Othaman</t>
  </si>
  <si>
    <t>Sara Habib</t>
  </si>
  <si>
    <t>Kwther Ameen</t>
  </si>
  <si>
    <t>Saleem Halem</t>
  </si>
  <si>
    <t>Haitham Khald</t>
  </si>
  <si>
    <t>Ameen Ahmad</t>
  </si>
  <si>
    <t>Saeed Qays</t>
  </si>
  <si>
    <t>Hala Ahmadi</t>
  </si>
  <si>
    <t>Najeeb Qanbar</t>
  </si>
  <si>
    <t>Kareem Ahmad</t>
  </si>
  <si>
    <t>Sameera Okal</t>
  </si>
  <si>
    <t>Tabasheer Ayman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</si>
  <si>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</si>
  <si>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</si>
  <si>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</si>
  <si>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</si>
  <si>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</si>
  <si>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</si>
  <si>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</si>
  <si>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</si>
  <si>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</si>
  <si>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</si>
  <si>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</si>
  <si>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</si>
  <si>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</si>
  <si>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</si>
  <si>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</si>
  <si>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</si>
  <si>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</si>
  <si>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</si>
  <si>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</si>
  <si>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</si>
  <si>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</si>
  <si>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</si>
  <si>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</si>
  <si>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</si>
  <si>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</si>
  <si>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</si>
  <si>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</si>
  <si>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</si>
  <si>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</si>
  <si>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</si>
  <si>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School Attendance Record - June 2019</t>
  </si>
  <si>
    <t>T</t>
  </si>
  <si>
    <t>P</t>
  </si>
  <si>
    <t>U</t>
  </si>
  <si>
    <t>E</t>
  </si>
  <si>
    <t>ID</t>
  </si>
  <si>
    <t>Father Name</t>
  </si>
  <si>
    <t>Mother Name</t>
  </si>
  <si>
    <t>Phone Number</t>
  </si>
  <si>
    <t>Adress</t>
  </si>
  <si>
    <t>ED15</t>
  </si>
  <si>
    <t>FD56</t>
  </si>
  <si>
    <t>WE65</t>
  </si>
  <si>
    <t>FG68</t>
  </si>
  <si>
    <t>SS54</t>
  </si>
  <si>
    <t>WE77</t>
  </si>
  <si>
    <t>BG99</t>
  </si>
  <si>
    <t>MN88</t>
  </si>
  <si>
    <t>EU66</t>
  </si>
  <si>
    <t>JT99</t>
  </si>
  <si>
    <t>WH15</t>
  </si>
  <si>
    <t>GU36</t>
  </si>
  <si>
    <t>UF99</t>
  </si>
  <si>
    <t>BJ74</t>
  </si>
  <si>
    <t>QE33</t>
  </si>
  <si>
    <t>ET64</t>
  </si>
  <si>
    <t>WT86</t>
  </si>
  <si>
    <t>QQ98</t>
  </si>
  <si>
    <t>Male</t>
  </si>
  <si>
    <t>Female</t>
  </si>
  <si>
    <t>Mohammad</t>
  </si>
  <si>
    <t>Fysal</t>
  </si>
  <si>
    <t>Qutayba</t>
  </si>
  <si>
    <t>Sameer</t>
  </si>
  <si>
    <t>Jamal</t>
  </si>
  <si>
    <t>Ahmad</t>
  </si>
  <si>
    <t>Ameer</t>
  </si>
  <si>
    <t>Essam</t>
  </si>
  <si>
    <t>Sallam</t>
  </si>
  <si>
    <t>Fahad</t>
  </si>
  <si>
    <t>Kareem</t>
  </si>
  <si>
    <t>Saman</t>
  </si>
  <si>
    <t>Sa'ad</t>
  </si>
  <si>
    <t>Salem</t>
  </si>
  <si>
    <t>Bade'a</t>
  </si>
  <si>
    <t>Salwan</t>
  </si>
  <si>
    <t>Ghanem</t>
  </si>
  <si>
    <t>Anas</t>
  </si>
  <si>
    <t>Fathya</t>
  </si>
  <si>
    <t>Sara</t>
  </si>
  <si>
    <t>Suad</t>
  </si>
  <si>
    <t>Saly</t>
  </si>
  <si>
    <t>Khadeeja</t>
  </si>
  <si>
    <t>Ibtihal</t>
  </si>
  <si>
    <t>Aya</t>
  </si>
  <si>
    <t>Amal</t>
  </si>
  <si>
    <t>Enam</t>
  </si>
  <si>
    <t>Ekram</t>
  </si>
  <si>
    <t>Omaymah</t>
  </si>
  <si>
    <t>Yasmeen</t>
  </si>
  <si>
    <t>Hameeda</t>
  </si>
  <si>
    <t>Hajer</t>
  </si>
  <si>
    <t>Ayman</t>
  </si>
  <si>
    <t>Sana</t>
  </si>
  <si>
    <t>Andalus</t>
  </si>
  <si>
    <t>Al-Omar School</t>
  </si>
  <si>
    <t>Isteklal Street</t>
  </si>
  <si>
    <t>Aman Street</t>
  </si>
  <si>
    <t>Harat Street</t>
  </si>
  <si>
    <t>Hods Street</t>
  </si>
  <si>
    <t>Kabbani Street</t>
  </si>
  <si>
    <t>Jammal Street</t>
  </si>
  <si>
    <t>Horrya Streey</t>
  </si>
  <si>
    <t>Hamal Street</t>
  </si>
  <si>
    <t>Jameel Street</t>
  </si>
  <si>
    <t>Jalal Street</t>
  </si>
  <si>
    <t>AlAndalous Jad</t>
  </si>
  <si>
    <t>Taqatoa Al Ahal</t>
  </si>
  <si>
    <t>Saffan Jad</t>
  </si>
  <si>
    <t>Domyat Street</t>
  </si>
  <si>
    <t>Assama Jad</t>
  </si>
  <si>
    <t>Anoal Mah</t>
  </si>
  <si>
    <t>Dammam Street</t>
  </si>
  <si>
    <t>Qahera Mah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</si>
</sst>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 &quot;₹&quot;\ * #,##0_ ;_ &quot;₹&quot;\ * \-#,##0_ ;_ &quot;₹&quot;\ * &quot;-&quot;_ ;_ @_ "/>
    <numFmt numFmtId="165" formatCode="_ * #,##0_ ;_ * \-#,##0_ ;_ * &quot;-&quot;_ ;_ @_ "/>
    <numFmt numFmtId="166" formatCode="_ &quot;₹&quot;\ * #,##0.00_ ;_ &quot;₹&quot;\ * \-#,##0.00_ ;_ &quot;₹&quot;\ * &quot;-&quot;??_ ;_ @_ "/>
    <numFmt numFmtId="167" formatCode="_ * #,##0.00_ ;_ * \-#,##0.00_ ;_ * &quot;-&quot;??_ ;_ @_ "/>
    <numFmt numFmtId="168" formatCode="[&lt;=9999999]###\-####;\(###\)\ ###\-####"/>
    <numFmt numFmtId="169" formatCode="mm/dd/yy;@"/>
  </numFmts>
  <fonts count="19" x14ac:knownFonts="1">
    <font>
      <sz val="11"/>
      <name val="Corbel"/>
      <family val="2"/>
      <scheme val="minor"/>
    </font>
    <font>
      <sz val="8"/>
      <name val="Arial"/>
      <family val="2"/>
    </font>
    <font>
      <b/>
      <sz val="13"/>
      <color theme="3"/>
      <name val="Corbel"/>
      <family val="2"/>
      <scheme val="minor"/>
    </font>
    <font>
      <b/>
      <sz val="11"/>
      <color theme="3"/>
      <name val="Corbel"/>
      <family val="2"/>
      <scheme val="minor"/>
    </font>
    <font>
      <b/>
      <sz val="11"/>
      <color theme="1"/>
      <name val="Corbel"/>
      <family val="2"/>
      <scheme val="minor"/>
    </font>
    <font>
      <sz val="11"/>
      <name val="Corbel"/>
      <family val="2"/>
      <scheme val="minor"/>
    </font>
    <font>
      <b/>
      <sz val="11"/>
      <color theme="1" tint="0.14993743705557422"/>
      <name val="Corbel"/>
      <family val="2"/>
      <scheme val="minor"/>
    </font>
    <font>
      <sz val="11"/>
      <name val="Corbel"/>
      <family val="1"/>
      <scheme val="minor"/>
    </font>
    <font>
      <b/>
      <sz val="11"/>
      <color theme="1" tint="0.14993743705557422"/>
      <name val="Corbel"/>
      <family val="1"/>
      <scheme val="minor"/>
    </font>
    <font>
      <i/>
      <sz val="11"/>
      <color theme="1" tint="0.34998626667073579"/>
      <name val="Corbel"/>
      <family val="2"/>
      <scheme val="minor"/>
    </font>
    <font>
      <b/>
      <sz val="20"/>
      <name val="Corbel"/>
      <family val="2"/>
      <scheme val="major"/>
    </font>
    <font>
      <b/>
      <sz val="12"/>
      <name val="Corbel"/>
      <family val="2"/>
      <scheme val="minor"/>
    </font>
    <font>
      <b/>
      <sz val="12"/>
      <color theme="1"/>
      <name val="Corbel"/>
      <family val="2"/>
      <scheme val="minor"/>
    </font>
    <font>
      <b/>
      <sz val="14"/>
      <name val="Corbel"/>
      <family val="2"/>
      <scheme val="minor"/>
    </font>
    <font>
      <b/>
      <sz val="16"/>
      <name val="Corbel"/>
      <family val="2"/>
      <scheme val="minor"/>
    </font>
    <font>
      <b/>
      <sz val="12"/>
      <name val="Corbel"/>
      <family val="2"/>
      <scheme val="major"/>
    </font>
    <font>
      <b/>
      <sz val="12"/>
      <color theme="1" tint="0.14993743705557422"/>
      <name val="Corbel"/>
      <family val="2"/>
      <scheme val="minor"/>
    </font>
    <font>
      <b/>
      <sz val="12"/>
      <color theme="1" tint="0.14996795556505021"/>
      <name val="Corbel"/>
      <family val="2"/>
      <scheme val="minor"/>
    </font>
    <font>
      <b/>
      <sz val="16"/>
      <color rgb="FF000000"/>
      <name val="Corbe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/>
      </patternFill>
    </fill>
    <fill>
      <patternFill patternType="lightUp">
        <fgColor theme="0" tint="-0.34998626667073579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rgb="FFFFFFCC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7E7E5"/>
        <bgColor indexed="64"/>
      </patternFill>
    </fill>
  </fills>
  <borders count="2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 tint="-0.24994659260841701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 style="thin">
        <color theme="4" tint="-0.24994659260841701"/>
      </top>
      <bottom style="double">
        <color theme="4" tint="-0.24994659260841701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0" tint="-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0" tint="-0.34998626667073579"/>
      </right>
      <top style="thin">
        <color theme="1" tint="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34998626667073579"/>
      </top>
      <bottom style="thin">
        <color theme="0" tint="-0.34998626667073579"/>
      </bottom>
      <diagonal/>
    </border>
    <border>
      <left style="thin">
        <color theme="1" tint="0.34998626667073579"/>
      </left>
      <right style="thin">
        <color theme="0" tint="-0.34998626667073579"/>
      </right>
      <top style="thin">
        <color theme="0" tint="-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</borders>
  <cellStyleXfs count="19">
    <xf numFmtId="0" fontId="0" fillId="0" borderId="0"/>
    <xf numFmtId="0" fontId="5" fillId="5" borderId="1">
      <alignment horizontal="center" vertical="center"/>
    </xf>
    <xf numFmtId="0" fontId="5" fillId="4" borderId="1">
      <alignment horizontal="center" vertical="center"/>
      <protection locked="0"/>
    </xf>
    <xf numFmtId="0" fontId="6" fillId="2" borderId="2" applyBorder="0">
      <alignment horizontal="center" vertical="center"/>
    </xf>
    <xf numFmtId="0" fontId="8" fillId="3" borderId="1">
      <alignment vertical="center"/>
    </xf>
    <xf numFmtId="168" fontId="7" fillId="0" borderId="1">
      <alignment horizontal="left" vertical="center" wrapText="1"/>
      <protection locked="0"/>
    </xf>
    <xf numFmtId="0" fontId="7" fillId="0" borderId="1">
      <alignment horizontal="left" vertical="center" wrapText="1"/>
      <protection locked="0"/>
    </xf>
    <xf numFmtId="169" fontId="7" fillId="0" borderId="1">
      <alignment horizontal="left" vertical="center" wrapText="1"/>
      <protection locked="0"/>
    </xf>
    <xf numFmtId="1" fontId="6" fillId="2" borderId="1">
      <alignment horizontal="center" vertical="center"/>
    </xf>
    <xf numFmtId="167" fontId="5" fillId="0" borderId="0" applyFill="0" applyBorder="0" applyAlignment="0" applyProtection="0"/>
    <xf numFmtId="165" fontId="5" fillId="0" borderId="0" applyFill="0" applyBorder="0" applyAlignment="0" applyProtection="0"/>
    <xf numFmtId="166" fontId="5" fillId="0" borderId="0" applyFill="0" applyBorder="0" applyAlignment="0" applyProtection="0"/>
    <xf numFmtId="164" fontId="5" fillId="0" borderId="0" applyFill="0" applyBorder="0" applyAlignment="0" applyProtection="0"/>
    <xf numFmtId="9" fontId="5" fillId="0" borderId="0" applyFill="0" applyBorder="0" applyAlignment="0" applyProtection="0"/>
    <xf numFmtId="0" fontId="2" fillId="0" borderId="4" applyNumberFormat="0" applyFill="0" applyAlignment="0" applyProtection="0"/>
    <xf numFmtId="0" fontId="3" fillId="0" borderId="5" applyNumberFormat="0" applyFill="0" applyAlignment="0" applyProtection="0"/>
    <xf numFmtId="0" fontId="5" fillId="9" borderId="3" applyNumberFormat="0" applyAlignment="0" applyProtection="0"/>
    <xf numFmtId="0" fontId="9" fillId="0" borderId="0" applyNumberFormat="0" applyFill="0" applyBorder="0" applyAlignment="0" applyProtection="0"/>
    <xf numFmtId="0" fontId="4" fillId="0" borderId="6" applyNumberFormat="0" applyFill="0" applyAlignment="0" applyProtection="0"/>
  </cellStyleXfs>
  <cellXfs count="46">
    <xf numFmtId="0" fontId="0" fillId="0" borderId="0" xfId="0"/>
    <xf numFmtId="0" fontId="0" fillId="0" borderId="0" xfId="0" applyFont="1" applyFill="1" applyBorder="1" applyProtection="1"/>
    <xf numFmtId="0" fontId="0" fillId="0" borderId="0" xfId="0" applyFont="1"/>
    <xf numFmtId="2" fontId="0" fillId="0" borderId="0" xfId="0" applyNumberFormat="1"/>
    <xf numFmtId="0" fontId="11" fillId="0" borderId="0" xfId="0" applyFont="1"/>
    <xf numFmtId="0" fontId="11" fillId="0" borderId="0" xfId="0" applyFont="1" applyAlignment="1">
      <alignment horizontal="center"/>
    </xf>
    <xf numFmtId="0" fontId="13" fillId="0" borderId="0" xfId="0" applyFont="1"/>
    <xf numFmtId="14" fontId="13" fillId="0" borderId="0" xfId="0" applyNumberFormat="1" applyFont="1"/>
    <xf numFmtId="0" fontId="15" fillId="0" borderId="16" xfId="0" applyFont="1" applyFill="1" applyBorder="1" applyAlignment="1" applyProtection="1"/>
    <xf numFmtId="0" fontId="17" fillId="7" borderId="15" xfId="0" applyFont="1" applyFill="1" applyBorder="1" applyAlignment="1" applyProtection="1">
      <alignment horizontal="center" vertical="center"/>
    </xf>
    <xf numFmtId="0" fontId="17" fillId="7" borderId="7" xfId="0" applyFont="1" applyFill="1" applyBorder="1" applyAlignment="1" applyProtection="1">
      <alignment horizontal="center" vertical="center"/>
    </xf>
    <xf numFmtId="0" fontId="17" fillId="11" borderId="24" xfId="0" quotePrefix="1" applyFont="1" applyFill="1" applyBorder="1" applyAlignment="1" applyProtection="1">
      <alignment horizontal="center" vertical="center"/>
    </xf>
    <xf numFmtId="0" fontId="12" fillId="10" borderId="19" xfId="0" applyFont="1" applyFill="1" applyBorder="1" applyAlignment="1">
      <alignment horizontal="center" vertical="center"/>
    </xf>
    <xf numFmtId="0" fontId="13" fillId="0" borderId="0" xfId="0" applyFont="1" applyBorder="1"/>
    <xf numFmtId="0" fontId="14" fillId="12" borderId="0" xfId="0" applyFont="1" applyFill="1" applyAlignment="1">
      <alignment horizontal="center"/>
    </xf>
    <xf numFmtId="1" fontId="16" fillId="6" borderId="7" xfId="8" applyFont="1" applyFill="1" applyBorder="1">
      <alignment horizontal="center" vertical="center"/>
    </xf>
    <xf numFmtId="1" fontId="16" fillId="6" borderId="15" xfId="8" applyFont="1" applyFill="1" applyBorder="1">
      <alignment horizontal="center" vertical="center"/>
    </xf>
    <xf numFmtId="0" fontId="16" fillId="7" borderId="7" xfId="4" applyFont="1" applyFill="1" applyBorder="1">
      <alignment vertical="center"/>
    </xf>
    <xf numFmtId="0" fontId="11" fillId="0" borderId="7" xfId="6" applyFont="1" applyBorder="1">
      <alignment horizontal="left" vertical="center" wrapText="1"/>
      <protection locked="0"/>
    </xf>
    <xf numFmtId="168" fontId="11" fillId="0" borderId="7" xfId="5" applyFont="1" applyBorder="1">
      <alignment horizontal="left" vertical="center" wrapText="1"/>
      <protection locked="0"/>
    </xf>
    <xf numFmtId="0" fontId="17" fillId="8" borderId="15" xfId="0" applyFont="1" applyFill="1" applyBorder="1" applyAlignment="1" applyProtection="1">
      <alignment horizontal="center" vertical="center"/>
    </xf>
    <xf numFmtId="0" fontId="17" fillId="8" borderId="7" xfId="0" applyFont="1" applyFill="1" applyBorder="1" applyAlignment="1" applyProtection="1">
      <alignment horizontal="center" vertical="center"/>
    </xf>
    <xf numFmtId="0" fontId="16" fillId="7" borderId="23" xfId="4" applyFont="1" applyFill="1" applyBorder="1">
      <alignment vertical="center"/>
    </xf>
    <xf numFmtId="0" fontId="17" fillId="7" borderId="11" xfId="0" applyFont="1" applyFill="1" applyBorder="1" applyAlignment="1" applyProtection="1">
      <alignment horizontal="center" vertical="center"/>
    </xf>
    <xf numFmtId="0" fontId="17" fillId="7" borderId="12" xfId="0" applyFont="1" applyFill="1" applyBorder="1" applyAlignment="1" applyProtection="1">
      <alignment horizontal="center" vertical="center"/>
    </xf>
    <xf numFmtId="0" fontId="17" fillId="7" borderId="13" xfId="0" applyFont="1" applyFill="1" applyBorder="1" applyAlignment="1" applyProtection="1">
      <alignment horizontal="center" vertical="center"/>
    </xf>
    <xf numFmtId="0" fontId="17" fillId="7" borderId="14" xfId="0" applyFont="1" applyFill="1" applyBorder="1" applyAlignment="1" applyProtection="1">
      <alignment horizontal="center" vertical="center"/>
    </xf>
    <xf numFmtId="0" fontId="16" fillId="6" borderId="7" xfId="3" applyFont="1" applyFill="1" applyBorder="1">
      <alignment horizontal="center" vertical="center"/>
    </xf>
    <xf numFmtId="0" fontId="16" fillId="6" borderId="17" xfId="3" applyFont="1" applyFill="1" applyBorder="1">
      <alignment horizontal="center" vertical="center"/>
    </xf>
    <xf numFmtId="0" fontId="16" fillId="7" borderId="8" xfId="4" applyFont="1" applyFill="1" applyBorder="1">
      <alignment vertical="center"/>
    </xf>
    <xf numFmtId="0" fontId="16" fillId="7" borderId="9" xfId="4" applyFont="1" applyFill="1" applyBorder="1">
      <alignment vertical="center"/>
    </xf>
    <xf numFmtId="0" fontId="16" fillId="7" borderId="10" xfId="4" applyFont="1" applyFill="1" applyBorder="1">
      <alignment vertical="center"/>
    </xf>
    <xf numFmtId="0" fontId="11" fillId="0" borderId="8" xfId="6" applyFont="1" applyBorder="1">
      <alignment horizontal="left" vertical="center" wrapText="1"/>
      <protection locked="0"/>
    </xf>
    <xf numFmtId="0" fontId="11" fillId="0" borderId="9" xfId="6" applyFont="1" applyBorder="1">
      <alignment horizontal="left" vertical="center" wrapText="1"/>
      <protection locked="0"/>
    </xf>
    <xf numFmtId="0" fontId="11" fillId="0" borderId="10" xfId="6" applyFont="1" applyBorder="1">
      <alignment horizontal="left" vertical="center" wrapText="1"/>
      <protection locked="0"/>
    </xf>
    <xf numFmtId="0" fontId="10" fillId="13" borderId="16" xfId="0" applyFont="1" applyFill="1" applyBorder="1" applyAlignment="1" applyProtection="1">
      <alignment horizontal="center" vertical="center"/>
    </xf>
    <xf numFmtId="0" fontId="16" fillId="7" borderId="20" xfId="4" applyFont="1" applyFill="1" applyBorder="1" applyAlignment="1">
      <alignment horizontal="left" vertical="center"/>
    </xf>
    <xf numFmtId="0" fontId="16" fillId="7" borderId="21" xfId="4" applyFont="1" applyFill="1" applyBorder="1" applyAlignment="1">
      <alignment horizontal="left" vertical="center"/>
    </xf>
    <xf numFmtId="0" fontId="16" fillId="7" borderId="22" xfId="4" applyFont="1" applyFill="1" applyBorder="1" applyAlignment="1">
      <alignment horizontal="left" vertical="center"/>
    </xf>
    <xf numFmtId="0" fontId="11" fillId="0" borderId="19" xfId="6" applyFont="1" applyBorder="1" applyAlignment="1">
      <alignment horizontal="left" vertical="center" wrapText="1"/>
      <protection locked="0"/>
    </xf>
    <xf numFmtId="169" fontId="11" fillId="0" borderId="7" xfId="7" applyFont="1" applyBorder="1">
      <alignment horizontal="left" vertical="center" wrapText="1"/>
      <protection locked="0"/>
    </xf>
    <xf numFmtId="0" fontId="16" fillId="7" borderId="17" xfId="4" applyFont="1" applyFill="1" applyBorder="1" applyAlignment="1">
      <alignment horizontal="left" vertical="center"/>
    </xf>
    <xf numFmtId="0" fontId="16" fillId="7" borderId="18" xfId="4" applyFont="1" applyFill="1" applyBorder="1" applyAlignment="1">
      <alignment horizontal="left" vertical="center"/>
    </xf>
    <xf numFmtId="0" fontId="16" fillId="7" borderId="15" xfId="4" applyFont="1" applyFill="1" applyBorder="1" applyAlignment="1">
      <alignment horizontal="left" vertical="center"/>
    </xf>
    <xf numFmtId="0" fontId="11" fillId="0" borderId="17" xfId="6" applyFont="1" applyBorder="1" applyAlignment="1">
      <alignment horizontal="left" vertical="center" wrapText="1"/>
      <protection locked="0"/>
    </xf>
    <xf numFmtId="0" fontId="11" fillId="0" borderId="18" xfId="6" applyFont="1" applyBorder="1" applyAlignment="1">
      <alignment horizontal="left" vertical="center" wrapText="1"/>
      <protection locked="0"/>
    </xf>
  </cellXfs>
  <cellStyles count="19">
    <cellStyle name="Attendance Totals" xfId="8" xr:uid="{00000000-0005-0000-0000-000000000000}"/>
    <cellStyle name="Birthdate" xfId="7" xr:uid="{00000000-0005-0000-0000-000001000000}"/>
    <cellStyle name="Comma" xfId="9" builtinId="3" customBuiltin="1"/>
    <cellStyle name="Comma [0]" xfId="10" builtinId="6" customBuiltin="1"/>
    <cellStyle name="Currency" xfId="11" builtinId="4" customBuiltin="1"/>
    <cellStyle name="Currency [0]" xfId="12" builtinId="7" customBuiltin="1"/>
    <cellStyle name="Explanatory Text" xfId="17" builtinId="53" customBuiltin="1"/>
    <cellStyle name="Heading 2" xfId="14" builtinId="17" customBuiltin="1"/>
    <cellStyle name="Heading 3" xfId="15" builtinId="18" customBuiltin="1"/>
    <cellStyle name="Month" xfId="3" xr:uid="{00000000-0005-0000-0000-000009000000}"/>
    <cellStyle name="Normal" xfId="0" builtinId="0" customBuiltin="1"/>
    <cellStyle name="Note" xfId="16" builtinId="10" customBuiltin="1"/>
    <cellStyle name="Percent" xfId="13" builtinId="5" customBuiltin="1"/>
    <cellStyle name="Phone Number" xfId="5" xr:uid="{00000000-0005-0000-0000-00000D000000}"/>
    <cellStyle name="Student Information" xfId="4" xr:uid="{00000000-0005-0000-0000-00000E000000}"/>
    <cellStyle name="Student Information - user entered" xfId="6" xr:uid="{00000000-0005-0000-0000-00000F000000}"/>
    <cellStyle name="Total" xfId="18" builtinId="25" customBuiltin="1"/>
    <cellStyle name="Weekday" xfId="2" xr:uid="{00000000-0005-0000-0000-000011000000}"/>
    <cellStyle name="Weekend" xfId="1" xr:uid="{00000000-0005-0000-0000-000012000000}"/>
  </cellStyles>
  <dxfs count="128"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auto="1"/>
        <name val="Corbel"/>
        <family val="2"/>
        <scheme val="minor"/>
      </font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b/>
        <strike val="0"/>
        <outline val="0"/>
        <shadow val="0"/>
        <u val="none"/>
        <vertAlign val="baseline"/>
        <sz val="14"/>
        <color auto="1"/>
        <name val="Corbel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4"/>
        <color auto="1"/>
        <name val="Corbel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4"/>
        <color auto="1"/>
        <name val="Corbel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auto="1"/>
        <name val="Corbel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auto="1"/>
        <name val="Corbel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4"/>
        <color auto="1"/>
        <name val="Corbel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auto="1"/>
        <name val="Corbel"/>
        <family val="2"/>
        <scheme val="minor"/>
      </font>
      <numFmt numFmtId="170" formatCode="dd/mm/yyyy"/>
    </dxf>
    <dxf>
      <font>
        <b/>
        <strike val="0"/>
        <outline val="0"/>
        <shadow val="0"/>
        <u val="none"/>
        <vertAlign val="baseline"/>
        <sz val="14"/>
        <color auto="1"/>
        <name val="Corbel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auto="1"/>
        <name val="Corbel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4"/>
        <color auto="1"/>
        <name val="Corbel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auto="1"/>
        <name val="Corbel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auto="1"/>
        <name val="Corbel"/>
        <family val="2"/>
        <scheme val="minor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5F5F5F"/>
      <rgbColor rgb="00FFFFFF"/>
      <rgbColor rgb="005B7557"/>
      <rgbColor rgb="00C0D6D5"/>
      <rgbColor rgb="00F4EBC8"/>
      <rgbColor rgb="00535C9B"/>
      <rgbColor rgb="00F5D28B"/>
      <rgbColor rgb="00D6864A"/>
      <rgbColor rgb="00CCCCFF"/>
      <rgbColor rgb="00000080"/>
      <rgbColor rgb="00D0E6E3"/>
      <rgbColor rgb="00FFFF00"/>
      <rgbColor rgb="0000FFFF"/>
      <rgbColor rgb="00800080"/>
      <rgbColor rgb="00800000"/>
      <rgbColor rgb="00008080"/>
      <rgbColor rgb="000000FF"/>
      <rgbColor rgb="0000CCFF"/>
      <rgbColor rgb="00F5D28B"/>
      <rgbColor rgb="00E0EBC8"/>
      <rgbColor rgb="00D0E6E3"/>
      <rgbColor rgb="00F4EBC8"/>
      <rgbColor rgb="00EAEAEA"/>
      <rgbColor rgb="00FEF9F0"/>
      <rgbColor rgb="00A7C5C4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7E7E5"/>
      <color rgb="FF33CCCC"/>
      <color rgb="FF99FFCC"/>
      <color rgb="FFFF9999"/>
      <color rgb="FFFFFFCC"/>
      <color rgb="FF0099CC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1</xdr:row>
          <xdr:rowOff>85725</xdr:rowOff>
        </xdr:from>
        <xdr:to>
          <xdr:col>14</xdr:col>
          <xdr:colOff>476250</xdr:colOff>
          <xdr:row>3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orbel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352425</xdr:colOff>
          <xdr:row>5</xdr:row>
          <xdr:rowOff>19050</xdr:rowOff>
        </xdr:from>
        <xdr:to>
          <xdr:col>14</xdr:col>
          <xdr:colOff>504825</xdr:colOff>
          <xdr:row>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orbel"/>
                </a:rPr>
                <a:t>EXPORT PDF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D1A5E9-4FE0-4364-A4E3-0ABAB43A45C0}" name="Students" displayName="Students" ref="B4:K22" totalsRowShown="0" headerRowDxfId="127" dataDxfId="126">
  <sortState xmlns:xlrd2="http://schemas.microsoft.com/office/spreadsheetml/2017/richdata2" ref="B5:B22">
    <sortCondition ref="B5"/>
  </sortState>
  <tableColumns count="10">
    <tableColumn id="1" xr3:uid="{3FB73D2E-0024-43CF-BFBB-E89B6F7F7640}" name="Student Name" dataDxfId="125"/>
    <tableColumn id="2" xr3:uid="{0C372FFF-1FA0-4C52-8347-F9AA8DC372D0}" name="Gender" dataDxfId="124"/>
    <tableColumn id="3" xr3:uid="{62CCEA92-913C-4C48-98FD-1767A14D0229}" name="ID" dataDxfId="123"/>
    <tableColumn id="4" xr3:uid="{57C22FAE-6DC8-44F6-8B11-8A9FBD672EAB}" name="Birth Date" dataDxfId="122"/>
    <tableColumn id="5" xr3:uid="{3CF35C0F-5647-4B6E-89B7-75F5C4961007}" name="Grade" dataDxfId="121"/>
    <tableColumn id="6" xr3:uid="{DFEC004B-C6A4-467F-9E8F-3ECD92B0584D}" name="Room" dataDxfId="120"/>
    <tableColumn id="7" xr3:uid="{A4A534D9-BBA0-46D9-8DBB-53280DB156C2}" name="Father Name" dataDxfId="119"/>
    <tableColumn id="16" xr3:uid="{6D15AF4E-37D3-4580-A4EF-2F0E2E73394C}" name="Mother Name" dataDxfId="118"/>
    <tableColumn id="28" xr3:uid="{DB36E25F-7C0E-4EB9-AEAE-E59AF5F0E81D}" name="Phone Number" dataDxfId="117"/>
    <tableColumn id="36" xr3:uid="{AB9D2FFB-2E1B-4955-BA5D-A28FC08B51A3}" name="Adress" dataDxfId="116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7BB64E6-6145-426E-98A9-FE2240A9F52D}" name="Table2" displayName="Table2" ref="B4:AF22" totalsRowShown="0" dataDxfId="111">
  <autoFilter ref="B4:AF22" xr:uid="{BE96C0A3-D5EB-4C23-8D56-E5B557E8564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sortState xmlns:xlrd2="http://schemas.microsoft.com/office/spreadsheetml/2017/richdata2" ref="B5:AF22">
    <sortCondition ref="B5"/>
  </sortState>
  <tableColumns count="31">
    <tableColumn id="1" xr3:uid="{1865628B-A0D6-4AE9-AC38-5A6A294297B2}" name="Student Name" dataDxfId="110"/>
    <tableColumn id="2" xr3:uid="{A1380912-109D-459A-B675-7C9DFE61A32A}" name="1" dataDxfId="109"/>
    <tableColumn id="3" xr3:uid="{B754F650-C478-4BCC-BA1E-4CCEA5F6F759}" name="2" dataDxfId="108"/>
    <tableColumn id="4" xr3:uid="{5A7E1F45-81D4-467D-8F85-B291F344DC14}" name="3" dataDxfId="107"/>
    <tableColumn id="5" xr3:uid="{1E0ED7B6-2594-4506-84AF-24C5580ADA5F}" name="4" dataDxfId="106"/>
    <tableColumn id="6" xr3:uid="{B323FCF7-AD34-49D3-8662-70F7B4A30A48}" name="5" dataDxfId="105"/>
    <tableColumn id="7" xr3:uid="{219EE554-C8E3-4157-9F58-473D314E7D7B}" name="6" dataDxfId="104"/>
    <tableColumn id="8" xr3:uid="{1141319A-3422-45BB-8994-CD0AA29561CB}" name="7" dataDxfId="103"/>
    <tableColumn id="9" xr3:uid="{903DB44A-0979-42E1-8B39-565A7D83DD03}" name="8" dataDxfId="102"/>
    <tableColumn id="10" xr3:uid="{1B833840-19EE-407D-93C1-ADA90AD71DFF}" name="9" dataDxfId="101"/>
    <tableColumn id="11" xr3:uid="{6D4E6C6F-CB30-4739-BBAB-B1D31A81F0E6}" name="10" dataDxfId="100"/>
    <tableColumn id="12" xr3:uid="{7DBE5758-FF5A-47E1-9368-802DA8ABCF42}" name="11" dataDxfId="99"/>
    <tableColumn id="13" xr3:uid="{44D2DA6D-C629-42B5-A4F2-A3F10F641393}" name="12" dataDxfId="98"/>
    <tableColumn id="14" xr3:uid="{CAE9911B-39DF-49D0-A57E-C3B15BC795C8}" name="13" dataDxfId="97"/>
    <tableColumn id="15" xr3:uid="{119A31C3-8392-4A62-8592-8E847ECC2AF9}" name="14" dataDxfId="96"/>
    <tableColumn id="16" xr3:uid="{443480B7-5402-47BF-A5C7-42122E7BB219}" name="15" dataDxfId="95"/>
    <tableColumn id="17" xr3:uid="{26256AFF-F41F-4E02-B859-808D6C0D464F}" name="16" dataDxfId="94"/>
    <tableColumn id="18" xr3:uid="{BE20E069-12F2-43C6-BB5F-2804396A2F9E}" name="17" dataDxfId="93"/>
    <tableColumn id="19" xr3:uid="{3611A76E-8273-4F0A-AF64-206B89818F78}" name="18" dataDxfId="92"/>
    <tableColumn id="20" xr3:uid="{568C3216-E458-47AE-AE78-1EDD1175FD9B}" name="19" dataDxfId="91"/>
    <tableColumn id="21" xr3:uid="{362347A5-D7BB-4B35-9C0E-37D65B419312}" name="20" dataDxfId="90"/>
    <tableColumn id="22" xr3:uid="{8F3037B1-38CC-4528-8E3A-AAFD0E05FAA5}" name="21" dataDxfId="89"/>
    <tableColumn id="23" xr3:uid="{5BAD464A-B20F-4645-8071-33A02191D374}" name="22" dataDxfId="88"/>
    <tableColumn id="24" xr3:uid="{93B5CDF3-8BAD-4AF9-AF53-6AF8A3890BB0}" name="23" dataDxfId="87"/>
    <tableColumn id="25" xr3:uid="{324630BE-6989-41C9-A25C-90FDA665AF31}" name="24" dataDxfId="86"/>
    <tableColumn id="26" xr3:uid="{7D87DEEA-3B01-4194-B8BD-1509178DBA04}" name="25" dataDxfId="85"/>
    <tableColumn id="27" xr3:uid="{46549406-0327-4237-99EF-F5C1244664D7}" name="26" dataDxfId="84"/>
    <tableColumn id="28" xr3:uid="{957D22ED-4915-4D14-B60A-20C5CBAE1756}" name="27" dataDxfId="83"/>
    <tableColumn id="29" xr3:uid="{2CB8E496-3095-484B-999E-6A8164677FDD}" name="28" dataDxfId="82"/>
    <tableColumn id="30" xr3:uid="{084E84AF-69A4-42D3-A999-97F242FFA227}" name="29" dataDxfId="81"/>
    <tableColumn id="31" xr3:uid="{F901B6DF-5464-423E-9A5C-640CA65CE197}" name="30" dataDxfId="80"/>
  </tableColumns>
  <tableStyleInfo name="TableStyleMedium14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theme/theme1.xml><?xml version="1.0" encoding="utf-8"?>
<a:theme xmlns:a="http://schemas.openxmlformats.org/drawingml/2006/main" name="Currency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21873A"/>
      </a:hlink>
      <a:folHlink>
        <a:srgbClr val="717E00"/>
      </a:folHlink>
    </a:clrScheme>
    <a:fontScheme name="Deluxe">
      <a:majorFont>
        <a:latin typeface="Corbel"/>
        <a:ea typeface=""/>
        <a:cs typeface=""/>
        <a:font script="Jpan" typeface="HGｺﾞｼｯｸM"/>
        <a:font script="Hang" typeface="HY엽서L"/>
        <a:font script="Hans" typeface="楷体_GB2312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Corbel"/>
        <a:ea typeface=""/>
        <a:cs typeface=""/>
        <a:font script="Jpan" typeface="HGｺﾞｼｯｸM"/>
        <a:font script="Hang" typeface="HY엽서L"/>
        <a:font script="Hans" typeface="楷体_GB2312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Currency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110000"/>
              </a:schemeClr>
            </a:gs>
            <a:gs pos="47500">
              <a:schemeClr val="phClr">
                <a:tint val="35000"/>
                <a:satMod val="110000"/>
              </a:schemeClr>
            </a:gs>
            <a:gs pos="58500">
              <a:schemeClr val="phClr">
                <a:tint val="35000"/>
                <a:satMod val="110000"/>
              </a:schemeClr>
            </a:gs>
            <a:gs pos="100000">
              <a:schemeClr val="phClr">
                <a:tint val="80000"/>
                <a:satMod val="110000"/>
              </a:schemeClr>
            </a:gs>
          </a:gsLst>
          <a:lin ang="3600000" scaled="1"/>
        </a:gradFill>
        <a:gradFill rotWithShape="1">
          <a:gsLst>
            <a:gs pos="0">
              <a:schemeClr val="phClr">
                <a:shade val="52000"/>
                <a:satMod val="105000"/>
              </a:schemeClr>
            </a:gs>
            <a:gs pos="47500">
              <a:schemeClr val="phClr">
                <a:shade val="89000"/>
                <a:satMod val="105000"/>
              </a:schemeClr>
            </a:gs>
            <a:gs pos="58500">
              <a:schemeClr val="phClr">
                <a:shade val="89000"/>
                <a:satMod val="105000"/>
              </a:schemeClr>
            </a:gs>
            <a:gs pos="100000">
              <a:schemeClr val="phClr">
                <a:shade val="52000"/>
                <a:satMod val="105000"/>
              </a:schemeClr>
            </a:gs>
          </a:gsLst>
          <a:lin ang="3600000" scaled="1"/>
        </a:gradFill>
      </a:fillStyleLst>
      <a:lnStyleLst>
        <a:ln w="10000" cap="flat" cmpd="sng" algn="ctr">
          <a:solidFill>
            <a:schemeClr val="phClr"/>
          </a:solidFill>
          <a:prstDash val="solid"/>
        </a:ln>
        <a:ln w="60000" cap="flat" cmpd="thickThin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38100" dir="5400000" algn="r" rotWithShape="0">
              <a:srgbClr val="000000">
                <a:alpha val="60000"/>
              </a:srgbClr>
            </a:outerShdw>
          </a:effectLst>
          <a:scene3d>
            <a:camera prst="isometricLeftDown" fov="0">
              <a:rot lat="0" lon="0" rev="0"/>
            </a:camera>
            <a:lightRig rig="harsh" dir="tl">
              <a:rot lat="0" lon="0" rev="8400000"/>
            </a:lightRig>
          </a:scene3d>
          <a:sp3d prstMaterial="flat">
            <a:bevelT w="38100" h="50800" prst="softRound"/>
          </a:sp3d>
        </a:effectStyle>
        <a:effectStyle>
          <a:effectLst>
            <a:outerShdw blurRad="38100" dist="38100" dir="5400000" algn="r" rotWithShape="0">
              <a:srgbClr val="000000">
                <a:alpha val="60000"/>
              </a:srgbClr>
            </a:outerShdw>
          </a:effectLst>
          <a:scene3d>
            <a:camera prst="isometricLeftDown" fov="0">
              <a:rot lat="0" lon="0" rev="0"/>
            </a:camera>
            <a:lightRig rig="harsh" dir="tl">
              <a:rot lat="0" lon="0" rev="8400000"/>
            </a:lightRig>
          </a:scene3d>
          <a:sp3d prstMaterial="flat">
            <a:bevelT w="38100" h="50800" prst="softRound"/>
          </a:sp3d>
        </a:effectStyle>
        <a:effectStyle>
          <a:effectLst>
            <a:outerShdw blurRad="50800" dist="63500" dir="5400000" algn="r" rotWithShape="0">
              <a:srgbClr val="000000">
                <a:alpha val="65000"/>
              </a:srgbClr>
            </a:outerShdw>
          </a:effectLst>
          <a:scene3d>
            <a:camera prst="isometricLeftDown" fov="0">
              <a:rot lat="0" lon="0" rev="0"/>
            </a:camera>
            <a:lightRig rig="harsh" dir="tl">
              <a:rot lat="0" lon="0" rev="8400000"/>
            </a:lightRig>
          </a:scene3d>
          <a:sp3d extrusionH="63500" contourW="38100" prstMaterial="flat">
            <a:bevelT w="50800" h="63500" prst="softRound"/>
            <a:contourClr>
              <a:schemeClr val="phClr">
                <a:tint val="5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20000"/>
                <a:satMod val="350000"/>
              </a:schemeClr>
            </a:gs>
          </a:gsLst>
          <a:path path="circle">
            <a:fillToRect l="100000" t="100000" r="100000" b="100000"/>
          </a:path>
        </a:gradFill>
        <a:blipFill>
          <a:blip xmlns:r="http://schemas.openxmlformats.org/officeDocument/2006/relationships" r:embed="rId1">
            <a:duotone>
              <a:schemeClr val="phClr">
                <a:tint val="90000"/>
                <a:satMod val="120000"/>
              </a:schemeClr>
              <a:schemeClr val="phClr">
                <a:tint val="84000"/>
                <a:shade val="97000"/>
                <a:satMod val="130000"/>
              </a:schemeClr>
            </a:duotone>
          </a:blip>
          <a:tile tx="0" ty="0" sx="60000" sy="60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99325-0F91-49ED-8C64-7140E9B8ED59}">
  <sheetPr codeName="Sheet1">
    <tabColor theme="8" tint="0.79998168889431442"/>
  </sheetPr>
  <dimension ref="B4:L22"/>
  <sheetViews>
    <sheetView tabSelected="1" zoomScale="70" zoomScaleNormal="70" workbookViewId="0">
      <selection activeCell="O11" sqref="O11"/>
    </sheetView>
  </sheetViews>
  <sheetFormatPr defaultRowHeight="18.75" x14ac:dyDescent="0.3"/>
  <cols>
    <col min="1" max="1" width="9" style="6"/>
    <col min="2" max="2" width="19.25" style="6" customWidth="1"/>
    <col min="3" max="3" width="13.75" style="6" customWidth="1"/>
    <col min="4" max="4" width="10.125" style="6" customWidth="1"/>
    <col min="5" max="5" width="15.625" style="6" customWidth="1"/>
    <col min="6" max="6" width="8.75" style="6" customWidth="1"/>
    <col min="7" max="7" width="10.625" style="6" customWidth="1"/>
    <col min="8" max="8" width="16.375" style="6" customWidth="1"/>
    <col min="9" max="9" width="14.375" style="6" customWidth="1"/>
    <col min="10" max="10" width="16.75" style="6" customWidth="1"/>
    <col min="11" max="11" width="21.125" style="6" customWidth="1"/>
    <col min="12" max="16384" width="9" style="6"/>
  </cols>
  <sheetData>
    <row r="4" spans="2:12" x14ac:dyDescent="0.3">
      <c r="B4" s="6" t="s">
        <v>15</v>
      </c>
      <c r="C4" s="6" t="s">
        <v>12</v>
      </c>
      <c r="D4" s="6" t="s">
        <v>69</v>
      </c>
      <c r="E4" s="6" t="s">
        <v>9</v>
      </c>
      <c r="F4" s="6" t="s">
        <v>0</v>
      </c>
      <c r="G4" s="6" t="s">
        <v>2</v>
      </c>
      <c r="H4" s="6" t="s">
        <v>70</v>
      </c>
      <c r="I4" s="6" t="s">
        <v>71</v>
      </c>
      <c r="J4" s="6" t="s">
        <v>72</v>
      </c>
      <c r="K4" s="6" t="s">
        <v>73</v>
      </c>
      <c r="L4" s="13"/>
    </row>
    <row r="5" spans="2:12" x14ac:dyDescent="0.3">
      <c r="B5" s="6" t="s">
        <v>16</v>
      </c>
      <c r="C5" s="6" t="s">
        <v>92</v>
      </c>
      <c r="D5" s="6" t="s">
        <v>74</v>
      </c>
      <c r="E5" s="7">
        <v>38275</v>
      </c>
      <c r="F5" s="6">
        <v>9</v>
      </c>
      <c r="G5" s="6">
        <v>4</v>
      </c>
      <c r="H5" s="6" t="s">
        <v>94</v>
      </c>
      <c r="I5" s="6" t="s">
        <v>112</v>
      </c>
      <c r="J5" s="6">
        <v>5586944362</v>
      </c>
      <c r="K5" s="6" t="s">
        <v>130</v>
      </c>
    </row>
    <row r="6" spans="2:12" x14ac:dyDescent="0.3">
      <c r="B6" s="6" t="s">
        <v>19</v>
      </c>
      <c r="C6" s="6" t="s">
        <v>92</v>
      </c>
      <c r="D6" s="6" t="s">
        <v>75</v>
      </c>
      <c r="E6" s="7">
        <v>38038</v>
      </c>
      <c r="F6" s="6">
        <v>9</v>
      </c>
      <c r="G6" s="6">
        <v>1</v>
      </c>
      <c r="H6" s="6" t="s">
        <v>95</v>
      </c>
      <c r="I6" s="6" t="s">
        <v>113</v>
      </c>
      <c r="J6" s="6">
        <v>5578067678</v>
      </c>
      <c r="K6" s="6" t="s">
        <v>131</v>
      </c>
    </row>
    <row r="7" spans="2:12" x14ac:dyDescent="0.3">
      <c r="B7" s="6" t="s">
        <v>27</v>
      </c>
      <c r="C7" s="6" t="s">
        <v>92</v>
      </c>
      <c r="D7" s="6" t="s">
        <v>76</v>
      </c>
      <c r="E7" s="7">
        <v>38075</v>
      </c>
      <c r="F7" s="6">
        <v>9</v>
      </c>
      <c r="G7" s="6">
        <v>1</v>
      </c>
      <c r="H7" s="6" t="s">
        <v>96</v>
      </c>
      <c r="I7" s="6" t="s">
        <v>114</v>
      </c>
      <c r="J7" s="6">
        <v>5318782056</v>
      </c>
      <c r="K7" s="6" t="s">
        <v>132</v>
      </c>
    </row>
    <row r="8" spans="2:12" x14ac:dyDescent="0.3">
      <c r="B8" s="6" t="s">
        <v>26</v>
      </c>
      <c r="C8" s="6" t="s">
        <v>92</v>
      </c>
      <c r="D8" s="6" t="s">
        <v>77</v>
      </c>
      <c r="E8" s="7">
        <v>37878</v>
      </c>
      <c r="F8" s="6">
        <v>10</v>
      </c>
      <c r="G8" s="6">
        <v>1</v>
      </c>
      <c r="H8" s="6" t="s">
        <v>97</v>
      </c>
      <c r="I8" s="6" t="s">
        <v>115</v>
      </c>
      <c r="J8" s="6">
        <v>5928091361</v>
      </c>
      <c r="K8" s="6" t="s">
        <v>133</v>
      </c>
    </row>
    <row r="9" spans="2:12" x14ac:dyDescent="0.3">
      <c r="B9" s="6" t="s">
        <v>29</v>
      </c>
      <c r="C9" s="6" t="s">
        <v>93</v>
      </c>
      <c r="D9" s="6" t="s">
        <v>78</v>
      </c>
      <c r="E9" s="7">
        <v>37967</v>
      </c>
      <c r="F9" s="6">
        <v>10</v>
      </c>
      <c r="G9" s="6">
        <v>2</v>
      </c>
      <c r="H9" s="6" t="s">
        <v>98</v>
      </c>
      <c r="I9" s="6" t="s">
        <v>116</v>
      </c>
      <c r="J9" s="6">
        <v>5969303309</v>
      </c>
      <c r="K9" s="6" t="s">
        <v>134</v>
      </c>
    </row>
    <row r="10" spans="2:12" x14ac:dyDescent="0.3">
      <c r="B10" s="6" t="s">
        <v>22</v>
      </c>
      <c r="C10" s="6" t="s">
        <v>92</v>
      </c>
      <c r="D10" s="6" t="s">
        <v>79</v>
      </c>
      <c r="E10" s="7">
        <v>38761</v>
      </c>
      <c r="F10" s="6">
        <v>7</v>
      </c>
      <c r="G10" s="6">
        <v>2</v>
      </c>
      <c r="H10" s="6" t="s">
        <v>99</v>
      </c>
      <c r="I10" s="6" t="s">
        <v>117</v>
      </c>
      <c r="J10" s="6">
        <v>5966740721</v>
      </c>
      <c r="K10" s="6" t="s">
        <v>135</v>
      </c>
    </row>
    <row r="11" spans="2:12" x14ac:dyDescent="0.3">
      <c r="B11" s="6" t="s">
        <v>31</v>
      </c>
      <c r="C11" s="6" t="s">
        <v>92</v>
      </c>
      <c r="D11" s="6" t="s">
        <v>80</v>
      </c>
      <c r="E11" s="7">
        <v>38258</v>
      </c>
      <c r="F11" s="6">
        <v>9</v>
      </c>
      <c r="G11" s="6">
        <v>2</v>
      </c>
      <c r="H11" s="6" t="s">
        <v>100</v>
      </c>
      <c r="I11" s="6" t="s">
        <v>118</v>
      </c>
      <c r="J11" s="6">
        <v>5679751637</v>
      </c>
      <c r="K11" s="6" t="s">
        <v>136</v>
      </c>
    </row>
    <row r="12" spans="2:12" x14ac:dyDescent="0.3">
      <c r="B12" s="6" t="s">
        <v>21</v>
      </c>
      <c r="C12" s="6" t="s">
        <v>92</v>
      </c>
      <c r="D12" s="6" t="s">
        <v>81</v>
      </c>
      <c r="E12" s="7">
        <v>38716</v>
      </c>
      <c r="F12" s="6">
        <v>8</v>
      </c>
      <c r="G12" s="6">
        <v>3</v>
      </c>
      <c r="H12" s="6" t="s">
        <v>101</v>
      </c>
      <c r="I12" s="6" t="s">
        <v>119</v>
      </c>
      <c r="J12" s="6">
        <v>5404443184</v>
      </c>
      <c r="K12" s="6" t="s">
        <v>137</v>
      </c>
    </row>
    <row r="13" spans="2:12" x14ac:dyDescent="0.3">
      <c r="B13" s="6" t="s">
        <v>24</v>
      </c>
      <c r="C13" s="6" t="s">
        <v>93</v>
      </c>
      <c r="D13" s="6" t="s">
        <v>82</v>
      </c>
      <c r="E13" s="7">
        <v>37510</v>
      </c>
      <c r="F13" s="6">
        <v>11</v>
      </c>
      <c r="G13" s="6">
        <v>5</v>
      </c>
      <c r="H13" s="6" t="s">
        <v>102</v>
      </c>
      <c r="I13" s="6" t="s">
        <v>120</v>
      </c>
      <c r="J13" s="6">
        <v>5241768416</v>
      </c>
      <c r="K13" s="6" t="s">
        <v>138</v>
      </c>
    </row>
    <row r="14" spans="2:12" x14ac:dyDescent="0.3">
      <c r="B14" s="6" t="s">
        <v>18</v>
      </c>
      <c r="C14" s="6" t="s">
        <v>92</v>
      </c>
      <c r="D14" s="6" t="s">
        <v>83</v>
      </c>
      <c r="E14" s="7">
        <v>38389</v>
      </c>
      <c r="F14" s="6">
        <v>8</v>
      </c>
      <c r="G14" s="6">
        <v>1</v>
      </c>
      <c r="H14" s="6" t="s">
        <v>103</v>
      </c>
      <c r="I14" s="6" t="s">
        <v>121</v>
      </c>
      <c r="J14" s="6">
        <v>5254578489</v>
      </c>
      <c r="K14" s="6" t="s">
        <v>139</v>
      </c>
    </row>
    <row r="15" spans="2:12" x14ac:dyDescent="0.3">
      <c r="B15" s="6" t="s">
        <v>30</v>
      </c>
      <c r="C15" s="6" t="s">
        <v>92</v>
      </c>
      <c r="D15" s="6" t="s">
        <v>84</v>
      </c>
      <c r="E15" s="7">
        <v>38373</v>
      </c>
      <c r="F15" s="6">
        <v>8</v>
      </c>
      <c r="G15" s="6">
        <v>4</v>
      </c>
      <c r="H15" s="6" t="s">
        <v>104</v>
      </c>
      <c r="I15" s="6" t="s">
        <v>122</v>
      </c>
      <c r="J15" s="6">
        <v>5186255834</v>
      </c>
      <c r="K15" s="6" t="s">
        <v>140</v>
      </c>
    </row>
    <row r="16" spans="2:12" x14ac:dyDescent="0.3">
      <c r="B16" s="6" t="s">
        <v>28</v>
      </c>
      <c r="C16" s="6" t="s">
        <v>92</v>
      </c>
      <c r="D16" s="6" t="s">
        <v>85</v>
      </c>
      <c r="E16" s="7">
        <v>38987</v>
      </c>
      <c r="F16" s="6">
        <v>7</v>
      </c>
      <c r="G16" s="6">
        <v>5</v>
      </c>
      <c r="H16" s="6" t="s">
        <v>105</v>
      </c>
      <c r="I16" s="6" t="s">
        <v>119</v>
      </c>
      <c r="J16" s="6">
        <v>5340690667</v>
      </c>
      <c r="K16" s="6" t="s">
        <v>141</v>
      </c>
    </row>
    <row r="17" spans="2:11" x14ac:dyDescent="0.3">
      <c r="B17" s="6" t="s">
        <v>25</v>
      </c>
      <c r="C17" s="6" t="s">
        <v>92</v>
      </c>
      <c r="D17" s="6" t="s">
        <v>86</v>
      </c>
      <c r="E17" s="7">
        <v>38426</v>
      </c>
      <c r="F17" s="6">
        <v>8</v>
      </c>
      <c r="G17" s="6">
        <v>3</v>
      </c>
      <c r="H17" s="6" t="s">
        <v>106</v>
      </c>
      <c r="I17" s="6" t="s">
        <v>123</v>
      </c>
      <c r="J17" s="6">
        <v>5440595972</v>
      </c>
      <c r="K17" s="6" t="s">
        <v>142</v>
      </c>
    </row>
    <row r="18" spans="2:11" x14ac:dyDescent="0.3">
      <c r="B18" s="6" t="s">
        <v>20</v>
      </c>
      <c r="C18" s="6" t="s">
        <v>93</v>
      </c>
      <c r="D18" s="6" t="s">
        <v>87</v>
      </c>
      <c r="E18" s="7">
        <v>37376</v>
      </c>
      <c r="F18" s="6">
        <v>11</v>
      </c>
      <c r="G18" s="6">
        <v>1</v>
      </c>
      <c r="H18" s="6" t="s">
        <v>107</v>
      </c>
      <c r="I18" s="6" t="s">
        <v>124</v>
      </c>
      <c r="J18" s="6">
        <v>5609215083</v>
      </c>
      <c r="K18" s="6" t="s">
        <v>143</v>
      </c>
    </row>
    <row r="19" spans="2:11" x14ac:dyDescent="0.3">
      <c r="B19" s="6" t="s">
        <v>32</v>
      </c>
      <c r="C19" s="6" t="s">
        <v>93</v>
      </c>
      <c r="D19" s="6" t="s">
        <v>88</v>
      </c>
      <c r="E19" s="7">
        <v>38327</v>
      </c>
      <c r="F19" s="6">
        <v>9</v>
      </c>
      <c r="G19" s="6">
        <v>4</v>
      </c>
      <c r="H19" s="6" t="s">
        <v>108</v>
      </c>
      <c r="I19" s="6" t="s">
        <v>125</v>
      </c>
      <c r="J19" s="6">
        <v>5524953971</v>
      </c>
      <c r="K19" s="6" t="s">
        <v>144</v>
      </c>
    </row>
    <row r="20" spans="2:11" x14ac:dyDescent="0.3">
      <c r="B20" s="6" t="s">
        <v>23</v>
      </c>
      <c r="C20" s="6" t="s">
        <v>93</v>
      </c>
      <c r="D20" s="6" t="s">
        <v>89</v>
      </c>
      <c r="E20" s="7">
        <v>38080</v>
      </c>
      <c r="F20" s="6">
        <v>9</v>
      </c>
      <c r="G20" s="6">
        <v>5</v>
      </c>
      <c r="H20" s="6" t="s">
        <v>109</v>
      </c>
      <c r="I20" s="6" t="s">
        <v>126</v>
      </c>
      <c r="J20" s="6">
        <v>5387163674</v>
      </c>
      <c r="K20" s="6" t="s">
        <v>145</v>
      </c>
    </row>
    <row r="21" spans="2:11" x14ac:dyDescent="0.3">
      <c r="B21" s="6" t="s">
        <v>17</v>
      </c>
      <c r="C21" s="6" t="s">
        <v>93</v>
      </c>
      <c r="D21" s="6" t="s">
        <v>90</v>
      </c>
      <c r="E21" s="7">
        <v>38462</v>
      </c>
      <c r="F21" s="6">
        <v>8</v>
      </c>
      <c r="G21" s="6">
        <v>1</v>
      </c>
      <c r="H21" s="6" t="s">
        <v>110</v>
      </c>
      <c r="I21" s="6" t="s">
        <v>127</v>
      </c>
      <c r="J21" s="6">
        <v>5799055309</v>
      </c>
      <c r="K21" s="6" t="s">
        <v>146</v>
      </c>
    </row>
    <row r="22" spans="2:11" x14ac:dyDescent="0.3">
      <c r="B22" s="6" t="s">
        <v>33</v>
      </c>
      <c r="C22" s="6" t="s">
        <v>93</v>
      </c>
      <c r="D22" s="6" t="s">
        <v>91</v>
      </c>
      <c r="E22" s="7">
        <v>38678</v>
      </c>
      <c r="F22" s="6">
        <v>8</v>
      </c>
      <c r="G22" s="6">
        <v>4</v>
      </c>
      <c r="H22" s="6" t="s">
        <v>111</v>
      </c>
      <c r="I22" s="6" t="s">
        <v>128</v>
      </c>
      <c r="J22" s="6">
        <v>5893428042</v>
      </c>
      <c r="K22" s="6" t="s">
        <v>147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udentsreport">
                <anchor moveWithCells="1" sizeWithCells="1">
                  <from>
                    <xdr:col>12</xdr:col>
                    <xdr:colOff>333375</xdr:colOff>
                    <xdr:row>1</xdr:row>
                    <xdr:rowOff>85725</xdr:rowOff>
                  </from>
                  <to>
                    <xdr:col>14</xdr:col>
                    <xdr:colOff>476250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pdf">
                <anchor moveWithCells="1" sizeWithCells="1">
                  <from>
                    <xdr:col>12</xdr:col>
                    <xdr:colOff>352425</xdr:colOff>
                    <xdr:row>5</xdr:row>
                    <xdr:rowOff>19050</xdr:rowOff>
                  </from>
                  <to>
                    <xdr:col>14</xdr:col>
                    <xdr:colOff>504825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3611D-54AD-448B-BA23-E35AEED9F91E}">
  <sheetPr codeName="Sheet2">
    <tabColor theme="2" tint="-9.9978637043366805E-2"/>
  </sheetPr>
  <dimension ref="B2:AF22"/>
  <sheetViews>
    <sheetView topLeftCell="A2" zoomScale="90" zoomScaleNormal="90" workbookViewId="0">
      <selection activeCell="F13" sqref="F13"/>
    </sheetView>
  </sheetViews>
  <sheetFormatPr defaultRowHeight="15" x14ac:dyDescent="0.25"/>
  <cols>
    <col min="2" max="2" width="15.5" customWidth="1"/>
    <col min="3" max="5" width="3.875" customWidth="1"/>
    <col min="6" max="6" width="4" customWidth="1"/>
    <col min="7" max="7" width="3.875" customWidth="1"/>
    <col min="8" max="8" width="4" customWidth="1"/>
    <col min="9" max="9" width="3.875" customWidth="1"/>
    <col min="10" max="11" width="4" customWidth="1"/>
    <col min="12" max="12" width="5.625" customWidth="1"/>
    <col min="13" max="15" width="4.875" customWidth="1"/>
    <col min="16" max="16" width="5" customWidth="1"/>
    <col min="17" max="17" width="4.875" customWidth="1"/>
    <col min="18" max="18" width="5" customWidth="1"/>
    <col min="19" max="19" width="4.875" customWidth="1"/>
    <col min="20" max="21" width="5" customWidth="1"/>
    <col min="22" max="25" width="4.875" customWidth="1"/>
    <col min="26" max="26" width="5" customWidth="1"/>
    <col min="27" max="27" width="4.875" customWidth="1"/>
    <col min="28" max="28" width="5" customWidth="1"/>
    <col min="29" max="29" width="4.875" customWidth="1"/>
    <col min="30" max="31" width="5" customWidth="1"/>
    <col min="32" max="32" width="4.875" customWidth="1"/>
  </cols>
  <sheetData>
    <row r="2" spans="2:32" ht="21" x14ac:dyDescent="0.35">
      <c r="C2" s="14" t="s">
        <v>64</v>
      </c>
      <c r="D2" s="14"/>
      <c r="E2" s="14"/>
      <c r="F2" s="14"/>
      <c r="G2" s="14"/>
      <c r="H2" s="14"/>
      <c r="I2" s="14"/>
      <c r="J2" s="14"/>
      <c r="K2" s="14"/>
      <c r="L2" s="14"/>
      <c r="M2" s="14"/>
    </row>
    <row r="4" spans="2:32" x14ac:dyDescent="0.25">
      <c r="B4" t="s">
        <v>15</v>
      </c>
      <c r="C4" s="3" t="s">
        <v>34</v>
      </c>
      <c r="D4" t="s">
        <v>35</v>
      </c>
      <c r="E4" t="s">
        <v>36</v>
      </c>
      <c r="F4" t="s">
        <v>37</v>
      </c>
      <c r="G4" t="s">
        <v>38</v>
      </c>
      <c r="H4" t="s">
        <v>39</v>
      </c>
      <c r="I4" t="s">
        <v>40</v>
      </c>
      <c r="J4" t="s">
        <v>41</v>
      </c>
      <c r="K4" t="s">
        <v>42</v>
      </c>
      <c r="L4" t="s">
        <v>43</v>
      </c>
      <c r="M4" t="s">
        <v>44</v>
      </c>
      <c r="N4" t="s">
        <v>45</v>
      </c>
      <c r="O4" t="s">
        <v>46</v>
      </c>
      <c r="P4" t="s">
        <v>47</v>
      </c>
      <c r="Q4" t="s">
        <v>48</v>
      </c>
      <c r="R4" t="s">
        <v>49</v>
      </c>
      <c r="S4" t="s">
        <v>50</v>
      </c>
      <c r="T4" t="s">
        <v>51</v>
      </c>
      <c r="U4" t="s">
        <v>52</v>
      </c>
      <c r="V4" t="s">
        <v>53</v>
      </c>
      <c r="W4" t="s">
        <v>54</v>
      </c>
      <c r="X4" t="s">
        <v>55</v>
      </c>
      <c r="Y4" t="s">
        <v>56</v>
      </c>
      <c r="Z4" t="s">
        <v>57</v>
      </c>
      <c r="AA4" t="s">
        <v>58</v>
      </c>
      <c r="AB4" t="s">
        <v>59</v>
      </c>
      <c r="AC4" t="s">
        <v>60</v>
      </c>
      <c r="AD4" t="s">
        <v>61</v>
      </c>
      <c r="AE4" t="s">
        <v>62</v>
      </c>
      <c r="AF4" t="s">
        <v>63</v>
      </c>
    </row>
    <row r="5" spans="2:32" ht="15.75" x14ac:dyDescent="0.25">
      <c r="B5" s="4" t="s">
        <v>16</v>
      </c>
      <c r="C5" s="5" t="s">
        <v>66</v>
      </c>
      <c r="D5" s="5" t="s">
        <v>66</v>
      </c>
      <c r="E5" s="5" t="s">
        <v>66</v>
      </c>
      <c r="F5" s="5" t="s">
        <v>66</v>
      </c>
      <c r="G5" s="5" t="s">
        <v>66</v>
      </c>
      <c r="H5" s="5" t="s">
        <v>66</v>
      </c>
      <c r="I5" s="5" t="s">
        <v>66</v>
      </c>
      <c r="J5" s="5" t="s">
        <v>66</v>
      </c>
      <c r="K5" s="5" t="s">
        <v>66</v>
      </c>
      <c r="L5" s="5" t="s">
        <v>66</v>
      </c>
      <c r="M5" s="5" t="s">
        <v>66</v>
      </c>
      <c r="N5" s="5" t="s">
        <v>66</v>
      </c>
      <c r="O5" s="5" t="s">
        <v>66</v>
      </c>
      <c r="P5" s="5" t="s">
        <v>66</v>
      </c>
      <c r="Q5" s="5" t="s">
        <v>66</v>
      </c>
      <c r="R5" s="5" t="s">
        <v>66</v>
      </c>
      <c r="S5" s="5" t="s">
        <v>66</v>
      </c>
      <c r="T5" s="5" t="s">
        <v>66</v>
      </c>
      <c r="U5" s="5" t="s">
        <v>66</v>
      </c>
      <c r="V5" s="5" t="s">
        <v>66</v>
      </c>
      <c r="W5" s="5" t="s">
        <v>66</v>
      </c>
      <c r="X5" s="5" t="s">
        <v>66</v>
      </c>
      <c r="Y5" s="5" t="s">
        <v>66</v>
      </c>
      <c r="Z5" s="5" t="s">
        <v>66</v>
      </c>
      <c r="AA5" s="5" t="s">
        <v>66</v>
      </c>
      <c r="AB5" s="5" t="s">
        <v>68</v>
      </c>
      <c r="AC5" s="5" t="s">
        <v>66</v>
      </c>
      <c r="AD5" s="5" t="s">
        <v>66</v>
      </c>
      <c r="AE5" s="5" t="s">
        <v>66</v>
      </c>
      <c r="AF5" s="5" t="s">
        <v>66</v>
      </c>
    </row>
    <row r="6" spans="2:32" ht="15.75" x14ac:dyDescent="0.25">
      <c r="B6" s="4" t="s">
        <v>19</v>
      </c>
      <c r="C6" s="5" t="s">
        <v>66</v>
      </c>
      <c r="D6" s="5" t="s">
        <v>66</v>
      </c>
      <c r="E6" s="5" t="s">
        <v>66</v>
      </c>
      <c r="F6" s="5" t="s">
        <v>66</v>
      </c>
      <c r="G6" s="5" t="s">
        <v>65</v>
      </c>
      <c r="H6" s="5" t="s">
        <v>66</v>
      </c>
      <c r="I6" s="5" t="s">
        <v>66</v>
      </c>
      <c r="J6" s="5" t="s">
        <v>66</v>
      </c>
      <c r="K6" s="5" t="s">
        <v>66</v>
      </c>
      <c r="L6" s="5" t="s">
        <v>66</v>
      </c>
      <c r="M6" s="5" t="s">
        <v>66</v>
      </c>
      <c r="N6" s="5" t="s">
        <v>66</v>
      </c>
      <c r="O6" s="5" t="s">
        <v>66</v>
      </c>
      <c r="P6" s="5" t="s">
        <v>66</v>
      </c>
      <c r="Q6" s="5" t="s">
        <v>66</v>
      </c>
      <c r="R6" s="5" t="s">
        <v>66</v>
      </c>
      <c r="S6" s="5" t="s">
        <v>66</v>
      </c>
      <c r="T6" s="5" t="s">
        <v>66</v>
      </c>
      <c r="U6" s="5" t="s">
        <v>66</v>
      </c>
      <c r="V6" s="5" t="s">
        <v>66</v>
      </c>
      <c r="W6" s="5" t="s">
        <v>66</v>
      </c>
      <c r="X6" s="5" t="s">
        <v>66</v>
      </c>
      <c r="Y6" s="5" t="s">
        <v>66</v>
      </c>
      <c r="Z6" s="5" t="s">
        <v>66</v>
      </c>
      <c r="AA6" s="5" t="s">
        <v>68</v>
      </c>
      <c r="AB6" s="5" t="s">
        <v>66</v>
      </c>
      <c r="AC6" s="5" t="s">
        <v>66</v>
      </c>
      <c r="AD6" s="5" t="s">
        <v>66</v>
      </c>
      <c r="AE6" s="5" t="s">
        <v>66</v>
      </c>
      <c r="AF6" s="5" t="s">
        <v>66</v>
      </c>
    </row>
    <row r="7" spans="2:32" ht="15.75" x14ac:dyDescent="0.25">
      <c r="B7" s="4" t="s">
        <v>27</v>
      </c>
      <c r="C7" s="5" t="s">
        <v>66</v>
      </c>
      <c r="D7" s="5" t="s">
        <v>66</v>
      </c>
      <c r="E7" s="5" t="s">
        <v>66</v>
      </c>
      <c r="F7" s="5" t="s">
        <v>66</v>
      </c>
      <c r="G7" s="5" t="s">
        <v>66</v>
      </c>
      <c r="H7" s="5" t="s">
        <v>66</v>
      </c>
      <c r="I7" s="5" t="s">
        <v>66</v>
      </c>
      <c r="J7" s="5" t="s">
        <v>66</v>
      </c>
      <c r="K7" s="5" t="s">
        <v>66</v>
      </c>
      <c r="L7" s="5" t="s">
        <v>66</v>
      </c>
      <c r="M7" s="5" t="s">
        <v>66</v>
      </c>
      <c r="N7" s="5" t="s">
        <v>66</v>
      </c>
      <c r="O7" s="5" t="s">
        <v>66</v>
      </c>
      <c r="P7" s="5" t="s">
        <v>66</v>
      </c>
      <c r="Q7" s="5" t="s">
        <v>66</v>
      </c>
      <c r="R7" s="5" t="s">
        <v>66</v>
      </c>
      <c r="S7" s="5" t="s">
        <v>66</v>
      </c>
      <c r="T7" s="5" t="s">
        <v>66</v>
      </c>
      <c r="U7" s="5" t="s">
        <v>66</v>
      </c>
      <c r="V7" s="5" t="s">
        <v>66</v>
      </c>
      <c r="W7" s="5" t="s">
        <v>66</v>
      </c>
      <c r="X7" s="5" t="s">
        <v>66</v>
      </c>
      <c r="Y7" s="5" t="s">
        <v>66</v>
      </c>
      <c r="Z7" s="5" t="s">
        <v>66</v>
      </c>
      <c r="AA7" s="5" t="s">
        <v>65</v>
      </c>
      <c r="AB7" s="5" t="s">
        <v>66</v>
      </c>
      <c r="AC7" s="5" t="s">
        <v>66</v>
      </c>
      <c r="AD7" s="5" t="s">
        <v>66</v>
      </c>
      <c r="AE7" s="5" t="s">
        <v>66</v>
      </c>
      <c r="AF7" s="5" t="s">
        <v>67</v>
      </c>
    </row>
    <row r="8" spans="2:32" ht="15.75" x14ac:dyDescent="0.25">
      <c r="B8" s="4" t="s">
        <v>26</v>
      </c>
      <c r="C8" s="5" t="s">
        <v>66</v>
      </c>
      <c r="D8" s="5" t="s">
        <v>66</v>
      </c>
      <c r="E8" s="5" t="s">
        <v>66</v>
      </c>
      <c r="F8" s="5" t="s">
        <v>66</v>
      </c>
      <c r="G8" s="5" t="s">
        <v>67</v>
      </c>
      <c r="H8" s="5" t="s">
        <v>66</v>
      </c>
      <c r="I8" s="5" t="s">
        <v>66</v>
      </c>
      <c r="J8" s="5" t="s">
        <v>68</v>
      </c>
      <c r="K8" s="5" t="s">
        <v>66</v>
      </c>
      <c r="L8" s="5" t="s">
        <v>66</v>
      </c>
      <c r="M8" s="5" t="s">
        <v>66</v>
      </c>
      <c r="N8" s="5" t="s">
        <v>66</v>
      </c>
      <c r="O8" s="5" t="s">
        <v>66</v>
      </c>
      <c r="P8" s="5" t="s">
        <v>66</v>
      </c>
      <c r="Q8" s="5" t="s">
        <v>66</v>
      </c>
      <c r="R8" s="5" t="s">
        <v>66</v>
      </c>
      <c r="S8" s="5" t="s">
        <v>66</v>
      </c>
      <c r="T8" s="5" t="s">
        <v>66</v>
      </c>
      <c r="U8" s="5" t="s">
        <v>67</v>
      </c>
      <c r="V8" s="5" t="s">
        <v>66</v>
      </c>
      <c r="W8" s="5" t="s">
        <v>67</v>
      </c>
      <c r="X8" s="5" t="s">
        <v>66</v>
      </c>
      <c r="Y8" s="5" t="s">
        <v>66</v>
      </c>
      <c r="Z8" s="5" t="s">
        <v>66</v>
      </c>
      <c r="AA8" s="5" t="s">
        <v>66</v>
      </c>
      <c r="AB8" s="5" t="s">
        <v>66</v>
      </c>
      <c r="AC8" s="5" t="s">
        <v>66</v>
      </c>
      <c r="AD8" s="5" t="s">
        <v>66</v>
      </c>
      <c r="AE8" s="5" t="s">
        <v>66</v>
      </c>
      <c r="AF8" s="5" t="s">
        <v>66</v>
      </c>
    </row>
    <row r="9" spans="2:32" ht="15.75" x14ac:dyDescent="0.25">
      <c r="B9" s="4" t="s">
        <v>29</v>
      </c>
      <c r="C9" s="5" t="s">
        <v>67</v>
      </c>
      <c r="D9" s="5" t="s">
        <v>66</v>
      </c>
      <c r="E9" s="5" t="s">
        <v>66</v>
      </c>
      <c r="F9" s="5" t="s">
        <v>66</v>
      </c>
      <c r="G9" s="5" t="s">
        <v>66</v>
      </c>
      <c r="H9" s="5" t="s">
        <v>66</v>
      </c>
      <c r="I9" s="5" t="s">
        <v>66</v>
      </c>
      <c r="J9" s="5" t="s">
        <v>66</v>
      </c>
      <c r="K9" s="5" t="s">
        <v>66</v>
      </c>
      <c r="L9" s="5" t="s">
        <v>66</v>
      </c>
      <c r="M9" s="5" t="s">
        <v>66</v>
      </c>
      <c r="N9" s="5" t="s">
        <v>66</v>
      </c>
      <c r="O9" s="5" t="s">
        <v>66</v>
      </c>
      <c r="P9" s="5" t="s">
        <v>66</v>
      </c>
      <c r="Q9" s="5" t="s">
        <v>66</v>
      </c>
      <c r="R9" s="5" t="s">
        <v>66</v>
      </c>
      <c r="S9" s="5" t="s">
        <v>66</v>
      </c>
      <c r="T9" s="5" t="s">
        <v>66</v>
      </c>
      <c r="U9" s="5" t="s">
        <v>66</v>
      </c>
      <c r="V9" s="5" t="s">
        <v>66</v>
      </c>
      <c r="W9" s="5" t="s">
        <v>66</v>
      </c>
      <c r="X9" s="5" t="s">
        <v>66</v>
      </c>
      <c r="Y9" s="5" t="s">
        <v>66</v>
      </c>
      <c r="Z9" s="5" t="s">
        <v>66</v>
      </c>
      <c r="AA9" s="5" t="s">
        <v>66</v>
      </c>
      <c r="AB9" s="5" t="s">
        <v>66</v>
      </c>
      <c r="AC9" s="5" t="s">
        <v>66</v>
      </c>
      <c r="AD9" s="5" t="s">
        <v>66</v>
      </c>
      <c r="AE9" s="5" t="s">
        <v>66</v>
      </c>
      <c r="AF9" s="5" t="s">
        <v>66</v>
      </c>
    </row>
    <row r="10" spans="2:32" ht="15.75" x14ac:dyDescent="0.25">
      <c r="B10" s="4" t="s">
        <v>22</v>
      </c>
      <c r="C10" s="5" t="s">
        <v>67</v>
      </c>
      <c r="D10" s="5" t="s">
        <v>66</v>
      </c>
      <c r="E10" s="5" t="s">
        <v>66</v>
      </c>
      <c r="F10" s="5" t="s">
        <v>66</v>
      </c>
      <c r="G10" s="5" t="s">
        <v>66</v>
      </c>
      <c r="H10" s="5" t="s">
        <v>66</v>
      </c>
      <c r="I10" s="5" t="s">
        <v>66</v>
      </c>
      <c r="J10" s="5" t="s">
        <v>66</v>
      </c>
      <c r="K10" s="5" t="s">
        <v>66</v>
      </c>
      <c r="L10" s="5" t="s">
        <v>66</v>
      </c>
      <c r="M10" s="5" t="s">
        <v>66</v>
      </c>
      <c r="N10" s="5" t="s">
        <v>66</v>
      </c>
      <c r="O10" s="5" t="s">
        <v>66</v>
      </c>
      <c r="P10" s="5" t="s">
        <v>66</v>
      </c>
      <c r="Q10" s="5" t="s">
        <v>66</v>
      </c>
      <c r="R10" s="5" t="s">
        <v>68</v>
      </c>
      <c r="S10" s="5" t="s">
        <v>66</v>
      </c>
      <c r="T10" s="5" t="s">
        <v>66</v>
      </c>
      <c r="U10" s="5" t="s">
        <v>66</v>
      </c>
      <c r="V10" s="5" t="s">
        <v>66</v>
      </c>
      <c r="W10" s="5" t="s">
        <v>66</v>
      </c>
      <c r="X10" s="5" t="s">
        <v>66</v>
      </c>
      <c r="Y10" s="5" t="s">
        <v>66</v>
      </c>
      <c r="Z10" s="5" t="s">
        <v>66</v>
      </c>
      <c r="AA10" s="5" t="s">
        <v>66</v>
      </c>
      <c r="AB10" s="5" t="s">
        <v>66</v>
      </c>
      <c r="AC10" s="5" t="s">
        <v>66</v>
      </c>
      <c r="AD10" s="5" t="s">
        <v>66</v>
      </c>
      <c r="AE10" s="5" t="s">
        <v>66</v>
      </c>
      <c r="AF10" s="5" t="s">
        <v>66</v>
      </c>
    </row>
    <row r="11" spans="2:32" ht="15.75" x14ac:dyDescent="0.25">
      <c r="B11" s="4" t="s">
        <v>31</v>
      </c>
      <c r="C11" s="5" t="s">
        <v>66</v>
      </c>
      <c r="D11" s="5" t="s">
        <v>66</v>
      </c>
      <c r="E11" s="5" t="s">
        <v>66</v>
      </c>
      <c r="F11" s="5" t="s">
        <v>66</v>
      </c>
      <c r="G11" s="5" t="s">
        <v>66</v>
      </c>
      <c r="H11" s="5" t="s">
        <v>66</v>
      </c>
      <c r="I11" s="5" t="s">
        <v>66</v>
      </c>
      <c r="J11" s="5" t="s">
        <v>66</v>
      </c>
      <c r="K11" s="5" t="s">
        <v>66</v>
      </c>
      <c r="L11" s="5" t="s">
        <v>66</v>
      </c>
      <c r="M11" s="5" t="s">
        <v>66</v>
      </c>
      <c r="N11" s="5" t="s">
        <v>66</v>
      </c>
      <c r="O11" s="5" t="s">
        <v>66</v>
      </c>
      <c r="P11" s="5" t="s">
        <v>66</v>
      </c>
      <c r="Q11" s="5" t="s">
        <v>66</v>
      </c>
      <c r="R11" s="5" t="s">
        <v>66</v>
      </c>
      <c r="S11" s="5" t="s">
        <v>66</v>
      </c>
      <c r="T11" s="5" t="s">
        <v>66</v>
      </c>
      <c r="U11" s="5" t="s">
        <v>66</v>
      </c>
      <c r="V11" s="5" t="s">
        <v>66</v>
      </c>
      <c r="W11" s="5" t="s">
        <v>66</v>
      </c>
      <c r="X11" s="5" t="s">
        <v>66</v>
      </c>
      <c r="Y11" s="5" t="s">
        <v>66</v>
      </c>
      <c r="Z11" s="5" t="s">
        <v>66</v>
      </c>
      <c r="AA11" s="5" t="s">
        <v>66</v>
      </c>
      <c r="AB11" s="5" t="s">
        <v>66</v>
      </c>
      <c r="AC11" s="5" t="s">
        <v>66</v>
      </c>
      <c r="AD11" s="5" t="s">
        <v>66</v>
      </c>
      <c r="AE11" s="5" t="s">
        <v>66</v>
      </c>
      <c r="AF11" s="5" t="s">
        <v>66</v>
      </c>
    </row>
    <row r="12" spans="2:32" ht="15.75" x14ac:dyDescent="0.25">
      <c r="B12" s="4" t="s">
        <v>21</v>
      </c>
      <c r="C12" s="5" t="s">
        <v>66</v>
      </c>
      <c r="D12" s="5" t="s">
        <v>66</v>
      </c>
      <c r="E12" s="5" t="s">
        <v>66</v>
      </c>
      <c r="F12" s="5" t="s">
        <v>66</v>
      </c>
      <c r="G12" s="5" t="s">
        <v>66</v>
      </c>
      <c r="H12" s="5" t="s">
        <v>66</v>
      </c>
      <c r="I12" s="5" t="s">
        <v>66</v>
      </c>
      <c r="J12" s="5" t="s">
        <v>66</v>
      </c>
      <c r="K12" s="5" t="s">
        <v>65</v>
      </c>
      <c r="L12" s="5" t="s">
        <v>66</v>
      </c>
      <c r="M12" s="5" t="s">
        <v>66</v>
      </c>
      <c r="N12" s="5" t="s">
        <v>66</v>
      </c>
      <c r="O12" s="5" t="s">
        <v>66</v>
      </c>
      <c r="P12" s="5" t="s">
        <v>66</v>
      </c>
      <c r="Q12" s="5" t="s">
        <v>66</v>
      </c>
      <c r="R12" s="5" t="s">
        <v>66</v>
      </c>
      <c r="S12" s="5" t="s">
        <v>66</v>
      </c>
      <c r="T12" s="5" t="s">
        <v>66</v>
      </c>
      <c r="U12" s="5" t="s">
        <v>66</v>
      </c>
      <c r="V12" s="5" t="s">
        <v>66</v>
      </c>
      <c r="W12" s="5" t="s">
        <v>66</v>
      </c>
      <c r="X12" s="5" t="s">
        <v>66</v>
      </c>
      <c r="Y12" s="5" t="s">
        <v>66</v>
      </c>
      <c r="Z12" s="5" t="s">
        <v>66</v>
      </c>
      <c r="AA12" s="5" t="s">
        <v>66</v>
      </c>
      <c r="AB12" s="5" t="s">
        <v>66</v>
      </c>
      <c r="AC12" s="5" t="s">
        <v>66</v>
      </c>
      <c r="AD12" s="5" t="s">
        <v>66</v>
      </c>
      <c r="AE12" s="5" t="s">
        <v>66</v>
      </c>
      <c r="AF12" s="5" t="s">
        <v>66</v>
      </c>
    </row>
    <row r="13" spans="2:32" ht="15.75" x14ac:dyDescent="0.25">
      <c r="B13" s="4" t="s">
        <v>24</v>
      </c>
      <c r="C13" s="5" t="s">
        <v>66</v>
      </c>
      <c r="D13" s="5" t="s">
        <v>66</v>
      </c>
      <c r="E13" s="5" t="s">
        <v>66</v>
      </c>
      <c r="F13" s="5" t="s">
        <v>66</v>
      </c>
      <c r="G13" s="5" t="s">
        <v>66</v>
      </c>
      <c r="H13" s="5" t="s">
        <v>66</v>
      </c>
      <c r="I13" s="5" t="s">
        <v>66</v>
      </c>
      <c r="J13" s="5" t="s">
        <v>66</v>
      </c>
      <c r="K13" s="5" t="s">
        <v>66</v>
      </c>
      <c r="L13" s="5" t="s">
        <v>66</v>
      </c>
      <c r="M13" s="5" t="s">
        <v>66</v>
      </c>
      <c r="N13" s="5" t="s">
        <v>66</v>
      </c>
      <c r="O13" s="5" t="s">
        <v>66</v>
      </c>
      <c r="P13" s="5" t="s">
        <v>66</v>
      </c>
      <c r="Q13" s="5" t="s">
        <v>66</v>
      </c>
      <c r="R13" s="5" t="s">
        <v>66</v>
      </c>
      <c r="S13" s="5" t="s">
        <v>66</v>
      </c>
      <c r="T13" s="5" t="s">
        <v>65</v>
      </c>
      <c r="U13" s="5" t="s">
        <v>66</v>
      </c>
      <c r="V13" s="5" t="s">
        <v>66</v>
      </c>
      <c r="W13" s="5" t="s">
        <v>66</v>
      </c>
      <c r="X13" s="5" t="s">
        <v>66</v>
      </c>
      <c r="Y13" s="5" t="s">
        <v>66</v>
      </c>
      <c r="Z13" s="5" t="s">
        <v>66</v>
      </c>
      <c r="AA13" s="5" t="s">
        <v>66</v>
      </c>
      <c r="AB13" s="5" t="s">
        <v>66</v>
      </c>
      <c r="AC13" s="5" t="s">
        <v>66</v>
      </c>
      <c r="AD13" s="5" t="s">
        <v>66</v>
      </c>
      <c r="AE13" s="5" t="s">
        <v>66</v>
      </c>
      <c r="AF13" s="5" t="s">
        <v>66</v>
      </c>
    </row>
    <row r="14" spans="2:32" ht="15.75" x14ac:dyDescent="0.25">
      <c r="B14" s="4" t="s">
        <v>18</v>
      </c>
      <c r="C14" s="5" t="s">
        <v>66</v>
      </c>
      <c r="D14" s="5" t="s">
        <v>66</v>
      </c>
      <c r="E14" s="5" t="s">
        <v>66</v>
      </c>
      <c r="F14" s="5" t="s">
        <v>66</v>
      </c>
      <c r="G14" s="5" t="s">
        <v>66</v>
      </c>
      <c r="H14" s="5" t="s">
        <v>66</v>
      </c>
      <c r="I14" s="5" t="s">
        <v>66</v>
      </c>
      <c r="J14" s="5" t="s">
        <v>65</v>
      </c>
      <c r="K14" s="5" t="s">
        <v>66</v>
      </c>
      <c r="L14" s="5" t="s">
        <v>66</v>
      </c>
      <c r="M14" s="5" t="s">
        <v>66</v>
      </c>
      <c r="N14" s="5" t="s">
        <v>66</v>
      </c>
      <c r="O14" s="5" t="s">
        <v>66</v>
      </c>
      <c r="P14" s="5" t="s">
        <v>66</v>
      </c>
      <c r="Q14" s="5" t="s">
        <v>66</v>
      </c>
      <c r="R14" s="5" t="s">
        <v>66</v>
      </c>
      <c r="S14" s="5" t="s">
        <v>66</v>
      </c>
      <c r="T14" s="5" t="s">
        <v>66</v>
      </c>
      <c r="U14" s="5" t="s">
        <v>66</v>
      </c>
      <c r="V14" s="5" t="s">
        <v>66</v>
      </c>
      <c r="W14" s="5" t="s">
        <v>66</v>
      </c>
      <c r="X14" s="5" t="s">
        <v>66</v>
      </c>
      <c r="Y14" s="5" t="s">
        <v>66</v>
      </c>
      <c r="Z14" s="5" t="s">
        <v>66</v>
      </c>
      <c r="AA14" s="5" t="s">
        <v>66</v>
      </c>
      <c r="AB14" s="5" t="s">
        <v>66</v>
      </c>
      <c r="AC14" s="5" t="s">
        <v>66</v>
      </c>
      <c r="AD14" s="5" t="s">
        <v>66</v>
      </c>
      <c r="AE14" s="5" t="s">
        <v>66</v>
      </c>
      <c r="AF14" s="5" t="s">
        <v>66</v>
      </c>
    </row>
    <row r="15" spans="2:32" ht="15.75" x14ac:dyDescent="0.25">
      <c r="B15" s="4" t="s">
        <v>30</v>
      </c>
      <c r="C15" s="5" t="s">
        <v>66</v>
      </c>
      <c r="D15" s="5" t="s">
        <v>66</v>
      </c>
      <c r="E15" s="5" t="s">
        <v>66</v>
      </c>
      <c r="F15" s="5" t="s">
        <v>66</v>
      </c>
      <c r="G15" s="5" t="s">
        <v>66</v>
      </c>
      <c r="H15" s="5" t="s">
        <v>66</v>
      </c>
      <c r="I15" s="5" t="s">
        <v>66</v>
      </c>
      <c r="J15" s="5" t="s">
        <v>66</v>
      </c>
      <c r="K15" s="5" t="s">
        <v>66</v>
      </c>
      <c r="L15" s="5" t="s">
        <v>66</v>
      </c>
      <c r="M15" s="5" t="s">
        <v>65</v>
      </c>
      <c r="N15" s="5" t="s">
        <v>66</v>
      </c>
      <c r="O15" s="5" t="s">
        <v>66</v>
      </c>
      <c r="P15" s="5" t="s">
        <v>65</v>
      </c>
      <c r="Q15" s="5" t="s">
        <v>66</v>
      </c>
      <c r="R15" s="5" t="s">
        <v>66</v>
      </c>
      <c r="S15" s="5" t="s">
        <v>66</v>
      </c>
      <c r="T15" s="5" t="s">
        <v>66</v>
      </c>
      <c r="U15" s="5" t="s">
        <v>66</v>
      </c>
      <c r="V15" s="5" t="s">
        <v>66</v>
      </c>
      <c r="W15" s="5" t="s">
        <v>66</v>
      </c>
      <c r="X15" s="5" t="s">
        <v>66</v>
      </c>
      <c r="Y15" s="5" t="s">
        <v>66</v>
      </c>
      <c r="Z15" s="5" t="s">
        <v>66</v>
      </c>
      <c r="AA15" s="5" t="s">
        <v>66</v>
      </c>
      <c r="AB15" s="5" t="s">
        <v>66</v>
      </c>
      <c r="AC15" s="5" t="s">
        <v>66</v>
      </c>
      <c r="AD15" s="5" t="s">
        <v>66</v>
      </c>
      <c r="AE15" s="5" t="s">
        <v>66</v>
      </c>
      <c r="AF15" s="5" t="s">
        <v>66</v>
      </c>
    </row>
    <row r="16" spans="2:32" ht="15.75" x14ac:dyDescent="0.25">
      <c r="B16" s="4" t="s">
        <v>28</v>
      </c>
      <c r="C16" s="5" t="s">
        <v>66</v>
      </c>
      <c r="D16" s="5" t="s">
        <v>66</v>
      </c>
      <c r="E16" s="5" t="s">
        <v>66</v>
      </c>
      <c r="F16" s="5" t="s">
        <v>66</v>
      </c>
      <c r="G16" s="5" t="s">
        <v>66</v>
      </c>
      <c r="H16" s="5" t="s">
        <v>66</v>
      </c>
      <c r="I16" s="5" t="s">
        <v>66</v>
      </c>
      <c r="J16" s="5" t="s">
        <v>66</v>
      </c>
      <c r="K16" s="5" t="s">
        <v>66</v>
      </c>
      <c r="L16" s="5" t="s">
        <v>66</v>
      </c>
      <c r="M16" s="5" t="s">
        <v>66</v>
      </c>
      <c r="N16" s="5" t="s">
        <v>66</v>
      </c>
      <c r="O16" s="5" t="s">
        <v>66</v>
      </c>
      <c r="P16" s="5" t="s">
        <v>66</v>
      </c>
      <c r="Q16" s="5" t="s">
        <v>66</v>
      </c>
      <c r="R16" s="5" t="s">
        <v>66</v>
      </c>
      <c r="S16" s="5" t="s">
        <v>66</v>
      </c>
      <c r="T16" s="5" t="s">
        <v>66</v>
      </c>
      <c r="U16" s="5" t="s">
        <v>66</v>
      </c>
      <c r="V16" s="5" t="s">
        <v>66</v>
      </c>
      <c r="W16" s="5" t="s">
        <v>66</v>
      </c>
      <c r="X16" s="5" t="s">
        <v>66</v>
      </c>
      <c r="Y16" s="5" t="s">
        <v>65</v>
      </c>
      <c r="Z16" s="5" t="s">
        <v>66</v>
      </c>
      <c r="AA16" s="5" t="s">
        <v>66</v>
      </c>
      <c r="AB16" s="5" t="s">
        <v>66</v>
      </c>
      <c r="AC16" s="5" t="s">
        <v>66</v>
      </c>
      <c r="AD16" s="5" t="s">
        <v>68</v>
      </c>
      <c r="AE16" s="5" t="s">
        <v>66</v>
      </c>
      <c r="AF16" s="5" t="s">
        <v>66</v>
      </c>
    </row>
    <row r="17" spans="2:32" ht="15.75" x14ac:dyDescent="0.25">
      <c r="B17" s="4" t="s">
        <v>25</v>
      </c>
      <c r="C17" s="5" t="s">
        <v>66</v>
      </c>
      <c r="D17" s="5" t="s">
        <v>66</v>
      </c>
      <c r="E17" s="5" t="s">
        <v>66</v>
      </c>
      <c r="F17" s="5" t="s">
        <v>66</v>
      </c>
      <c r="G17" s="5" t="s">
        <v>66</v>
      </c>
      <c r="H17" s="5" t="s">
        <v>66</v>
      </c>
      <c r="I17" s="5" t="s">
        <v>66</v>
      </c>
      <c r="J17" s="5" t="s">
        <v>66</v>
      </c>
      <c r="K17" s="5" t="s">
        <v>66</v>
      </c>
      <c r="L17" s="5" t="s">
        <v>66</v>
      </c>
      <c r="M17" s="5" t="s">
        <v>66</v>
      </c>
      <c r="N17" s="5" t="s">
        <v>66</v>
      </c>
      <c r="O17" s="5" t="s">
        <v>66</v>
      </c>
      <c r="P17" s="5" t="s">
        <v>66</v>
      </c>
      <c r="Q17" s="5" t="s">
        <v>66</v>
      </c>
      <c r="R17" s="5" t="s">
        <v>66</v>
      </c>
      <c r="S17" s="5" t="s">
        <v>66</v>
      </c>
      <c r="T17" s="5" t="s">
        <v>66</v>
      </c>
      <c r="U17" s="5" t="s">
        <v>66</v>
      </c>
      <c r="V17" s="5" t="s">
        <v>66</v>
      </c>
      <c r="W17" s="5" t="s">
        <v>66</v>
      </c>
      <c r="X17" s="5" t="s">
        <v>66</v>
      </c>
      <c r="Y17" s="5" t="s">
        <v>66</v>
      </c>
      <c r="Z17" s="5" t="s">
        <v>66</v>
      </c>
      <c r="AA17" s="5" t="s">
        <v>67</v>
      </c>
      <c r="AB17" s="5" t="s">
        <v>66</v>
      </c>
      <c r="AC17" s="5" t="s">
        <v>66</v>
      </c>
      <c r="AD17" s="5" t="s">
        <v>66</v>
      </c>
      <c r="AE17" s="5" t="s">
        <v>66</v>
      </c>
      <c r="AF17" s="5" t="s">
        <v>67</v>
      </c>
    </row>
    <row r="18" spans="2:32" ht="15.75" x14ac:dyDescent="0.25">
      <c r="B18" s="4" t="s">
        <v>20</v>
      </c>
      <c r="C18" s="5" t="s">
        <v>66</v>
      </c>
      <c r="D18" s="5" t="s">
        <v>66</v>
      </c>
      <c r="E18" s="5" t="s">
        <v>66</v>
      </c>
      <c r="F18" s="5" t="s">
        <v>66</v>
      </c>
      <c r="G18" s="5" t="s">
        <v>66</v>
      </c>
      <c r="H18" s="5" t="s">
        <v>66</v>
      </c>
      <c r="I18" s="5" t="s">
        <v>66</v>
      </c>
      <c r="J18" s="5" t="s">
        <v>66</v>
      </c>
      <c r="K18" s="5" t="s">
        <v>66</v>
      </c>
      <c r="L18" s="5" t="s">
        <v>66</v>
      </c>
      <c r="M18" s="5" t="s">
        <v>66</v>
      </c>
      <c r="N18" s="5" t="s">
        <v>66</v>
      </c>
      <c r="O18" s="5" t="s">
        <v>66</v>
      </c>
      <c r="P18" s="5" t="s">
        <v>66</v>
      </c>
      <c r="Q18" s="5" t="s">
        <v>66</v>
      </c>
      <c r="R18" s="5" t="s">
        <v>66</v>
      </c>
      <c r="S18" s="5" t="s">
        <v>66</v>
      </c>
      <c r="T18" s="5" t="s">
        <v>66</v>
      </c>
      <c r="U18" s="5" t="s">
        <v>65</v>
      </c>
      <c r="V18" s="5" t="s">
        <v>65</v>
      </c>
      <c r="W18" s="5" t="s">
        <v>66</v>
      </c>
      <c r="X18" s="5" t="s">
        <v>66</v>
      </c>
      <c r="Y18" s="5" t="s">
        <v>66</v>
      </c>
      <c r="Z18" s="5" t="s">
        <v>66</v>
      </c>
      <c r="AA18" s="5" t="s">
        <v>66</v>
      </c>
      <c r="AB18" s="5" t="s">
        <v>66</v>
      </c>
      <c r="AC18" s="5" t="s">
        <v>66</v>
      </c>
      <c r="AD18" s="5" t="s">
        <v>66</v>
      </c>
      <c r="AE18" s="5" t="s">
        <v>66</v>
      </c>
      <c r="AF18" s="5" t="s">
        <v>66</v>
      </c>
    </row>
    <row r="19" spans="2:32" ht="15.75" x14ac:dyDescent="0.25">
      <c r="B19" s="4" t="s">
        <v>32</v>
      </c>
      <c r="C19" s="5" t="s">
        <v>66</v>
      </c>
      <c r="D19" s="5" t="s">
        <v>66</v>
      </c>
      <c r="E19" s="5" t="s">
        <v>66</v>
      </c>
      <c r="F19" s="5" t="s">
        <v>65</v>
      </c>
      <c r="G19" s="5" t="s">
        <v>66</v>
      </c>
      <c r="H19" s="5" t="s">
        <v>66</v>
      </c>
      <c r="I19" s="5" t="s">
        <v>66</v>
      </c>
      <c r="J19" s="5" t="s">
        <v>66</v>
      </c>
      <c r="K19" s="5" t="s">
        <v>66</v>
      </c>
      <c r="L19" s="5" t="s">
        <v>66</v>
      </c>
      <c r="M19" s="5" t="s">
        <v>66</v>
      </c>
      <c r="N19" s="5" t="s">
        <v>67</v>
      </c>
      <c r="O19" s="5" t="s">
        <v>66</v>
      </c>
      <c r="P19" s="5" t="s">
        <v>66</v>
      </c>
      <c r="Q19" s="5" t="s">
        <v>66</v>
      </c>
      <c r="R19" s="5" t="s">
        <v>66</v>
      </c>
      <c r="S19" s="5" t="s">
        <v>66</v>
      </c>
      <c r="T19" s="5" t="s">
        <v>66</v>
      </c>
      <c r="U19" s="5" t="s">
        <v>66</v>
      </c>
      <c r="V19" s="5" t="s">
        <v>65</v>
      </c>
      <c r="W19" s="5" t="s">
        <v>67</v>
      </c>
      <c r="X19" s="5" t="s">
        <v>65</v>
      </c>
      <c r="Y19" s="5" t="s">
        <v>66</v>
      </c>
      <c r="Z19" s="5" t="s">
        <v>66</v>
      </c>
      <c r="AA19" s="5" t="s">
        <v>66</v>
      </c>
      <c r="AB19" s="5" t="s">
        <v>66</v>
      </c>
      <c r="AC19" s="5" t="s">
        <v>66</v>
      </c>
      <c r="AD19" s="5" t="s">
        <v>66</v>
      </c>
      <c r="AE19" s="5" t="s">
        <v>66</v>
      </c>
      <c r="AF19" s="5" t="s">
        <v>66</v>
      </c>
    </row>
    <row r="20" spans="2:32" ht="15.75" x14ac:dyDescent="0.25">
      <c r="B20" s="4" t="s">
        <v>23</v>
      </c>
      <c r="C20" s="5" t="s">
        <v>67</v>
      </c>
      <c r="D20" s="5" t="s">
        <v>66</v>
      </c>
      <c r="E20" s="5" t="s">
        <v>66</v>
      </c>
      <c r="F20" s="5" t="s">
        <v>67</v>
      </c>
      <c r="G20" s="5" t="s">
        <v>66</v>
      </c>
      <c r="H20" s="5" t="s">
        <v>66</v>
      </c>
      <c r="I20" s="5" t="s">
        <v>66</v>
      </c>
      <c r="J20" s="5" t="s">
        <v>66</v>
      </c>
      <c r="K20" s="5" t="s">
        <v>66</v>
      </c>
      <c r="L20" s="5" t="s">
        <v>66</v>
      </c>
      <c r="M20" s="5" t="s">
        <v>66</v>
      </c>
      <c r="N20" s="5" t="s">
        <v>66</v>
      </c>
      <c r="O20" s="5" t="s">
        <v>66</v>
      </c>
      <c r="P20" s="5" t="s">
        <v>66</v>
      </c>
      <c r="Q20" s="5" t="s">
        <v>66</v>
      </c>
      <c r="R20" s="5" t="s">
        <v>66</v>
      </c>
      <c r="S20" s="5" t="s">
        <v>66</v>
      </c>
      <c r="T20" s="5" t="s">
        <v>65</v>
      </c>
      <c r="U20" s="5" t="s">
        <v>66</v>
      </c>
      <c r="V20" s="5" t="s">
        <v>66</v>
      </c>
      <c r="W20" s="5" t="s">
        <v>66</v>
      </c>
      <c r="X20" s="5" t="s">
        <v>66</v>
      </c>
      <c r="Y20" s="5" t="s">
        <v>66</v>
      </c>
      <c r="Z20" s="5" t="s">
        <v>66</v>
      </c>
      <c r="AA20" s="5" t="s">
        <v>66</v>
      </c>
      <c r="AB20" s="5" t="s">
        <v>66</v>
      </c>
      <c r="AC20" s="5" t="s">
        <v>66</v>
      </c>
      <c r="AD20" s="5" t="s">
        <v>66</v>
      </c>
      <c r="AE20" s="5" t="s">
        <v>66</v>
      </c>
      <c r="AF20" s="5" t="s">
        <v>66</v>
      </c>
    </row>
    <row r="21" spans="2:32" ht="15.75" x14ac:dyDescent="0.25">
      <c r="B21" s="4" t="s">
        <v>17</v>
      </c>
      <c r="C21" s="5" t="s">
        <v>66</v>
      </c>
      <c r="D21" s="5" t="s">
        <v>66</v>
      </c>
      <c r="E21" s="5" t="s">
        <v>66</v>
      </c>
      <c r="F21" s="5" t="s">
        <v>66</v>
      </c>
      <c r="G21" s="5" t="s">
        <v>66</v>
      </c>
      <c r="H21" s="5" t="s">
        <v>66</v>
      </c>
      <c r="I21" s="5" t="s">
        <v>66</v>
      </c>
      <c r="J21" s="5" t="s">
        <v>66</v>
      </c>
      <c r="K21" s="5" t="s">
        <v>66</v>
      </c>
      <c r="L21" s="5" t="s">
        <v>66</v>
      </c>
      <c r="M21" s="5" t="s">
        <v>66</v>
      </c>
      <c r="N21" s="5" t="s">
        <v>66</v>
      </c>
      <c r="O21" s="5" t="s">
        <v>66</v>
      </c>
      <c r="P21" s="5" t="s">
        <v>66</v>
      </c>
      <c r="Q21" s="5" t="s">
        <v>66</v>
      </c>
      <c r="R21" s="5" t="s">
        <v>66</v>
      </c>
      <c r="S21" s="5" t="s">
        <v>66</v>
      </c>
      <c r="T21" s="5" t="s">
        <v>66</v>
      </c>
      <c r="U21" s="5" t="s">
        <v>66</v>
      </c>
      <c r="V21" s="5" t="s">
        <v>66</v>
      </c>
      <c r="W21" s="5" t="s">
        <v>66</v>
      </c>
      <c r="X21" s="5" t="s">
        <v>66</v>
      </c>
      <c r="Y21" s="5" t="s">
        <v>66</v>
      </c>
      <c r="Z21" s="5" t="s">
        <v>66</v>
      </c>
      <c r="AA21" s="5" t="s">
        <v>66</v>
      </c>
      <c r="AB21" s="5" t="s">
        <v>66</v>
      </c>
      <c r="AC21" s="5" t="s">
        <v>66</v>
      </c>
      <c r="AD21" s="5" t="s">
        <v>66</v>
      </c>
      <c r="AE21" s="5" t="s">
        <v>66</v>
      </c>
      <c r="AF21" s="5" t="s">
        <v>66</v>
      </c>
    </row>
    <row r="22" spans="2:32" ht="15.75" x14ac:dyDescent="0.25">
      <c r="B22" s="4" t="s">
        <v>33</v>
      </c>
      <c r="C22" s="5" t="s">
        <v>66</v>
      </c>
      <c r="D22" s="5" t="s">
        <v>66</v>
      </c>
      <c r="E22" s="5" t="s">
        <v>66</v>
      </c>
      <c r="F22" s="5" t="s">
        <v>66</v>
      </c>
      <c r="G22" s="5" t="s">
        <v>66</v>
      </c>
      <c r="H22" s="5" t="s">
        <v>66</v>
      </c>
      <c r="I22" s="5" t="s">
        <v>66</v>
      </c>
      <c r="J22" s="5" t="s">
        <v>66</v>
      </c>
      <c r="K22" s="5" t="s">
        <v>66</v>
      </c>
      <c r="L22" s="5" t="s">
        <v>66</v>
      </c>
      <c r="M22" s="5" t="s">
        <v>66</v>
      </c>
      <c r="N22" s="5" t="s">
        <v>67</v>
      </c>
      <c r="O22" s="5" t="s">
        <v>66</v>
      </c>
      <c r="P22" s="5" t="s">
        <v>66</v>
      </c>
      <c r="Q22" s="5" t="s">
        <v>66</v>
      </c>
      <c r="R22" s="5" t="s">
        <v>66</v>
      </c>
      <c r="S22" s="5" t="s">
        <v>66</v>
      </c>
      <c r="T22" s="5" t="s">
        <v>66</v>
      </c>
      <c r="U22" s="5" t="s">
        <v>66</v>
      </c>
      <c r="V22" s="5" t="s">
        <v>66</v>
      </c>
      <c r="W22" s="5" t="s">
        <v>66</v>
      </c>
      <c r="X22" s="5" t="s">
        <v>66</v>
      </c>
      <c r="Y22" s="5" t="s">
        <v>66</v>
      </c>
      <c r="Z22" s="5" t="s">
        <v>66</v>
      </c>
      <c r="AA22" s="5" t="s">
        <v>66</v>
      </c>
      <c r="AB22" s="5" t="s">
        <v>66</v>
      </c>
      <c r="AC22" s="5" t="s">
        <v>66</v>
      </c>
      <c r="AD22" s="5" t="s">
        <v>66</v>
      </c>
      <c r="AE22" s="5" t="s">
        <v>66</v>
      </c>
      <c r="AF22" s="5" t="s">
        <v>66</v>
      </c>
    </row>
  </sheetData>
  <mergeCells count="1">
    <mergeCell ref="C2:M2"/>
  </mergeCells>
  <conditionalFormatting sqref="C5:AF22">
    <cfRule type="cellIs" dxfId="115" priority="1" operator="equal">
      <formula>"U"</formula>
    </cfRule>
    <cfRule type="cellIs" dxfId="114" priority="2" operator="equal">
      <formula>"E"</formula>
    </cfRule>
    <cfRule type="cellIs" dxfId="113" priority="3" operator="equal">
      <formula>"T"</formula>
    </cfRule>
    <cfRule type="cellIs" dxfId="112" priority="4" operator="equal">
      <formula>"P"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indexed="41"/>
    <pageSetUpPr fitToPage="1"/>
  </sheetPr>
  <dimension ref="B1:AJ10"/>
  <sheetViews>
    <sheetView showGridLines="0" zoomScale="90" zoomScaleNormal="90" workbookViewId="0">
      <selection activeCell="P3" sqref="P3:R3"/>
    </sheetView>
  </sheetViews>
  <sheetFormatPr defaultColWidth="9" defaultRowHeight="30" customHeight="1" x14ac:dyDescent="0.25"/>
  <cols>
    <col min="1" max="1" width="2.625" style="2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style="2" customWidth="1"/>
    <col min="38" max="16384" width="9" style="2"/>
  </cols>
  <sheetData>
    <row r="1" spans="2:36" s="1" customFormat="1" ht="38.1" customHeight="1" x14ac:dyDescent="0.25">
      <c r="B1" s="35" t="s">
        <v>14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</row>
    <row r="2" spans="2:36" s="1" customFormat="1" ht="30" customHeight="1" x14ac:dyDescent="0.25">
      <c r="B2" s="29" t="s">
        <v>8</v>
      </c>
      <c r="C2" s="30"/>
      <c r="D2" s="30"/>
      <c r="E2" s="30"/>
      <c r="F2" s="30"/>
      <c r="G2" s="30"/>
      <c r="H2" s="30"/>
      <c r="I2" s="30"/>
      <c r="J2" s="31"/>
      <c r="K2" s="17" t="s">
        <v>10</v>
      </c>
      <c r="L2" s="17"/>
      <c r="M2" s="17"/>
      <c r="N2" s="17"/>
      <c r="O2" s="17"/>
      <c r="P2" s="17" t="s">
        <v>12</v>
      </c>
      <c r="Q2" s="17"/>
      <c r="R2" s="17"/>
      <c r="S2" s="17" t="s">
        <v>9</v>
      </c>
      <c r="T2" s="17"/>
      <c r="U2" s="17"/>
      <c r="V2" s="17"/>
      <c r="W2" s="17" t="s">
        <v>1</v>
      </c>
      <c r="X2" s="17"/>
      <c r="Y2" s="17"/>
      <c r="Z2" s="17"/>
      <c r="AA2" s="17"/>
      <c r="AB2" s="17"/>
      <c r="AC2" s="17"/>
      <c r="AD2" s="17"/>
      <c r="AE2" s="41" t="s">
        <v>0</v>
      </c>
      <c r="AF2" s="42"/>
      <c r="AG2" s="43"/>
      <c r="AH2" s="36" t="s">
        <v>2</v>
      </c>
      <c r="AI2" s="37"/>
      <c r="AJ2" s="38"/>
    </row>
    <row r="3" spans="2:36" s="1" customFormat="1" ht="30" customHeight="1" x14ac:dyDescent="0.25">
      <c r="B3" s="32" t="s">
        <v>16</v>
      </c>
      <c r="C3" s="33"/>
      <c r="D3" s="33"/>
      <c r="E3" s="33"/>
      <c r="F3" s="33"/>
      <c r="G3" s="33"/>
      <c r="H3" s="33"/>
      <c r="I3" s="33"/>
      <c r="J3" s="34"/>
      <c r="K3" s="18" t="str">
        <f>VLOOKUP(B3,Students[],3,0)</f>
        <v>ED15</v>
      </c>
      <c r="L3" s="18"/>
      <c r="M3" s="18"/>
      <c r="N3" s="18"/>
      <c r="O3" s="18"/>
      <c r="P3" s="18" t="str">
        <f>VLOOKUP(B3,Students[],2,0)</f>
        <v>Male</v>
      </c>
      <c r="Q3" s="18"/>
      <c r="R3" s="18"/>
      <c r="S3" s="40">
        <f>VLOOKUP(B3,Students[],4,0)</f>
        <v>38275</v>
      </c>
      <c r="T3" s="40"/>
      <c r="U3" s="40"/>
      <c r="V3" s="40"/>
      <c r="W3" s="18" t="s">
        <v>129</v>
      </c>
      <c r="X3" s="18"/>
      <c r="Y3" s="18"/>
      <c r="Z3" s="18"/>
      <c r="AA3" s="18"/>
      <c r="AB3" s="18"/>
      <c r="AC3" s="18"/>
      <c r="AD3" s="18"/>
      <c r="AE3" s="44">
        <f>VLOOKUP(B3,Students[],5,0)</f>
        <v>9</v>
      </c>
      <c r="AF3" s="45"/>
      <c r="AG3" s="45"/>
      <c r="AH3" s="39">
        <f>VLOOKUP(B3,Students[],6,0)</f>
        <v>4</v>
      </c>
      <c r="AI3" s="39"/>
      <c r="AJ3" s="39"/>
    </row>
    <row r="4" spans="2:36" s="1" customFormat="1" ht="30" customHeight="1" x14ac:dyDescent="0.25">
      <c r="B4" s="29" t="s">
        <v>70</v>
      </c>
      <c r="C4" s="30"/>
      <c r="D4" s="30"/>
      <c r="E4" s="30"/>
      <c r="F4" s="30"/>
      <c r="G4" s="30"/>
      <c r="H4" s="30"/>
      <c r="I4" s="30"/>
      <c r="J4" s="31"/>
      <c r="K4" s="17" t="s">
        <v>71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 t="s">
        <v>72</v>
      </c>
      <c r="X4" s="17"/>
      <c r="Y4" s="17"/>
      <c r="Z4" s="17"/>
      <c r="AA4" s="17"/>
      <c r="AB4" s="17"/>
      <c r="AC4" s="17"/>
      <c r="AD4" s="17"/>
      <c r="AE4" s="17" t="s">
        <v>73</v>
      </c>
      <c r="AF4" s="17"/>
      <c r="AG4" s="17"/>
      <c r="AH4" s="22"/>
      <c r="AI4" s="22"/>
      <c r="AJ4" s="22"/>
    </row>
    <row r="5" spans="2:36" s="1" customFormat="1" ht="30" customHeight="1" x14ac:dyDescent="0.25">
      <c r="B5" s="32" t="str">
        <f>VLOOKUP(B3,Students[],7,0)</f>
        <v>Mohammad</v>
      </c>
      <c r="C5" s="33"/>
      <c r="D5" s="33"/>
      <c r="E5" s="33"/>
      <c r="F5" s="33"/>
      <c r="G5" s="33"/>
      <c r="H5" s="33"/>
      <c r="I5" s="33"/>
      <c r="J5" s="34"/>
      <c r="K5" s="18" t="str">
        <f>VLOOKUP(B3,Students[],8,0)</f>
        <v>Fathya</v>
      </c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9">
        <f>VLOOKUP(B3,Students[],9,0)</f>
        <v>5586944362</v>
      </c>
      <c r="X5" s="19"/>
      <c r="Y5" s="19"/>
      <c r="Z5" s="19"/>
      <c r="AA5" s="19"/>
      <c r="AB5" s="19"/>
      <c r="AC5" s="19"/>
      <c r="AD5" s="19"/>
      <c r="AE5" s="19" t="str">
        <f>VLOOKUP(B3,Students[],10,0)</f>
        <v>Isteklal Street</v>
      </c>
      <c r="AF5" s="19"/>
      <c r="AG5" s="19"/>
      <c r="AH5" s="19"/>
      <c r="AI5" s="19"/>
      <c r="AJ5" s="19"/>
    </row>
    <row r="6" spans="2:36" s="1" customFormat="1" ht="30" customHeight="1" x14ac:dyDescent="0.25">
      <c r="B6" s="23" t="s">
        <v>11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0" t="s">
        <v>3</v>
      </c>
      <c r="AH6" s="21"/>
      <c r="AI6" s="21"/>
      <c r="AJ6" s="21"/>
    </row>
    <row r="7" spans="2:36" s="1" customFormat="1" ht="30" customHeight="1" x14ac:dyDescent="0.25">
      <c r="B7" s="25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9" t="s">
        <v>4</v>
      </c>
      <c r="AH7" s="10" t="s">
        <v>5</v>
      </c>
      <c r="AI7" s="10" t="s">
        <v>6</v>
      </c>
      <c r="AJ7" s="10" t="s">
        <v>7</v>
      </c>
    </row>
    <row r="8" spans="2:36" s="1" customFormat="1" ht="30" customHeight="1" x14ac:dyDescent="0.25">
      <c r="B8" s="27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6">
        <f>COUNTIF($C9:$AF9,"T")</f>
        <v>0</v>
      </c>
      <c r="AH8" s="15">
        <f>COUNTIF($C9:$AF9,"U")</f>
        <v>0</v>
      </c>
      <c r="AI8" s="15">
        <f>COUNTIF($C9:$AF9,"E")</f>
        <v>1</v>
      </c>
      <c r="AJ8" s="15">
        <f>COUNTIF($C9:$AF9,"P")</f>
        <v>29</v>
      </c>
    </row>
    <row r="9" spans="2:36" s="1" customFormat="1" ht="30" customHeight="1" x14ac:dyDescent="0.25">
      <c r="B9" s="28"/>
      <c r="C9" s="12" t="str">
        <f>INDEX(Table2[[1]:[30]],MATCH('Monthly Student Attendance'!$B$3,Attendance!$B$5:$B$22,0),MATCH('Monthly Student Attendance'!C8,Attendance!$C$4:$AF$4,0))</f>
        <v>P</v>
      </c>
      <c r="D9" s="12" t="str">
        <f>INDEX(Table2[[1]:[30]],MATCH('Monthly Student Attendance'!$B$3,Attendance!$B$5:$B$22,0),MATCH('Monthly Student Attendance'!D8,Attendance!$C$4:$AF$4,0))</f>
        <v>P</v>
      </c>
      <c r="E9" s="12" t="str">
        <f>INDEX(Table2[[1]:[30]],MATCH('Monthly Student Attendance'!$B$3,Attendance!$B$5:$B$22,0),MATCH('Monthly Student Attendance'!E8,Attendance!$C$4:$AF$4,0))</f>
        <v>P</v>
      </c>
      <c r="F9" s="12" t="str">
        <f>INDEX(Table2[[1]:[30]],MATCH('Monthly Student Attendance'!$B$3,Attendance!$B$5:$B$22,0),MATCH('Monthly Student Attendance'!F8,Attendance!$C$4:$AF$4,0))</f>
        <v>P</v>
      </c>
      <c r="G9" s="12" t="str">
        <f>INDEX(Table2[[1]:[30]],MATCH('Monthly Student Attendance'!$B$3,Attendance!$B$5:$B$22,0),MATCH('Monthly Student Attendance'!G8,Attendance!$C$4:$AF$4,0))</f>
        <v>P</v>
      </c>
      <c r="H9" s="12" t="str">
        <f>INDEX(Table2[[1]:[30]],MATCH('Monthly Student Attendance'!$B$3,Attendance!$B$5:$B$22,0),MATCH('Monthly Student Attendance'!H8,Attendance!$C$4:$AF$4,0))</f>
        <v>P</v>
      </c>
      <c r="I9" s="12" t="str">
        <f>INDEX(Table2[[1]:[30]],MATCH('Monthly Student Attendance'!$B$3,Attendance!$B$5:$B$22,0),MATCH('Monthly Student Attendance'!I8,Attendance!$C$4:$AF$4,0))</f>
        <v>P</v>
      </c>
      <c r="J9" s="12" t="str">
        <f>INDEX(Table2[[1]:[30]],MATCH('Monthly Student Attendance'!$B$3,Attendance!$B$5:$B$22,0),MATCH('Monthly Student Attendance'!J8,Attendance!$C$4:$AF$4,0))</f>
        <v>P</v>
      </c>
      <c r="K9" s="12" t="str">
        <f>INDEX(Table2[[1]:[30]],MATCH('Monthly Student Attendance'!$B$3,Attendance!$B$5:$B$22,0),MATCH('Monthly Student Attendance'!K8,Attendance!$C$4:$AF$4,0))</f>
        <v>P</v>
      </c>
      <c r="L9" s="12" t="str">
        <f>INDEX(Table2[[1]:[30]],MATCH('Monthly Student Attendance'!$B$3,Attendance!$B$5:$B$22,0),MATCH('Monthly Student Attendance'!L8,Attendance!$C$4:$AF$4,0))</f>
        <v>P</v>
      </c>
      <c r="M9" s="12" t="str">
        <f>INDEX(Table2[[1]:[30]],MATCH('Monthly Student Attendance'!$B$3,Attendance!$B$5:$B$22,0),MATCH('Monthly Student Attendance'!M8,Attendance!$C$4:$AF$4,0))</f>
        <v>P</v>
      </c>
      <c r="N9" s="12" t="str">
        <f>INDEX(Table2[[1]:[30]],MATCH('Monthly Student Attendance'!$B$3,Attendance!$B$5:$B$22,0),MATCH('Monthly Student Attendance'!N8,Attendance!$C$4:$AF$4,0))</f>
        <v>P</v>
      </c>
      <c r="O9" s="12" t="str">
        <f>INDEX(Table2[[1]:[30]],MATCH('Monthly Student Attendance'!$B$3,Attendance!$B$5:$B$22,0),MATCH('Monthly Student Attendance'!O8,Attendance!$C$4:$AF$4,0))</f>
        <v>P</v>
      </c>
      <c r="P9" s="12" t="str">
        <f>INDEX(Table2[[1]:[30]],MATCH('Monthly Student Attendance'!$B$3,Attendance!$B$5:$B$22,0),MATCH('Monthly Student Attendance'!P8,Attendance!$C$4:$AF$4,0))</f>
        <v>P</v>
      </c>
      <c r="Q9" s="12" t="str">
        <f>INDEX(Table2[[1]:[30]],MATCH('Monthly Student Attendance'!$B$3,Attendance!$B$5:$B$22,0),MATCH('Monthly Student Attendance'!Q8,Attendance!$C$4:$AF$4,0))</f>
        <v>P</v>
      </c>
      <c r="R9" s="12" t="str">
        <f>INDEX(Table2[[1]:[30]],MATCH('Monthly Student Attendance'!$B$3,Attendance!$B$5:$B$22,0),MATCH('Monthly Student Attendance'!R8,Attendance!$C$4:$AF$4,0))</f>
        <v>P</v>
      </c>
      <c r="S9" s="12" t="str">
        <f>INDEX(Table2[[1]:[30]],MATCH('Monthly Student Attendance'!$B$3,Attendance!$B$5:$B$22,0),MATCH('Monthly Student Attendance'!S8,Attendance!$C$4:$AF$4,0))</f>
        <v>P</v>
      </c>
      <c r="T9" s="12" t="str">
        <f>INDEX(Table2[[1]:[30]],MATCH('Monthly Student Attendance'!$B$3,Attendance!$B$5:$B$22,0),MATCH('Monthly Student Attendance'!T8,Attendance!$C$4:$AF$4,0))</f>
        <v>P</v>
      </c>
      <c r="U9" s="12" t="str">
        <f>INDEX(Table2[[1]:[30]],MATCH('Monthly Student Attendance'!$B$3,Attendance!$B$5:$B$22,0),MATCH('Monthly Student Attendance'!U8,Attendance!$C$4:$AF$4,0))</f>
        <v>P</v>
      </c>
      <c r="V9" s="12" t="str">
        <f>INDEX(Table2[[1]:[30]],MATCH('Monthly Student Attendance'!$B$3,Attendance!$B$5:$B$22,0),MATCH('Monthly Student Attendance'!V8,Attendance!$C$4:$AF$4,0))</f>
        <v>P</v>
      </c>
      <c r="W9" s="12" t="str">
        <f>INDEX(Table2[[1]:[30]],MATCH('Monthly Student Attendance'!$B$3,Attendance!$B$5:$B$22,0),MATCH('Monthly Student Attendance'!W8,Attendance!$C$4:$AF$4,0))</f>
        <v>P</v>
      </c>
      <c r="X9" s="12" t="str">
        <f>INDEX(Table2[[1]:[30]],MATCH('Monthly Student Attendance'!$B$3,Attendance!$B$5:$B$22,0),MATCH('Monthly Student Attendance'!X8,Attendance!$C$4:$AF$4,0))</f>
        <v>P</v>
      </c>
      <c r="Y9" s="12" t="str">
        <f>INDEX(Table2[[1]:[30]],MATCH('Monthly Student Attendance'!$B$3,Attendance!$B$5:$B$22,0),MATCH('Monthly Student Attendance'!Y8,Attendance!$C$4:$AF$4,0))</f>
        <v>P</v>
      </c>
      <c r="Z9" s="12" t="str">
        <f>INDEX(Table2[[1]:[30]],MATCH('Monthly Student Attendance'!$B$3,Attendance!$B$5:$B$22,0),MATCH('Monthly Student Attendance'!Z8,Attendance!$C$4:$AF$4,0))</f>
        <v>P</v>
      </c>
      <c r="AA9" s="12" t="str">
        <f>INDEX(Table2[[1]:[30]],MATCH('Monthly Student Attendance'!$B$3,Attendance!$B$5:$B$22,0),MATCH('Monthly Student Attendance'!AA8,Attendance!$C$4:$AF$4,0))</f>
        <v>P</v>
      </c>
      <c r="AB9" s="12" t="str">
        <f>INDEX(Table2[[1]:[30]],MATCH('Monthly Student Attendance'!$B$3,Attendance!$B$5:$B$22,0),MATCH('Monthly Student Attendance'!AB8,Attendance!$C$4:$AF$4,0))</f>
        <v>E</v>
      </c>
      <c r="AC9" s="12" t="str">
        <f>INDEX(Table2[[1]:[30]],MATCH('Monthly Student Attendance'!$B$3,Attendance!$B$5:$B$22,0),MATCH('Monthly Student Attendance'!AC8,Attendance!$C$4:$AF$4,0))</f>
        <v>P</v>
      </c>
      <c r="AD9" s="12" t="str">
        <f>INDEX(Table2[[1]:[30]],MATCH('Monthly Student Attendance'!$B$3,Attendance!$B$5:$B$22,0),MATCH('Monthly Student Attendance'!AD8,Attendance!$C$4:$AF$4,0))</f>
        <v>P</v>
      </c>
      <c r="AE9" s="12" t="str">
        <f>INDEX(Table2[[1]:[30]],MATCH('Monthly Student Attendance'!$B$3,Attendance!$B$5:$B$22,0),MATCH('Monthly Student Attendance'!AE8,Attendance!$C$4:$AF$4,0))</f>
        <v>P</v>
      </c>
      <c r="AF9" s="12" t="str">
        <f>INDEX(Table2[[1]:[30]],MATCH('Monthly Student Attendance'!$B$3,Attendance!$B$5:$B$22,0),MATCH('Monthly Student Attendance'!AF8,Attendance!$C$4:$AF$4,0))</f>
        <v>P</v>
      </c>
      <c r="AG9" s="16"/>
      <c r="AH9" s="15"/>
      <c r="AI9" s="15"/>
      <c r="AJ9" s="15"/>
    </row>
    <row r="10" spans="2:36" ht="30" customHeight="1" x14ac:dyDescent="0.25">
      <c r="C10" t="e" cm="1">
        <f t="array" ref="C10:K10">INDEX(Table2[#All],MATCH('Monthly Student Attendance'!$B$3:$J$3,Table2[#All],0))</f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B1:R1"/>
    <mergeCell ref="AH2:AJ2"/>
    <mergeCell ref="AH3:AJ3"/>
    <mergeCell ref="B2:J2"/>
    <mergeCell ref="B3:J3"/>
    <mergeCell ref="W2:AD2"/>
    <mergeCell ref="W3:AD3"/>
    <mergeCell ref="P2:R2"/>
    <mergeCell ref="S2:V2"/>
    <mergeCell ref="S3:V3"/>
    <mergeCell ref="K2:O2"/>
    <mergeCell ref="K3:O3"/>
    <mergeCell ref="AE2:AG2"/>
    <mergeCell ref="AE3:AG3"/>
    <mergeCell ref="P3:R3"/>
    <mergeCell ref="AJ8:AJ9"/>
    <mergeCell ref="AG8:AG9"/>
    <mergeCell ref="K4:V4"/>
    <mergeCell ref="K5:V5"/>
    <mergeCell ref="W5:AD5"/>
    <mergeCell ref="W4:AD4"/>
    <mergeCell ref="AG6:AJ6"/>
    <mergeCell ref="AE5:AJ5"/>
    <mergeCell ref="AE4:AJ4"/>
    <mergeCell ref="B6:AF7"/>
    <mergeCell ref="AH8:AH9"/>
    <mergeCell ref="AI8:AI9"/>
    <mergeCell ref="B8:B9"/>
    <mergeCell ref="B4:J4"/>
    <mergeCell ref="B5:J5"/>
  </mergeCells>
  <phoneticPr fontId="1" type="noConversion"/>
  <conditionalFormatting sqref="C9:AF9">
    <cfRule type="cellIs" dxfId="79" priority="1" operator="equal">
      <formula>"U"</formula>
    </cfRule>
    <cfRule type="cellIs" dxfId="78" priority="2" operator="equal">
      <formula>"E"</formula>
    </cfRule>
    <cfRule type="cellIs" dxfId="77" priority="3" operator="equal">
      <formula>"T"</formula>
    </cfRule>
    <cfRule type="cellIs" dxfId="76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  <ignoredErrors>
    <ignoredError sqref="K3:AJ5 B5" unlockedFormula="1"/>
    <ignoredError sqref="C8:AF8" numberStoredAsText="1"/>
    <ignoredError sqref="C9:AF9" numberStoredAsText="1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57547-D721-47DE-AD16-FB821A2BFCF0}">
  <sheetPr codeName="Sheet22">
    <tabColor indexed="41"/>
    <pageSetUpPr fitToPage="1"/>
  </sheetPr>
  <dimension ref="B1:AJ10"/>
  <sheetViews>
    <sheetView showGridLines="0" zoomScale="90" zoomScaleNormal="90" workbookViewId="0">
      <selection activeCell="P3" sqref="P3:R3"/>
    </sheetView>
  </sheetViews>
  <sheetFormatPr defaultColWidth="9" defaultRowHeight="30" customHeight="1" x14ac:dyDescent="0.25"/>
  <cols>
    <col min="1" max="1" width="2.625" style="2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style="2" customWidth="1"/>
    <col min="38" max="16384" width="9" style="2"/>
  </cols>
  <sheetData>
    <row r="1" spans="2:36" s="1" customFormat="1" ht="38.1" customHeight="1" x14ac:dyDescent="0.25">
      <c r="B1" s="35" t="s">
        <v>14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</row>
    <row r="2" spans="2:36" s="1" customFormat="1" ht="30" customHeight="1" x14ac:dyDescent="0.25">
      <c r="B2" s="29" t="s">
        <v>8</v>
      </c>
      <c r="C2" s="30"/>
      <c r="D2" s="30"/>
      <c r="E2" s="30"/>
      <c r="F2" s="30"/>
      <c r="G2" s="30"/>
      <c r="H2" s="30"/>
      <c r="I2" s="30"/>
      <c r="J2" s="31"/>
      <c r="K2" s="17" t="s">
        <v>10</v>
      </c>
      <c r="L2" s="17"/>
      <c r="M2" s="17"/>
      <c r="N2" s="17"/>
      <c r="O2" s="17"/>
      <c r="P2" s="17" t="s">
        <v>12</v>
      </c>
      <c r="Q2" s="17"/>
      <c r="R2" s="17"/>
      <c r="S2" s="17" t="s">
        <v>9</v>
      </c>
      <c r="T2" s="17"/>
      <c r="U2" s="17"/>
      <c r="V2" s="17"/>
      <c r="W2" s="17" t="s">
        <v>1</v>
      </c>
      <c r="X2" s="17"/>
      <c r="Y2" s="17"/>
      <c r="Z2" s="17"/>
      <c r="AA2" s="17"/>
      <c r="AB2" s="17"/>
      <c r="AC2" s="17"/>
      <c r="AD2" s="17"/>
      <c r="AE2" s="41" t="s">
        <v>0</v>
      </c>
      <c r="AF2" s="42"/>
      <c r="AG2" s="43"/>
      <c r="AH2" s="36" t="s">
        <v>2</v>
      </c>
      <c r="AI2" s="37"/>
      <c r="AJ2" s="38"/>
    </row>
    <row r="3" spans="2:36" s="1" customFormat="1" ht="30" customHeight="1" x14ac:dyDescent="0.25">
      <c r="B3" s="32" t="s">
        <v>16</v>
      </c>
      <c r="C3" s="33"/>
      <c r="D3" s="33"/>
      <c r="E3" s="33"/>
      <c r="F3" s="33"/>
      <c r="G3" s="33"/>
      <c r="H3" s="33"/>
      <c r="I3" s="33"/>
      <c r="J3" s="34"/>
      <c r="K3" s="18" t="str">
        <f>VLOOKUP(B3,Students[],3,0)</f>
        <v>ED15</v>
      </c>
      <c r="L3" s="18"/>
      <c r="M3" s="18"/>
      <c r="N3" s="18"/>
      <c r="O3" s="18"/>
      <c r="P3" s="18" t="str">
        <f>VLOOKUP(B3,Students[],2,0)</f>
        <v>Male</v>
      </c>
      <c r="Q3" s="18"/>
      <c r="R3" s="18"/>
      <c r="S3" s="40">
        <f>VLOOKUP(B3,Students[],4,0)</f>
        <v>38275</v>
      </c>
      <c r="T3" s="40"/>
      <c r="U3" s="40"/>
      <c r="V3" s="40"/>
      <c r="W3" s="18" t="s">
        <v>129</v>
      </c>
      <c r="X3" s="18"/>
      <c r="Y3" s="18"/>
      <c r="Z3" s="18"/>
      <c r="AA3" s="18"/>
      <c r="AB3" s="18"/>
      <c r="AC3" s="18"/>
      <c r="AD3" s="18"/>
      <c r="AE3" s="44">
        <f>VLOOKUP(B3,Students[],5,0)</f>
        <v>9</v>
      </c>
      <c r="AF3" s="45"/>
      <c r="AG3" s="45"/>
      <c r="AH3" s="39">
        <f>VLOOKUP(B3,Students[],6,0)</f>
        <v>4</v>
      </c>
      <c r="AI3" s="39"/>
      <c r="AJ3" s="39"/>
    </row>
    <row r="4" spans="2:36" s="1" customFormat="1" ht="30" customHeight="1" x14ac:dyDescent="0.25">
      <c r="B4" s="29" t="s">
        <v>70</v>
      </c>
      <c r="C4" s="30"/>
      <c r="D4" s="30"/>
      <c r="E4" s="30"/>
      <c r="F4" s="30"/>
      <c r="G4" s="30"/>
      <c r="H4" s="30"/>
      <c r="I4" s="30"/>
      <c r="J4" s="31"/>
      <c r="K4" s="17" t="s">
        <v>71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 t="s">
        <v>72</v>
      </c>
      <c r="X4" s="17"/>
      <c r="Y4" s="17"/>
      <c r="Z4" s="17"/>
      <c r="AA4" s="17"/>
      <c r="AB4" s="17"/>
      <c r="AC4" s="17"/>
      <c r="AD4" s="17"/>
      <c r="AE4" s="17" t="s">
        <v>73</v>
      </c>
      <c r="AF4" s="17"/>
      <c r="AG4" s="17"/>
      <c r="AH4" s="22"/>
      <c r="AI4" s="22"/>
      <c r="AJ4" s="22"/>
    </row>
    <row r="5" spans="2:36" s="1" customFormat="1" ht="30" customHeight="1" x14ac:dyDescent="0.25">
      <c r="B5" s="32" t="str">
        <f>VLOOKUP(B3,Students[],7,0)</f>
        <v>Mohammad</v>
      </c>
      <c r="C5" s="33"/>
      <c r="D5" s="33"/>
      <c r="E5" s="33"/>
      <c r="F5" s="33"/>
      <c r="G5" s="33"/>
      <c r="H5" s="33"/>
      <c r="I5" s="33"/>
      <c r="J5" s="34"/>
      <c r="K5" s="18" t="str">
        <f>VLOOKUP(B3,Students[],8,0)</f>
        <v>Fathya</v>
      </c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9">
        <f>VLOOKUP(B3,Students[],9,0)</f>
        <v>5586944362</v>
      </c>
      <c r="X5" s="19"/>
      <c r="Y5" s="19"/>
      <c r="Z5" s="19"/>
      <c r="AA5" s="19"/>
      <c r="AB5" s="19"/>
      <c r="AC5" s="19"/>
      <c r="AD5" s="19"/>
      <c r="AE5" s="19" t="str">
        <f>VLOOKUP(B3,Students[],10,0)</f>
        <v>Isteklal Street</v>
      </c>
      <c r="AF5" s="19"/>
      <c r="AG5" s="19"/>
      <c r="AH5" s="19"/>
      <c r="AI5" s="19"/>
      <c r="AJ5" s="19"/>
    </row>
    <row r="6" spans="2:36" s="1" customFormat="1" ht="30" customHeight="1" x14ac:dyDescent="0.25">
      <c r="B6" s="23" t="s">
        <v>11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0" t="s">
        <v>3</v>
      </c>
      <c r="AH6" s="21"/>
      <c r="AI6" s="21"/>
      <c r="AJ6" s="21"/>
    </row>
    <row r="7" spans="2:36" s="1" customFormat="1" ht="30" customHeight="1" x14ac:dyDescent="0.25">
      <c r="B7" s="25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9" t="s">
        <v>4</v>
      </c>
      <c r="AH7" s="10" t="s">
        <v>5</v>
      </c>
      <c r="AI7" s="10" t="s">
        <v>6</v>
      </c>
      <c r="AJ7" s="10" t="s">
        <v>7</v>
      </c>
    </row>
    <row r="8" spans="2:36" s="1" customFormat="1" ht="30" customHeight="1" x14ac:dyDescent="0.25">
      <c r="B8" s="27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6">
        <f>COUNTIF($C9:$AF9,"T")</f>
        <v>0</v>
      </c>
      <c r="AH8" s="15">
        <f>COUNTIF($C9:$AF9,"U")</f>
        <v>0</v>
      </c>
      <c r="AI8" s="15">
        <f>COUNTIF($C9:$AF9,"E")</f>
        <v>1</v>
      </c>
      <c r="AJ8" s="15">
        <f>COUNTIF($C9:$AF9,"P")</f>
        <v>29</v>
      </c>
    </row>
    <row r="9" spans="2:36" s="1" customFormat="1" ht="30" customHeight="1" x14ac:dyDescent="0.25">
      <c r="B9" s="28"/>
      <c r="C9" s="12" t="str">
        <f>INDEX(Table2[[1]:[30]],MATCH('Monthly Student Attendance (2)'!$B$3,Attendance!$B$5:$B$22,0),MATCH('Monthly Student Attendance (2)'!C8,Attendance!$C$4:$AF$4,0))</f>
        <v>P</v>
      </c>
      <c r="D9" s="12" t="str">
        <f>INDEX(Table2[[1]:[30]],MATCH('Monthly Student Attendance (2)'!$B$3,Attendance!$B$5:$B$22,0),MATCH('Monthly Student Attendance (2)'!D8,Attendance!$C$4:$AF$4,0))</f>
        <v>P</v>
      </c>
      <c r="E9" s="12" t="str">
        <f>INDEX(Table2[[1]:[30]],MATCH('Monthly Student Attendance (2)'!$B$3,Attendance!$B$5:$B$22,0),MATCH('Monthly Student Attendance (2)'!E8,Attendance!$C$4:$AF$4,0))</f>
        <v>P</v>
      </c>
      <c r="F9" s="12" t="str">
        <f>INDEX(Table2[[1]:[30]],MATCH('Monthly Student Attendance (2)'!$B$3,Attendance!$B$5:$B$22,0),MATCH('Monthly Student Attendance (2)'!F8,Attendance!$C$4:$AF$4,0))</f>
        <v>P</v>
      </c>
      <c r="G9" s="12" t="str">
        <f>INDEX(Table2[[1]:[30]],MATCH('Monthly Student Attendance (2)'!$B$3,Attendance!$B$5:$B$22,0),MATCH('Monthly Student Attendance (2)'!G8,Attendance!$C$4:$AF$4,0))</f>
        <v>P</v>
      </c>
      <c r="H9" s="12" t="str">
        <f>INDEX(Table2[[1]:[30]],MATCH('Monthly Student Attendance (2)'!$B$3,Attendance!$B$5:$B$22,0),MATCH('Monthly Student Attendance (2)'!H8,Attendance!$C$4:$AF$4,0))</f>
        <v>P</v>
      </c>
      <c r="I9" s="12" t="str">
        <f>INDEX(Table2[[1]:[30]],MATCH('Monthly Student Attendance (2)'!$B$3,Attendance!$B$5:$B$22,0),MATCH('Monthly Student Attendance (2)'!I8,Attendance!$C$4:$AF$4,0))</f>
        <v>P</v>
      </c>
      <c r="J9" s="12" t="str">
        <f>INDEX(Table2[[1]:[30]],MATCH('Monthly Student Attendance (2)'!$B$3,Attendance!$B$5:$B$22,0),MATCH('Monthly Student Attendance (2)'!J8,Attendance!$C$4:$AF$4,0))</f>
        <v>P</v>
      </c>
      <c r="K9" s="12" t="str">
        <f>INDEX(Table2[[1]:[30]],MATCH('Monthly Student Attendance (2)'!$B$3,Attendance!$B$5:$B$22,0),MATCH('Monthly Student Attendance (2)'!K8,Attendance!$C$4:$AF$4,0))</f>
        <v>P</v>
      </c>
      <c r="L9" s="12" t="str">
        <f>INDEX(Table2[[1]:[30]],MATCH('Monthly Student Attendance (2)'!$B$3,Attendance!$B$5:$B$22,0),MATCH('Monthly Student Attendance (2)'!L8,Attendance!$C$4:$AF$4,0))</f>
        <v>P</v>
      </c>
      <c r="M9" s="12" t="str">
        <f>INDEX(Table2[[1]:[30]],MATCH('Monthly Student Attendance (2)'!$B$3,Attendance!$B$5:$B$22,0),MATCH('Monthly Student Attendance (2)'!M8,Attendance!$C$4:$AF$4,0))</f>
        <v>P</v>
      </c>
      <c r="N9" s="12" t="str">
        <f>INDEX(Table2[[1]:[30]],MATCH('Monthly Student Attendance (2)'!$B$3,Attendance!$B$5:$B$22,0),MATCH('Monthly Student Attendance (2)'!N8,Attendance!$C$4:$AF$4,0))</f>
        <v>P</v>
      </c>
      <c r="O9" s="12" t="str">
        <f>INDEX(Table2[[1]:[30]],MATCH('Monthly Student Attendance (2)'!$B$3,Attendance!$B$5:$B$22,0),MATCH('Monthly Student Attendance (2)'!O8,Attendance!$C$4:$AF$4,0))</f>
        <v>P</v>
      </c>
      <c r="P9" s="12" t="str">
        <f>INDEX(Table2[[1]:[30]],MATCH('Monthly Student Attendance (2)'!$B$3,Attendance!$B$5:$B$22,0),MATCH('Monthly Student Attendance (2)'!P8,Attendance!$C$4:$AF$4,0))</f>
        <v>P</v>
      </c>
      <c r="Q9" s="12" t="str">
        <f>INDEX(Table2[[1]:[30]],MATCH('Monthly Student Attendance (2)'!$B$3,Attendance!$B$5:$B$22,0),MATCH('Monthly Student Attendance (2)'!Q8,Attendance!$C$4:$AF$4,0))</f>
        <v>P</v>
      </c>
      <c r="R9" s="12" t="str">
        <f>INDEX(Table2[[1]:[30]],MATCH('Monthly Student Attendance (2)'!$B$3,Attendance!$B$5:$B$22,0),MATCH('Monthly Student Attendance (2)'!R8,Attendance!$C$4:$AF$4,0))</f>
        <v>P</v>
      </c>
      <c r="S9" s="12" t="str">
        <f>INDEX(Table2[[1]:[30]],MATCH('Monthly Student Attendance (2)'!$B$3,Attendance!$B$5:$B$22,0),MATCH('Monthly Student Attendance (2)'!S8,Attendance!$C$4:$AF$4,0))</f>
        <v>P</v>
      </c>
      <c r="T9" s="12" t="str">
        <f>INDEX(Table2[[1]:[30]],MATCH('Monthly Student Attendance (2)'!$B$3,Attendance!$B$5:$B$22,0),MATCH('Monthly Student Attendance (2)'!T8,Attendance!$C$4:$AF$4,0))</f>
        <v>P</v>
      </c>
      <c r="U9" s="12" t="str">
        <f>INDEX(Table2[[1]:[30]],MATCH('Monthly Student Attendance (2)'!$B$3,Attendance!$B$5:$B$22,0),MATCH('Monthly Student Attendance (2)'!U8,Attendance!$C$4:$AF$4,0))</f>
        <v>P</v>
      </c>
      <c r="V9" s="12" t="str">
        <f>INDEX(Table2[[1]:[30]],MATCH('Monthly Student Attendance (2)'!$B$3,Attendance!$B$5:$B$22,0),MATCH('Monthly Student Attendance (2)'!V8,Attendance!$C$4:$AF$4,0))</f>
        <v>P</v>
      </c>
      <c r="W9" s="12" t="str">
        <f>INDEX(Table2[[1]:[30]],MATCH('Monthly Student Attendance (2)'!$B$3,Attendance!$B$5:$B$22,0),MATCH('Monthly Student Attendance (2)'!W8,Attendance!$C$4:$AF$4,0))</f>
        <v>P</v>
      </c>
      <c r="X9" s="12" t="str">
        <f>INDEX(Table2[[1]:[30]],MATCH('Monthly Student Attendance (2)'!$B$3,Attendance!$B$5:$B$22,0),MATCH('Monthly Student Attendance (2)'!X8,Attendance!$C$4:$AF$4,0))</f>
        <v>P</v>
      </c>
      <c r="Y9" s="12" t="str">
        <f>INDEX(Table2[[1]:[30]],MATCH('Monthly Student Attendance (2)'!$B$3,Attendance!$B$5:$B$22,0),MATCH('Monthly Student Attendance (2)'!Y8,Attendance!$C$4:$AF$4,0))</f>
        <v>P</v>
      </c>
      <c r="Z9" s="12" t="str">
        <f>INDEX(Table2[[1]:[30]],MATCH('Monthly Student Attendance (2)'!$B$3,Attendance!$B$5:$B$22,0),MATCH('Monthly Student Attendance (2)'!Z8,Attendance!$C$4:$AF$4,0))</f>
        <v>P</v>
      </c>
      <c r="AA9" s="12" t="str">
        <f>INDEX(Table2[[1]:[30]],MATCH('Monthly Student Attendance (2)'!$B$3,Attendance!$B$5:$B$22,0),MATCH('Monthly Student Attendance (2)'!AA8,Attendance!$C$4:$AF$4,0))</f>
        <v>P</v>
      </c>
      <c r="AB9" s="12" t="str">
        <f>INDEX(Table2[[1]:[30]],MATCH('Monthly Student Attendance (2)'!$B$3,Attendance!$B$5:$B$22,0),MATCH('Monthly Student Attendance (2)'!AB8,Attendance!$C$4:$AF$4,0))</f>
        <v>E</v>
      </c>
      <c r="AC9" s="12" t="str">
        <f>INDEX(Table2[[1]:[30]],MATCH('Monthly Student Attendance (2)'!$B$3,Attendance!$B$5:$B$22,0),MATCH('Monthly Student Attendance (2)'!AC8,Attendance!$C$4:$AF$4,0))</f>
        <v>P</v>
      </c>
      <c r="AD9" s="12" t="str">
        <f>INDEX(Table2[[1]:[30]],MATCH('Monthly Student Attendance (2)'!$B$3,Attendance!$B$5:$B$22,0),MATCH('Monthly Student Attendance (2)'!AD8,Attendance!$C$4:$AF$4,0))</f>
        <v>P</v>
      </c>
      <c r="AE9" s="12" t="str">
        <f>INDEX(Table2[[1]:[30]],MATCH('Monthly Student Attendance (2)'!$B$3,Attendance!$B$5:$B$22,0),MATCH('Monthly Student Attendance (2)'!AE8,Attendance!$C$4:$AF$4,0))</f>
        <v>P</v>
      </c>
      <c r="AF9" s="12" t="str">
        <f>INDEX(Table2[[1]:[30]],MATCH('Monthly Student Attendance (2)'!$B$3,Attendance!$B$5:$B$22,0),MATCH('Monthly Student Attendance (2)'!AF8,Attendance!$C$4:$AF$4,0))</f>
        <v>P</v>
      </c>
      <c r="AG9" s="16"/>
      <c r="AH9" s="15"/>
      <c r="AI9" s="15"/>
      <c r="AJ9" s="15"/>
    </row>
    <row r="10" spans="2:36" ht="30" customHeight="1" x14ac:dyDescent="0.25">
      <c r="C10" t="e" cm="1">
        <f t="array" ref="C10:K10">INDEX(Table2[#All],MATCH('Monthly Student Attendance (2)'!$B$3:$J$3,Table2[#All],0))</f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B6:AF7"/>
    <mergeCell ref="AG6:AJ6"/>
    <mergeCell ref="B8:B9"/>
    <mergeCell ref="AG8:AG9"/>
    <mergeCell ref="AH8:AH9"/>
    <mergeCell ref="AI8:AI9"/>
    <mergeCell ref="AJ8:AJ9"/>
    <mergeCell ref="B4:J4"/>
    <mergeCell ref="K4:V4"/>
    <mergeCell ref="W4:AD4"/>
    <mergeCell ref="AE4:AJ4"/>
    <mergeCell ref="B5:J5"/>
    <mergeCell ref="K5:V5"/>
    <mergeCell ref="W5:AD5"/>
    <mergeCell ref="AE5:AJ5"/>
    <mergeCell ref="AE2:AG2"/>
    <mergeCell ref="AH2:AJ2"/>
    <mergeCell ref="B3:J3"/>
    <mergeCell ref="K3:O3"/>
    <mergeCell ref="P3:R3"/>
    <mergeCell ref="S3:V3"/>
    <mergeCell ref="W3:AD3"/>
    <mergeCell ref="AE3:AG3"/>
    <mergeCell ref="AH3:AJ3"/>
    <mergeCell ref="B1:R1"/>
    <mergeCell ref="B2:J2"/>
    <mergeCell ref="K2:O2"/>
    <mergeCell ref="P2:R2"/>
    <mergeCell ref="S2:V2"/>
    <mergeCell ref="W2:AD2"/>
  </mergeCells>
  <conditionalFormatting sqref="C9:AF9">
    <cfRule type="cellIs" dxfId="3" priority="1" operator="equal">
      <formula>"U"</formula>
    </cfRule>
    <cfRule type="cellIs" dxfId="2" priority="2" operator="equal">
      <formula>"E"</formula>
    </cfRule>
    <cfRule type="cellIs" dxfId="1" priority="3" operator="equal">
      <formula>"T"</formula>
    </cfRule>
    <cfRule type="cellIs" dxfId="0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870CC-BE3B-4AA7-B9D3-5225F4703EED}">
  <sheetPr codeName="Sheet21">
    <tabColor indexed="41"/>
    <pageSetUpPr fitToPage="1"/>
  </sheetPr>
  <dimension ref="B1:AJ10"/>
  <sheetViews>
    <sheetView showGridLines="0" zoomScale="90" zoomScaleNormal="90" workbookViewId="0">
      <selection activeCell="P3" sqref="P3:R3"/>
    </sheetView>
  </sheetViews>
  <sheetFormatPr defaultColWidth="9" defaultRowHeight="30" customHeight="1" x14ac:dyDescent="0.25"/>
  <cols>
    <col min="1" max="1" width="2.625" style="2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style="2" customWidth="1"/>
    <col min="38" max="16384" width="9" style="2"/>
  </cols>
  <sheetData>
    <row r="1" spans="2:36" s="1" customFormat="1" ht="38.1" customHeight="1" x14ac:dyDescent="0.25">
      <c r="B1" s="35" t="s">
        <v>14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</row>
    <row r="2" spans="2:36" s="1" customFormat="1" ht="30" customHeight="1" x14ac:dyDescent="0.25">
      <c r="B2" s="29" t="s">
        <v>8</v>
      </c>
      <c r="C2" s="30"/>
      <c r="D2" s="30"/>
      <c r="E2" s="30"/>
      <c r="F2" s="30"/>
      <c r="G2" s="30"/>
      <c r="H2" s="30"/>
      <c r="I2" s="30"/>
      <c r="J2" s="31"/>
      <c r="K2" s="17" t="s">
        <v>10</v>
      </c>
      <c r="L2" s="17"/>
      <c r="M2" s="17"/>
      <c r="N2" s="17"/>
      <c r="O2" s="17"/>
      <c r="P2" s="17" t="s">
        <v>12</v>
      </c>
      <c r="Q2" s="17"/>
      <c r="R2" s="17"/>
      <c r="S2" s="17" t="s">
        <v>9</v>
      </c>
      <c r="T2" s="17"/>
      <c r="U2" s="17"/>
      <c r="V2" s="17"/>
      <c r="W2" s="17" t="s">
        <v>1</v>
      </c>
      <c r="X2" s="17"/>
      <c r="Y2" s="17"/>
      <c r="Z2" s="17"/>
      <c r="AA2" s="17"/>
      <c r="AB2" s="17"/>
      <c r="AC2" s="17"/>
      <c r="AD2" s="17"/>
      <c r="AE2" s="41" t="s">
        <v>0</v>
      </c>
      <c r="AF2" s="42"/>
      <c r="AG2" s="43"/>
      <c r="AH2" s="36" t="s">
        <v>2</v>
      </c>
      <c r="AI2" s="37"/>
      <c r="AJ2" s="38"/>
    </row>
    <row r="3" spans="2:36" s="1" customFormat="1" ht="30" customHeight="1" x14ac:dyDescent="0.25">
      <c r="B3" s="32" t="s">
        <v>33</v>
      </c>
      <c r="C3" s="33"/>
      <c r="D3" s="33"/>
      <c r="E3" s="33"/>
      <c r="F3" s="33"/>
      <c r="G3" s="33"/>
      <c r="H3" s="33"/>
      <c r="I3" s="33"/>
      <c r="J3" s="34"/>
      <c r="K3" s="18" t="str">
        <f>VLOOKUP(B3,Students[],3,0)</f>
        <v>QQ98</v>
      </c>
      <c r="L3" s="18"/>
      <c r="M3" s="18"/>
      <c r="N3" s="18"/>
      <c r="O3" s="18"/>
      <c r="P3" s="18" t="str">
        <f>VLOOKUP(B3,Students[],2,0)</f>
        <v>Female</v>
      </c>
      <c r="Q3" s="18"/>
      <c r="R3" s="18"/>
      <c r="S3" s="40">
        <f>VLOOKUP(B3,Students[],4,0)</f>
        <v>38678</v>
      </c>
      <c r="T3" s="40"/>
      <c r="U3" s="40"/>
      <c r="V3" s="40"/>
      <c r="W3" s="18" t="s">
        <v>129</v>
      </c>
      <c r="X3" s="18"/>
      <c r="Y3" s="18"/>
      <c r="Z3" s="18"/>
      <c r="AA3" s="18"/>
      <c r="AB3" s="18"/>
      <c r="AC3" s="18"/>
      <c r="AD3" s="18"/>
      <c r="AE3" s="44">
        <f>VLOOKUP(B3,Students[],5,0)</f>
        <v>8</v>
      </c>
      <c r="AF3" s="45"/>
      <c r="AG3" s="45"/>
      <c r="AH3" s="39">
        <f>VLOOKUP(B3,Students[],6,0)</f>
        <v>4</v>
      </c>
      <c r="AI3" s="39"/>
      <c r="AJ3" s="39"/>
    </row>
    <row r="4" spans="2:36" s="1" customFormat="1" ht="30" customHeight="1" x14ac:dyDescent="0.25">
      <c r="B4" s="29" t="s">
        <v>70</v>
      </c>
      <c r="C4" s="30"/>
      <c r="D4" s="30"/>
      <c r="E4" s="30"/>
      <c r="F4" s="30"/>
      <c r="G4" s="30"/>
      <c r="H4" s="30"/>
      <c r="I4" s="30"/>
      <c r="J4" s="31"/>
      <c r="K4" s="17" t="s">
        <v>71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 t="s">
        <v>72</v>
      </c>
      <c r="X4" s="17"/>
      <c r="Y4" s="17"/>
      <c r="Z4" s="17"/>
      <c r="AA4" s="17"/>
      <c r="AB4" s="17"/>
      <c r="AC4" s="17"/>
      <c r="AD4" s="17"/>
      <c r="AE4" s="17" t="s">
        <v>73</v>
      </c>
      <c r="AF4" s="17"/>
      <c r="AG4" s="17"/>
      <c r="AH4" s="22"/>
      <c r="AI4" s="22"/>
      <c r="AJ4" s="22"/>
    </row>
    <row r="5" spans="2:36" s="1" customFormat="1" ht="30" customHeight="1" x14ac:dyDescent="0.25">
      <c r="B5" s="32" t="str">
        <f>VLOOKUP(B3,Students[],7,0)</f>
        <v>Anas</v>
      </c>
      <c r="C5" s="33"/>
      <c r="D5" s="33"/>
      <c r="E5" s="33"/>
      <c r="F5" s="33"/>
      <c r="G5" s="33"/>
      <c r="H5" s="33"/>
      <c r="I5" s="33"/>
      <c r="J5" s="34"/>
      <c r="K5" s="18" t="str">
        <f>VLOOKUP(B3,Students[],8,0)</f>
        <v>Andalus</v>
      </c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9">
        <f>VLOOKUP(B3,Students[],9,0)</f>
        <v>5893428042</v>
      </c>
      <c r="X5" s="19"/>
      <c r="Y5" s="19"/>
      <c r="Z5" s="19"/>
      <c r="AA5" s="19"/>
      <c r="AB5" s="19"/>
      <c r="AC5" s="19"/>
      <c r="AD5" s="19"/>
      <c r="AE5" s="19" t="str">
        <f>VLOOKUP(B3,Students[],10,0)</f>
        <v>Qahera Mah</v>
      </c>
      <c r="AF5" s="19"/>
      <c r="AG5" s="19"/>
      <c r="AH5" s="19"/>
      <c r="AI5" s="19"/>
      <c r="AJ5" s="19"/>
    </row>
    <row r="6" spans="2:36" s="1" customFormat="1" ht="30" customHeight="1" x14ac:dyDescent="0.25">
      <c r="B6" s="23" t="s">
        <v>11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0" t="s">
        <v>3</v>
      </c>
      <c r="AH6" s="21"/>
      <c r="AI6" s="21"/>
      <c r="AJ6" s="21"/>
    </row>
    <row r="7" spans="2:36" s="1" customFormat="1" ht="30" customHeight="1" x14ac:dyDescent="0.25">
      <c r="B7" s="25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9" t="s">
        <v>4</v>
      </c>
      <c r="AH7" s="10" t="s">
        <v>5</v>
      </c>
      <c r="AI7" s="10" t="s">
        <v>6</v>
      </c>
      <c r="AJ7" s="10" t="s">
        <v>7</v>
      </c>
    </row>
    <row r="8" spans="2:36" s="1" customFormat="1" ht="30" customHeight="1" x14ac:dyDescent="0.25">
      <c r="B8" s="27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6">
        <f>COUNTIF($C9:$AF9,"T")</f>
        <v>0</v>
      </c>
      <c r="AH8" s="15">
        <f>COUNTIF($C9:$AF9,"U")</f>
        <v>1</v>
      </c>
      <c r="AI8" s="15">
        <f>COUNTIF($C9:$AF9,"E")</f>
        <v>0</v>
      </c>
      <c r="AJ8" s="15">
        <f>COUNTIF($C9:$AF9,"P")</f>
        <v>29</v>
      </c>
    </row>
    <row r="9" spans="2:36" s="1" customFormat="1" ht="30" customHeight="1" x14ac:dyDescent="0.25">
      <c r="B9" s="28"/>
      <c r="C9" s="12" t="str">
        <f>INDEX(Table2[[1]:[30]],MATCH('Tabasheer Ayman'!$B$3,Attendance!$B$5:$B$22,0),MATCH('Tabasheer Ayman'!C8,Attendance!$C$4:$AF$4,0))</f>
        <v>P</v>
      </c>
      <c r="D9" s="12" t="str">
        <f>INDEX(Table2[[1]:[30]],MATCH('Tabasheer Ayman'!$B$3,Attendance!$B$5:$B$22,0),MATCH('Tabasheer Ayman'!D8,Attendance!$C$4:$AF$4,0))</f>
        <v>P</v>
      </c>
      <c r="E9" s="12" t="str">
        <f>INDEX(Table2[[1]:[30]],MATCH('Tabasheer Ayman'!$B$3,Attendance!$B$5:$B$22,0),MATCH('Tabasheer Ayman'!E8,Attendance!$C$4:$AF$4,0))</f>
        <v>P</v>
      </c>
      <c r="F9" s="12" t="str">
        <f>INDEX(Table2[[1]:[30]],MATCH('Tabasheer Ayman'!$B$3,Attendance!$B$5:$B$22,0),MATCH('Tabasheer Ayman'!F8,Attendance!$C$4:$AF$4,0))</f>
        <v>P</v>
      </c>
      <c r="G9" s="12" t="str">
        <f>INDEX(Table2[[1]:[30]],MATCH('Tabasheer Ayman'!$B$3,Attendance!$B$5:$B$22,0),MATCH('Tabasheer Ayman'!G8,Attendance!$C$4:$AF$4,0))</f>
        <v>P</v>
      </c>
      <c r="H9" s="12" t="str">
        <f>INDEX(Table2[[1]:[30]],MATCH('Tabasheer Ayman'!$B$3,Attendance!$B$5:$B$22,0),MATCH('Tabasheer Ayman'!H8,Attendance!$C$4:$AF$4,0))</f>
        <v>P</v>
      </c>
      <c r="I9" s="12" t="str">
        <f>INDEX(Table2[[1]:[30]],MATCH('Tabasheer Ayman'!$B$3,Attendance!$B$5:$B$22,0),MATCH('Tabasheer Ayman'!I8,Attendance!$C$4:$AF$4,0))</f>
        <v>P</v>
      </c>
      <c r="J9" s="12" t="str">
        <f>INDEX(Table2[[1]:[30]],MATCH('Tabasheer Ayman'!$B$3,Attendance!$B$5:$B$22,0),MATCH('Tabasheer Ayman'!J8,Attendance!$C$4:$AF$4,0))</f>
        <v>P</v>
      </c>
      <c r="K9" s="12" t="str">
        <f>INDEX(Table2[[1]:[30]],MATCH('Tabasheer Ayman'!$B$3,Attendance!$B$5:$B$22,0),MATCH('Tabasheer Ayman'!K8,Attendance!$C$4:$AF$4,0))</f>
        <v>P</v>
      </c>
      <c r="L9" s="12" t="str">
        <f>INDEX(Table2[[1]:[30]],MATCH('Tabasheer Ayman'!$B$3,Attendance!$B$5:$B$22,0),MATCH('Tabasheer Ayman'!L8,Attendance!$C$4:$AF$4,0))</f>
        <v>P</v>
      </c>
      <c r="M9" s="12" t="str">
        <f>INDEX(Table2[[1]:[30]],MATCH('Tabasheer Ayman'!$B$3,Attendance!$B$5:$B$22,0),MATCH('Tabasheer Ayman'!M8,Attendance!$C$4:$AF$4,0))</f>
        <v>P</v>
      </c>
      <c r="N9" s="12" t="str">
        <f>INDEX(Table2[[1]:[30]],MATCH('Tabasheer Ayman'!$B$3,Attendance!$B$5:$B$22,0),MATCH('Tabasheer Ayman'!N8,Attendance!$C$4:$AF$4,0))</f>
        <v>U</v>
      </c>
      <c r="O9" s="12" t="str">
        <f>INDEX(Table2[[1]:[30]],MATCH('Tabasheer Ayman'!$B$3,Attendance!$B$5:$B$22,0),MATCH('Tabasheer Ayman'!O8,Attendance!$C$4:$AF$4,0))</f>
        <v>P</v>
      </c>
      <c r="P9" s="12" t="str">
        <f>INDEX(Table2[[1]:[30]],MATCH('Tabasheer Ayman'!$B$3,Attendance!$B$5:$B$22,0),MATCH('Tabasheer Ayman'!P8,Attendance!$C$4:$AF$4,0))</f>
        <v>P</v>
      </c>
      <c r="Q9" s="12" t="str">
        <f>INDEX(Table2[[1]:[30]],MATCH('Tabasheer Ayman'!$B$3,Attendance!$B$5:$B$22,0),MATCH('Tabasheer Ayman'!Q8,Attendance!$C$4:$AF$4,0))</f>
        <v>P</v>
      </c>
      <c r="R9" s="12" t="str">
        <f>INDEX(Table2[[1]:[30]],MATCH('Tabasheer Ayman'!$B$3,Attendance!$B$5:$B$22,0),MATCH('Tabasheer Ayman'!R8,Attendance!$C$4:$AF$4,0))</f>
        <v>P</v>
      </c>
      <c r="S9" s="12" t="str">
        <f>INDEX(Table2[[1]:[30]],MATCH('Tabasheer Ayman'!$B$3,Attendance!$B$5:$B$22,0),MATCH('Tabasheer Ayman'!S8,Attendance!$C$4:$AF$4,0))</f>
        <v>P</v>
      </c>
      <c r="T9" s="12" t="str">
        <f>INDEX(Table2[[1]:[30]],MATCH('Tabasheer Ayman'!$B$3,Attendance!$B$5:$B$22,0),MATCH('Tabasheer Ayman'!T8,Attendance!$C$4:$AF$4,0))</f>
        <v>P</v>
      </c>
      <c r="U9" s="12" t="str">
        <f>INDEX(Table2[[1]:[30]],MATCH('Tabasheer Ayman'!$B$3,Attendance!$B$5:$B$22,0),MATCH('Tabasheer Ayman'!U8,Attendance!$C$4:$AF$4,0))</f>
        <v>P</v>
      </c>
      <c r="V9" s="12" t="str">
        <f>INDEX(Table2[[1]:[30]],MATCH('Tabasheer Ayman'!$B$3,Attendance!$B$5:$B$22,0),MATCH('Tabasheer Ayman'!V8,Attendance!$C$4:$AF$4,0))</f>
        <v>P</v>
      </c>
      <c r="W9" s="12" t="str">
        <f>INDEX(Table2[[1]:[30]],MATCH('Tabasheer Ayman'!$B$3,Attendance!$B$5:$B$22,0),MATCH('Tabasheer Ayman'!W8,Attendance!$C$4:$AF$4,0))</f>
        <v>P</v>
      </c>
      <c r="X9" s="12" t="str">
        <f>INDEX(Table2[[1]:[30]],MATCH('Tabasheer Ayman'!$B$3,Attendance!$B$5:$B$22,0),MATCH('Tabasheer Ayman'!X8,Attendance!$C$4:$AF$4,0))</f>
        <v>P</v>
      </c>
      <c r="Y9" s="12" t="str">
        <f>INDEX(Table2[[1]:[30]],MATCH('Tabasheer Ayman'!$B$3,Attendance!$B$5:$B$22,0),MATCH('Tabasheer Ayman'!Y8,Attendance!$C$4:$AF$4,0))</f>
        <v>P</v>
      </c>
      <c r="Z9" s="12" t="str">
        <f>INDEX(Table2[[1]:[30]],MATCH('Tabasheer Ayman'!$B$3,Attendance!$B$5:$B$22,0),MATCH('Tabasheer Ayman'!Z8,Attendance!$C$4:$AF$4,0))</f>
        <v>P</v>
      </c>
      <c r="AA9" s="12" t="str">
        <f>INDEX(Table2[[1]:[30]],MATCH('Tabasheer Ayman'!$B$3,Attendance!$B$5:$B$22,0),MATCH('Tabasheer Ayman'!AA8,Attendance!$C$4:$AF$4,0))</f>
        <v>P</v>
      </c>
      <c r="AB9" s="12" t="str">
        <f>INDEX(Table2[[1]:[30]],MATCH('Tabasheer Ayman'!$B$3,Attendance!$B$5:$B$22,0),MATCH('Tabasheer Ayman'!AB8,Attendance!$C$4:$AF$4,0))</f>
        <v>P</v>
      </c>
      <c r="AC9" s="12" t="str">
        <f>INDEX(Table2[[1]:[30]],MATCH('Tabasheer Ayman'!$B$3,Attendance!$B$5:$B$22,0),MATCH('Tabasheer Ayman'!AC8,Attendance!$C$4:$AF$4,0))</f>
        <v>P</v>
      </c>
      <c r="AD9" s="12" t="str">
        <f>INDEX(Table2[[1]:[30]],MATCH('Tabasheer Ayman'!$B$3,Attendance!$B$5:$B$22,0),MATCH('Tabasheer Ayman'!AD8,Attendance!$C$4:$AF$4,0))</f>
        <v>P</v>
      </c>
      <c r="AE9" s="12" t="str">
        <f>INDEX(Table2[[1]:[30]],MATCH('Tabasheer Ayman'!$B$3,Attendance!$B$5:$B$22,0),MATCH('Tabasheer Ayman'!AE8,Attendance!$C$4:$AF$4,0))</f>
        <v>P</v>
      </c>
      <c r="AF9" s="12" t="str">
        <f>INDEX(Table2[[1]:[30]],MATCH('Tabasheer Ayman'!$B$3,Attendance!$B$5:$B$22,0),MATCH('Tabasheer Ayman'!AF8,Attendance!$C$4:$AF$4,0))</f>
        <v>P</v>
      </c>
      <c r="AG9" s="16"/>
      <c r="AH9" s="15"/>
      <c r="AI9" s="15"/>
      <c r="AJ9" s="15"/>
    </row>
    <row r="10" spans="2:36" ht="30" customHeight="1" x14ac:dyDescent="0.25">
      <c r="C10" t="e" cm="1">
        <f t="array" ref="C10:K10">INDEX(Table2[#All],MATCH('Tabasheer Ayman'!$B$3:$J$3,Table2[#All],0))</f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B1:R1"/>
    <mergeCell ref="B2:J2"/>
    <mergeCell ref="K2:O2"/>
    <mergeCell ref="P2:R2"/>
    <mergeCell ref="S2:V2"/>
    <mergeCell ref="AE2:AG2"/>
    <mergeCell ref="AH2:AJ2"/>
    <mergeCell ref="B3:J3"/>
    <mergeCell ref="K3:O3"/>
    <mergeCell ref="P3:R3"/>
    <mergeCell ref="S3:V3"/>
    <mergeCell ref="W3:AD3"/>
    <mergeCell ref="AE3:AG3"/>
    <mergeCell ref="AH3:AJ3"/>
    <mergeCell ref="W2:AD2"/>
    <mergeCell ref="B4:J4"/>
    <mergeCell ref="K4:V4"/>
    <mergeCell ref="W4:AD4"/>
    <mergeCell ref="AE4:AJ4"/>
    <mergeCell ref="B5:J5"/>
    <mergeCell ref="K5:V5"/>
    <mergeCell ref="W5:AD5"/>
    <mergeCell ref="AE5:AJ5"/>
    <mergeCell ref="B6:AF7"/>
    <mergeCell ref="AG6:AJ6"/>
    <mergeCell ref="B8:B9"/>
    <mergeCell ref="AG8:AG9"/>
    <mergeCell ref="AH8:AH9"/>
    <mergeCell ref="AI8:AI9"/>
    <mergeCell ref="AJ8:AJ9"/>
  </mergeCells>
  <conditionalFormatting sqref="C9:AF9">
    <cfRule type="cellIs" dxfId="75" priority="1" operator="equal">
      <formula>"U"</formula>
    </cfRule>
    <cfRule type="cellIs" dxfId="74" priority="2" operator="equal">
      <formula>"E"</formula>
    </cfRule>
    <cfRule type="cellIs" dxfId="73" priority="3" operator="equal">
      <formula>"T"</formula>
    </cfRule>
    <cfRule type="cellIs" dxfId="72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80A15-BD3A-482B-B547-FEED24D1B2C2}">
  <sheetPr codeName="Sheet20">
    <tabColor indexed="41"/>
    <pageSetUpPr fitToPage="1"/>
  </sheetPr>
  <dimension ref="B1:AJ10"/>
  <sheetViews>
    <sheetView showGridLines="0" zoomScale="90" zoomScaleNormal="90" workbookViewId="0">
      <selection activeCell="P3" sqref="P3:R3"/>
    </sheetView>
  </sheetViews>
  <sheetFormatPr defaultColWidth="9" defaultRowHeight="30" customHeight="1" x14ac:dyDescent="0.25"/>
  <cols>
    <col min="1" max="1" width="2.625" style="2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style="2" customWidth="1"/>
    <col min="38" max="16384" width="9" style="2"/>
  </cols>
  <sheetData>
    <row r="1" spans="2:36" s="1" customFormat="1" ht="38.1" customHeight="1" x14ac:dyDescent="0.25">
      <c r="B1" s="35" t="s">
        <v>14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</row>
    <row r="2" spans="2:36" s="1" customFormat="1" ht="30" customHeight="1" x14ac:dyDescent="0.25">
      <c r="B2" s="29" t="s">
        <v>8</v>
      </c>
      <c r="C2" s="30"/>
      <c r="D2" s="30"/>
      <c r="E2" s="30"/>
      <c r="F2" s="30"/>
      <c r="G2" s="30"/>
      <c r="H2" s="30"/>
      <c r="I2" s="30"/>
      <c r="J2" s="31"/>
      <c r="K2" s="17" t="s">
        <v>10</v>
      </c>
      <c r="L2" s="17"/>
      <c r="M2" s="17"/>
      <c r="N2" s="17"/>
      <c r="O2" s="17"/>
      <c r="P2" s="17" t="s">
        <v>12</v>
      </c>
      <c r="Q2" s="17"/>
      <c r="R2" s="17"/>
      <c r="S2" s="17" t="s">
        <v>9</v>
      </c>
      <c r="T2" s="17"/>
      <c r="U2" s="17"/>
      <c r="V2" s="17"/>
      <c r="W2" s="17" t="s">
        <v>1</v>
      </c>
      <c r="X2" s="17"/>
      <c r="Y2" s="17"/>
      <c r="Z2" s="17"/>
      <c r="AA2" s="17"/>
      <c r="AB2" s="17"/>
      <c r="AC2" s="17"/>
      <c r="AD2" s="17"/>
      <c r="AE2" s="41" t="s">
        <v>0</v>
      </c>
      <c r="AF2" s="42"/>
      <c r="AG2" s="43"/>
      <c r="AH2" s="36" t="s">
        <v>2</v>
      </c>
      <c r="AI2" s="37"/>
      <c r="AJ2" s="38"/>
    </row>
    <row r="3" spans="2:36" s="1" customFormat="1" ht="30" customHeight="1" x14ac:dyDescent="0.25">
      <c r="B3" s="32" t="s">
        <v>17</v>
      </c>
      <c r="C3" s="33"/>
      <c r="D3" s="33"/>
      <c r="E3" s="33"/>
      <c r="F3" s="33"/>
      <c r="G3" s="33"/>
      <c r="H3" s="33"/>
      <c r="I3" s="33"/>
      <c r="J3" s="34"/>
      <c r="K3" s="18" t="str">
        <f>VLOOKUP(B3,Students[],3,0)</f>
        <v>WT86</v>
      </c>
      <c r="L3" s="18"/>
      <c r="M3" s="18"/>
      <c r="N3" s="18"/>
      <c r="O3" s="18"/>
      <c r="P3" s="18" t="str">
        <f>VLOOKUP(B3,Students[],2,0)</f>
        <v>Female</v>
      </c>
      <c r="Q3" s="18"/>
      <c r="R3" s="18"/>
      <c r="S3" s="40">
        <f>VLOOKUP(B3,Students[],4,0)</f>
        <v>38462</v>
      </c>
      <c r="T3" s="40"/>
      <c r="U3" s="40"/>
      <c r="V3" s="40"/>
      <c r="W3" s="18" t="s">
        <v>129</v>
      </c>
      <c r="X3" s="18"/>
      <c r="Y3" s="18"/>
      <c r="Z3" s="18"/>
      <c r="AA3" s="18"/>
      <c r="AB3" s="18"/>
      <c r="AC3" s="18"/>
      <c r="AD3" s="18"/>
      <c r="AE3" s="44">
        <f>VLOOKUP(B3,Students[],5,0)</f>
        <v>8</v>
      </c>
      <c r="AF3" s="45"/>
      <c r="AG3" s="45"/>
      <c r="AH3" s="39">
        <f>VLOOKUP(B3,Students[],6,0)</f>
        <v>1</v>
      </c>
      <c r="AI3" s="39"/>
      <c r="AJ3" s="39"/>
    </row>
    <row r="4" spans="2:36" s="1" customFormat="1" ht="30" customHeight="1" x14ac:dyDescent="0.25">
      <c r="B4" s="29" t="s">
        <v>70</v>
      </c>
      <c r="C4" s="30"/>
      <c r="D4" s="30"/>
      <c r="E4" s="30"/>
      <c r="F4" s="30"/>
      <c r="G4" s="30"/>
      <c r="H4" s="30"/>
      <c r="I4" s="30"/>
      <c r="J4" s="31"/>
      <c r="K4" s="17" t="s">
        <v>71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 t="s">
        <v>72</v>
      </c>
      <c r="X4" s="17"/>
      <c r="Y4" s="17"/>
      <c r="Z4" s="17"/>
      <c r="AA4" s="17"/>
      <c r="AB4" s="17"/>
      <c r="AC4" s="17"/>
      <c r="AD4" s="17"/>
      <c r="AE4" s="17" t="s">
        <v>73</v>
      </c>
      <c r="AF4" s="17"/>
      <c r="AG4" s="17"/>
      <c r="AH4" s="22"/>
      <c r="AI4" s="22"/>
      <c r="AJ4" s="22"/>
    </row>
    <row r="5" spans="2:36" s="1" customFormat="1" ht="30" customHeight="1" x14ac:dyDescent="0.25">
      <c r="B5" s="32" t="str">
        <f>VLOOKUP(B3,Students[],7,0)</f>
        <v>Ghanem</v>
      </c>
      <c r="C5" s="33"/>
      <c r="D5" s="33"/>
      <c r="E5" s="33"/>
      <c r="F5" s="33"/>
      <c r="G5" s="33"/>
      <c r="H5" s="33"/>
      <c r="I5" s="33"/>
      <c r="J5" s="34"/>
      <c r="K5" s="18" t="str">
        <f>VLOOKUP(B3,Students[],8,0)</f>
        <v>Sana</v>
      </c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9">
        <f>VLOOKUP(B3,Students[],9,0)</f>
        <v>5799055309</v>
      </c>
      <c r="X5" s="19"/>
      <c r="Y5" s="19"/>
      <c r="Z5" s="19"/>
      <c r="AA5" s="19"/>
      <c r="AB5" s="19"/>
      <c r="AC5" s="19"/>
      <c r="AD5" s="19"/>
      <c r="AE5" s="19" t="str">
        <f>VLOOKUP(B3,Students[],10,0)</f>
        <v>Dammam Street</v>
      </c>
      <c r="AF5" s="19"/>
      <c r="AG5" s="19"/>
      <c r="AH5" s="19"/>
      <c r="AI5" s="19"/>
      <c r="AJ5" s="19"/>
    </row>
    <row r="6" spans="2:36" s="1" customFormat="1" ht="30" customHeight="1" x14ac:dyDescent="0.25">
      <c r="B6" s="23" t="s">
        <v>11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0" t="s">
        <v>3</v>
      </c>
      <c r="AH6" s="21"/>
      <c r="AI6" s="21"/>
      <c r="AJ6" s="21"/>
    </row>
    <row r="7" spans="2:36" s="1" customFormat="1" ht="30" customHeight="1" x14ac:dyDescent="0.25">
      <c r="B7" s="25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9" t="s">
        <v>4</v>
      </c>
      <c r="AH7" s="10" t="s">
        <v>5</v>
      </c>
      <c r="AI7" s="10" t="s">
        <v>6</v>
      </c>
      <c r="AJ7" s="10" t="s">
        <v>7</v>
      </c>
    </row>
    <row r="8" spans="2:36" s="1" customFormat="1" ht="30" customHeight="1" x14ac:dyDescent="0.25">
      <c r="B8" s="27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6">
        <f>COUNTIF($C9:$AF9,"T")</f>
        <v>0</v>
      </c>
      <c r="AH8" s="15">
        <f>COUNTIF($C9:$AF9,"U")</f>
        <v>0</v>
      </c>
      <c r="AI8" s="15">
        <f>COUNTIF($C9:$AF9,"E")</f>
        <v>0</v>
      </c>
      <c r="AJ8" s="15">
        <f>COUNTIF($C9:$AF9,"P")</f>
        <v>30</v>
      </c>
    </row>
    <row r="9" spans="2:36" s="1" customFormat="1" ht="30" customHeight="1" x14ac:dyDescent="0.25">
      <c r="B9" s="28"/>
      <c r="C9" s="12" t="str">
        <f>INDEX(Table2[[1]:[30]],MATCH('Sawsam Ahmad'!$B$3,Attendance!$B$5:$B$22,0),MATCH('Sawsam Ahmad'!C8,Attendance!$C$4:$AF$4,0))</f>
        <v>P</v>
      </c>
      <c r="D9" s="12" t="str">
        <f>INDEX(Table2[[1]:[30]],MATCH('Sawsam Ahmad'!$B$3,Attendance!$B$5:$B$22,0),MATCH('Sawsam Ahmad'!D8,Attendance!$C$4:$AF$4,0))</f>
        <v>P</v>
      </c>
      <c r="E9" s="12" t="str">
        <f>INDEX(Table2[[1]:[30]],MATCH('Sawsam Ahmad'!$B$3,Attendance!$B$5:$B$22,0),MATCH('Sawsam Ahmad'!E8,Attendance!$C$4:$AF$4,0))</f>
        <v>P</v>
      </c>
      <c r="F9" s="12" t="str">
        <f>INDEX(Table2[[1]:[30]],MATCH('Sawsam Ahmad'!$B$3,Attendance!$B$5:$B$22,0),MATCH('Sawsam Ahmad'!F8,Attendance!$C$4:$AF$4,0))</f>
        <v>P</v>
      </c>
      <c r="G9" s="12" t="str">
        <f>INDEX(Table2[[1]:[30]],MATCH('Sawsam Ahmad'!$B$3,Attendance!$B$5:$B$22,0),MATCH('Sawsam Ahmad'!G8,Attendance!$C$4:$AF$4,0))</f>
        <v>P</v>
      </c>
      <c r="H9" s="12" t="str">
        <f>INDEX(Table2[[1]:[30]],MATCH('Sawsam Ahmad'!$B$3,Attendance!$B$5:$B$22,0),MATCH('Sawsam Ahmad'!H8,Attendance!$C$4:$AF$4,0))</f>
        <v>P</v>
      </c>
      <c r="I9" s="12" t="str">
        <f>INDEX(Table2[[1]:[30]],MATCH('Sawsam Ahmad'!$B$3,Attendance!$B$5:$B$22,0),MATCH('Sawsam Ahmad'!I8,Attendance!$C$4:$AF$4,0))</f>
        <v>P</v>
      </c>
      <c r="J9" s="12" t="str">
        <f>INDEX(Table2[[1]:[30]],MATCH('Sawsam Ahmad'!$B$3,Attendance!$B$5:$B$22,0),MATCH('Sawsam Ahmad'!J8,Attendance!$C$4:$AF$4,0))</f>
        <v>P</v>
      </c>
      <c r="K9" s="12" t="str">
        <f>INDEX(Table2[[1]:[30]],MATCH('Sawsam Ahmad'!$B$3,Attendance!$B$5:$B$22,0),MATCH('Sawsam Ahmad'!K8,Attendance!$C$4:$AF$4,0))</f>
        <v>P</v>
      </c>
      <c r="L9" s="12" t="str">
        <f>INDEX(Table2[[1]:[30]],MATCH('Sawsam Ahmad'!$B$3,Attendance!$B$5:$B$22,0),MATCH('Sawsam Ahmad'!L8,Attendance!$C$4:$AF$4,0))</f>
        <v>P</v>
      </c>
      <c r="M9" s="12" t="str">
        <f>INDEX(Table2[[1]:[30]],MATCH('Sawsam Ahmad'!$B$3,Attendance!$B$5:$B$22,0),MATCH('Sawsam Ahmad'!M8,Attendance!$C$4:$AF$4,0))</f>
        <v>P</v>
      </c>
      <c r="N9" s="12" t="str">
        <f>INDEX(Table2[[1]:[30]],MATCH('Sawsam Ahmad'!$B$3,Attendance!$B$5:$B$22,0),MATCH('Sawsam Ahmad'!N8,Attendance!$C$4:$AF$4,0))</f>
        <v>P</v>
      </c>
      <c r="O9" s="12" t="str">
        <f>INDEX(Table2[[1]:[30]],MATCH('Sawsam Ahmad'!$B$3,Attendance!$B$5:$B$22,0),MATCH('Sawsam Ahmad'!O8,Attendance!$C$4:$AF$4,0))</f>
        <v>P</v>
      </c>
      <c r="P9" s="12" t="str">
        <f>INDEX(Table2[[1]:[30]],MATCH('Sawsam Ahmad'!$B$3,Attendance!$B$5:$B$22,0),MATCH('Sawsam Ahmad'!P8,Attendance!$C$4:$AF$4,0))</f>
        <v>P</v>
      </c>
      <c r="Q9" s="12" t="str">
        <f>INDEX(Table2[[1]:[30]],MATCH('Sawsam Ahmad'!$B$3,Attendance!$B$5:$B$22,0),MATCH('Sawsam Ahmad'!Q8,Attendance!$C$4:$AF$4,0))</f>
        <v>P</v>
      </c>
      <c r="R9" s="12" t="str">
        <f>INDEX(Table2[[1]:[30]],MATCH('Sawsam Ahmad'!$B$3,Attendance!$B$5:$B$22,0),MATCH('Sawsam Ahmad'!R8,Attendance!$C$4:$AF$4,0))</f>
        <v>P</v>
      </c>
      <c r="S9" s="12" t="str">
        <f>INDEX(Table2[[1]:[30]],MATCH('Sawsam Ahmad'!$B$3,Attendance!$B$5:$B$22,0),MATCH('Sawsam Ahmad'!S8,Attendance!$C$4:$AF$4,0))</f>
        <v>P</v>
      </c>
      <c r="T9" s="12" t="str">
        <f>INDEX(Table2[[1]:[30]],MATCH('Sawsam Ahmad'!$B$3,Attendance!$B$5:$B$22,0),MATCH('Sawsam Ahmad'!T8,Attendance!$C$4:$AF$4,0))</f>
        <v>P</v>
      </c>
      <c r="U9" s="12" t="str">
        <f>INDEX(Table2[[1]:[30]],MATCH('Sawsam Ahmad'!$B$3,Attendance!$B$5:$B$22,0),MATCH('Sawsam Ahmad'!U8,Attendance!$C$4:$AF$4,0))</f>
        <v>P</v>
      </c>
      <c r="V9" s="12" t="str">
        <f>INDEX(Table2[[1]:[30]],MATCH('Sawsam Ahmad'!$B$3,Attendance!$B$5:$B$22,0),MATCH('Sawsam Ahmad'!V8,Attendance!$C$4:$AF$4,0))</f>
        <v>P</v>
      </c>
      <c r="W9" s="12" t="str">
        <f>INDEX(Table2[[1]:[30]],MATCH('Sawsam Ahmad'!$B$3,Attendance!$B$5:$B$22,0),MATCH('Sawsam Ahmad'!W8,Attendance!$C$4:$AF$4,0))</f>
        <v>P</v>
      </c>
      <c r="X9" s="12" t="str">
        <f>INDEX(Table2[[1]:[30]],MATCH('Sawsam Ahmad'!$B$3,Attendance!$B$5:$B$22,0),MATCH('Sawsam Ahmad'!X8,Attendance!$C$4:$AF$4,0))</f>
        <v>P</v>
      </c>
      <c r="Y9" s="12" t="str">
        <f>INDEX(Table2[[1]:[30]],MATCH('Sawsam Ahmad'!$B$3,Attendance!$B$5:$B$22,0),MATCH('Sawsam Ahmad'!Y8,Attendance!$C$4:$AF$4,0))</f>
        <v>P</v>
      </c>
      <c r="Z9" s="12" t="str">
        <f>INDEX(Table2[[1]:[30]],MATCH('Sawsam Ahmad'!$B$3,Attendance!$B$5:$B$22,0),MATCH('Sawsam Ahmad'!Z8,Attendance!$C$4:$AF$4,0))</f>
        <v>P</v>
      </c>
      <c r="AA9" s="12" t="str">
        <f>INDEX(Table2[[1]:[30]],MATCH('Sawsam Ahmad'!$B$3,Attendance!$B$5:$B$22,0),MATCH('Sawsam Ahmad'!AA8,Attendance!$C$4:$AF$4,0))</f>
        <v>P</v>
      </c>
      <c r="AB9" s="12" t="str">
        <f>INDEX(Table2[[1]:[30]],MATCH('Sawsam Ahmad'!$B$3,Attendance!$B$5:$B$22,0),MATCH('Sawsam Ahmad'!AB8,Attendance!$C$4:$AF$4,0))</f>
        <v>P</v>
      </c>
      <c r="AC9" s="12" t="str">
        <f>INDEX(Table2[[1]:[30]],MATCH('Sawsam Ahmad'!$B$3,Attendance!$B$5:$B$22,0),MATCH('Sawsam Ahmad'!AC8,Attendance!$C$4:$AF$4,0))</f>
        <v>P</v>
      </c>
      <c r="AD9" s="12" t="str">
        <f>INDEX(Table2[[1]:[30]],MATCH('Sawsam Ahmad'!$B$3,Attendance!$B$5:$B$22,0),MATCH('Sawsam Ahmad'!AD8,Attendance!$C$4:$AF$4,0))</f>
        <v>P</v>
      </c>
      <c r="AE9" s="12" t="str">
        <f>INDEX(Table2[[1]:[30]],MATCH('Sawsam Ahmad'!$B$3,Attendance!$B$5:$B$22,0),MATCH('Sawsam Ahmad'!AE8,Attendance!$C$4:$AF$4,0))</f>
        <v>P</v>
      </c>
      <c r="AF9" s="12" t="str">
        <f>INDEX(Table2[[1]:[30]],MATCH('Sawsam Ahmad'!$B$3,Attendance!$B$5:$B$22,0),MATCH('Sawsam Ahmad'!AF8,Attendance!$C$4:$AF$4,0))</f>
        <v>P</v>
      </c>
      <c r="AG9" s="16"/>
      <c r="AH9" s="15"/>
      <c r="AI9" s="15"/>
      <c r="AJ9" s="15"/>
    </row>
    <row r="10" spans="2:36" ht="30" customHeight="1" x14ac:dyDescent="0.25">
      <c r="C10" t="e" cm="1">
        <f t="array" ref="C10:K10">INDEX(Table2[#All],MATCH('Sawsam Ahmad'!$B$3:$J$3,Table2[#All],0))</f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B1:R1"/>
    <mergeCell ref="B2:J2"/>
    <mergeCell ref="K2:O2"/>
    <mergeCell ref="P2:R2"/>
    <mergeCell ref="S2:V2"/>
    <mergeCell ref="AE2:AG2"/>
    <mergeCell ref="AH2:AJ2"/>
    <mergeCell ref="B3:J3"/>
    <mergeCell ref="K3:O3"/>
    <mergeCell ref="P3:R3"/>
    <mergeCell ref="S3:V3"/>
    <mergeCell ref="W3:AD3"/>
    <mergeCell ref="AE3:AG3"/>
    <mergeCell ref="AH3:AJ3"/>
    <mergeCell ref="W2:AD2"/>
    <mergeCell ref="B4:J4"/>
    <mergeCell ref="K4:V4"/>
    <mergeCell ref="W4:AD4"/>
    <mergeCell ref="AE4:AJ4"/>
    <mergeCell ref="B5:J5"/>
    <mergeCell ref="K5:V5"/>
    <mergeCell ref="W5:AD5"/>
    <mergeCell ref="AE5:AJ5"/>
    <mergeCell ref="B6:AF7"/>
    <mergeCell ref="AG6:AJ6"/>
    <mergeCell ref="B8:B9"/>
    <mergeCell ref="AG8:AG9"/>
    <mergeCell ref="AH8:AH9"/>
    <mergeCell ref="AI8:AI9"/>
    <mergeCell ref="AJ8:AJ9"/>
  </mergeCells>
  <conditionalFormatting sqref="C9:AF9">
    <cfRule type="cellIs" dxfId="71" priority="1" operator="equal">
      <formula>"U"</formula>
    </cfRule>
    <cfRule type="cellIs" dxfId="70" priority="2" operator="equal">
      <formula>"E"</formula>
    </cfRule>
    <cfRule type="cellIs" dxfId="69" priority="3" operator="equal">
      <formula>"T"</formula>
    </cfRule>
    <cfRule type="cellIs" dxfId="68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16A18-CDB9-44C5-A9A7-60FA80EBCA9F}">
  <sheetPr codeName="Sheet19">
    <tabColor indexed="41"/>
    <pageSetUpPr fitToPage="1"/>
  </sheetPr>
  <dimension ref="B1:AJ10"/>
  <sheetViews>
    <sheetView showGridLines="0" zoomScale="90" zoomScaleNormal="90" workbookViewId="0">
      <selection activeCell="P3" sqref="P3:R3"/>
    </sheetView>
  </sheetViews>
  <sheetFormatPr defaultColWidth="9" defaultRowHeight="30" customHeight="1" x14ac:dyDescent="0.25"/>
  <cols>
    <col min="1" max="1" width="2.625" style="2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style="2" customWidth="1"/>
    <col min="38" max="16384" width="9" style="2"/>
  </cols>
  <sheetData>
    <row r="1" spans="2:36" s="1" customFormat="1" ht="38.1" customHeight="1" x14ac:dyDescent="0.25">
      <c r="B1" s="35" t="s">
        <v>14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</row>
    <row r="2" spans="2:36" s="1" customFormat="1" ht="30" customHeight="1" x14ac:dyDescent="0.25">
      <c r="B2" s="29" t="s">
        <v>8</v>
      </c>
      <c r="C2" s="30"/>
      <c r="D2" s="30"/>
      <c r="E2" s="30"/>
      <c r="F2" s="30"/>
      <c r="G2" s="30"/>
      <c r="H2" s="30"/>
      <c r="I2" s="30"/>
      <c r="J2" s="31"/>
      <c r="K2" s="17" t="s">
        <v>10</v>
      </c>
      <c r="L2" s="17"/>
      <c r="M2" s="17"/>
      <c r="N2" s="17"/>
      <c r="O2" s="17"/>
      <c r="P2" s="17" t="s">
        <v>12</v>
      </c>
      <c r="Q2" s="17"/>
      <c r="R2" s="17"/>
      <c r="S2" s="17" t="s">
        <v>9</v>
      </c>
      <c r="T2" s="17"/>
      <c r="U2" s="17"/>
      <c r="V2" s="17"/>
      <c r="W2" s="17" t="s">
        <v>1</v>
      </c>
      <c r="X2" s="17"/>
      <c r="Y2" s="17"/>
      <c r="Z2" s="17"/>
      <c r="AA2" s="17"/>
      <c r="AB2" s="17"/>
      <c r="AC2" s="17"/>
      <c r="AD2" s="17"/>
      <c r="AE2" s="41" t="s">
        <v>0</v>
      </c>
      <c r="AF2" s="42"/>
      <c r="AG2" s="43"/>
      <c r="AH2" s="36" t="s">
        <v>2</v>
      </c>
      <c r="AI2" s="37"/>
      <c r="AJ2" s="38"/>
    </row>
    <row r="3" spans="2:36" s="1" customFormat="1" ht="30" customHeight="1" x14ac:dyDescent="0.25">
      <c r="B3" s="32" t="s">
        <v>23</v>
      </c>
      <c r="C3" s="33"/>
      <c r="D3" s="33"/>
      <c r="E3" s="33"/>
      <c r="F3" s="33"/>
      <c r="G3" s="33"/>
      <c r="H3" s="33"/>
      <c r="I3" s="33"/>
      <c r="J3" s="34"/>
      <c r="K3" s="18" t="str">
        <f>VLOOKUP(B3,Students[],3,0)</f>
        <v>ET64</v>
      </c>
      <c r="L3" s="18"/>
      <c r="M3" s="18"/>
      <c r="N3" s="18"/>
      <c r="O3" s="18"/>
      <c r="P3" s="18" t="str">
        <f>VLOOKUP(B3,Students[],2,0)</f>
        <v>Female</v>
      </c>
      <c r="Q3" s="18"/>
      <c r="R3" s="18"/>
      <c r="S3" s="40">
        <f>VLOOKUP(B3,Students[],4,0)</f>
        <v>38080</v>
      </c>
      <c r="T3" s="40"/>
      <c r="U3" s="40"/>
      <c r="V3" s="40"/>
      <c r="W3" s="18" t="s">
        <v>129</v>
      </c>
      <c r="X3" s="18"/>
      <c r="Y3" s="18"/>
      <c r="Z3" s="18"/>
      <c r="AA3" s="18"/>
      <c r="AB3" s="18"/>
      <c r="AC3" s="18"/>
      <c r="AD3" s="18"/>
      <c r="AE3" s="44">
        <f>VLOOKUP(B3,Students[],5,0)</f>
        <v>9</v>
      </c>
      <c r="AF3" s="45"/>
      <c r="AG3" s="45"/>
      <c r="AH3" s="39">
        <f>VLOOKUP(B3,Students[],6,0)</f>
        <v>5</v>
      </c>
      <c r="AI3" s="39"/>
      <c r="AJ3" s="39"/>
    </row>
    <row r="4" spans="2:36" s="1" customFormat="1" ht="30" customHeight="1" x14ac:dyDescent="0.25">
      <c r="B4" s="29" t="s">
        <v>70</v>
      </c>
      <c r="C4" s="30"/>
      <c r="D4" s="30"/>
      <c r="E4" s="30"/>
      <c r="F4" s="30"/>
      <c r="G4" s="30"/>
      <c r="H4" s="30"/>
      <c r="I4" s="30"/>
      <c r="J4" s="31"/>
      <c r="K4" s="17" t="s">
        <v>71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 t="s">
        <v>72</v>
      </c>
      <c r="X4" s="17"/>
      <c r="Y4" s="17"/>
      <c r="Z4" s="17"/>
      <c r="AA4" s="17"/>
      <c r="AB4" s="17"/>
      <c r="AC4" s="17"/>
      <c r="AD4" s="17"/>
      <c r="AE4" s="17" t="s">
        <v>73</v>
      </c>
      <c r="AF4" s="17"/>
      <c r="AG4" s="17"/>
      <c r="AH4" s="22"/>
      <c r="AI4" s="22"/>
      <c r="AJ4" s="22"/>
    </row>
    <row r="5" spans="2:36" s="1" customFormat="1" ht="30" customHeight="1" x14ac:dyDescent="0.25">
      <c r="B5" s="32" t="str">
        <f>VLOOKUP(B3,Students[],7,0)</f>
        <v>Salwan</v>
      </c>
      <c r="C5" s="33"/>
      <c r="D5" s="33"/>
      <c r="E5" s="33"/>
      <c r="F5" s="33"/>
      <c r="G5" s="33"/>
      <c r="H5" s="33"/>
      <c r="I5" s="33"/>
      <c r="J5" s="34"/>
      <c r="K5" s="18" t="str">
        <f>VLOOKUP(B3,Students[],8,0)</f>
        <v>Ayman</v>
      </c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9">
        <f>VLOOKUP(B3,Students[],9,0)</f>
        <v>5387163674</v>
      </c>
      <c r="X5" s="19"/>
      <c r="Y5" s="19"/>
      <c r="Z5" s="19"/>
      <c r="AA5" s="19"/>
      <c r="AB5" s="19"/>
      <c r="AC5" s="19"/>
      <c r="AD5" s="19"/>
      <c r="AE5" s="19" t="str">
        <f>VLOOKUP(B3,Students[],10,0)</f>
        <v>Anoal Mah</v>
      </c>
      <c r="AF5" s="19"/>
      <c r="AG5" s="19"/>
      <c r="AH5" s="19"/>
      <c r="AI5" s="19"/>
      <c r="AJ5" s="19"/>
    </row>
    <row r="6" spans="2:36" s="1" customFormat="1" ht="30" customHeight="1" x14ac:dyDescent="0.25">
      <c r="B6" s="23" t="s">
        <v>11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0" t="s">
        <v>3</v>
      </c>
      <c r="AH6" s="21"/>
      <c r="AI6" s="21"/>
      <c r="AJ6" s="21"/>
    </row>
    <row r="7" spans="2:36" s="1" customFormat="1" ht="30" customHeight="1" x14ac:dyDescent="0.25">
      <c r="B7" s="25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9" t="s">
        <v>4</v>
      </c>
      <c r="AH7" s="10" t="s">
        <v>5</v>
      </c>
      <c r="AI7" s="10" t="s">
        <v>6</v>
      </c>
      <c r="AJ7" s="10" t="s">
        <v>7</v>
      </c>
    </row>
    <row r="8" spans="2:36" s="1" customFormat="1" ht="30" customHeight="1" x14ac:dyDescent="0.25">
      <c r="B8" s="27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6">
        <f>COUNTIF($C9:$AF9,"T")</f>
        <v>1</v>
      </c>
      <c r="AH8" s="15">
        <f>COUNTIF($C9:$AF9,"U")</f>
        <v>2</v>
      </c>
      <c r="AI8" s="15">
        <f>COUNTIF($C9:$AF9,"E")</f>
        <v>0</v>
      </c>
      <c r="AJ8" s="15">
        <f>COUNTIF($C9:$AF9,"P")</f>
        <v>27</v>
      </c>
    </row>
    <row r="9" spans="2:36" s="1" customFormat="1" ht="30" customHeight="1" x14ac:dyDescent="0.25">
      <c r="B9" s="28"/>
      <c r="C9" s="12" t="str">
        <f>INDEX(Table2[[1]:[30]],MATCH('Sara Habib'!$B$3,Attendance!$B$5:$B$22,0),MATCH('Sara Habib'!C8,Attendance!$C$4:$AF$4,0))</f>
        <v>U</v>
      </c>
      <c r="D9" s="12" t="str">
        <f>INDEX(Table2[[1]:[30]],MATCH('Sara Habib'!$B$3,Attendance!$B$5:$B$22,0),MATCH('Sara Habib'!D8,Attendance!$C$4:$AF$4,0))</f>
        <v>P</v>
      </c>
      <c r="E9" s="12" t="str">
        <f>INDEX(Table2[[1]:[30]],MATCH('Sara Habib'!$B$3,Attendance!$B$5:$B$22,0),MATCH('Sara Habib'!E8,Attendance!$C$4:$AF$4,0))</f>
        <v>P</v>
      </c>
      <c r="F9" s="12" t="str">
        <f>INDEX(Table2[[1]:[30]],MATCH('Sara Habib'!$B$3,Attendance!$B$5:$B$22,0),MATCH('Sara Habib'!F8,Attendance!$C$4:$AF$4,0))</f>
        <v>U</v>
      </c>
      <c r="G9" s="12" t="str">
        <f>INDEX(Table2[[1]:[30]],MATCH('Sara Habib'!$B$3,Attendance!$B$5:$B$22,0),MATCH('Sara Habib'!G8,Attendance!$C$4:$AF$4,0))</f>
        <v>P</v>
      </c>
      <c r="H9" s="12" t="str">
        <f>INDEX(Table2[[1]:[30]],MATCH('Sara Habib'!$B$3,Attendance!$B$5:$B$22,0),MATCH('Sara Habib'!H8,Attendance!$C$4:$AF$4,0))</f>
        <v>P</v>
      </c>
      <c r="I9" s="12" t="str">
        <f>INDEX(Table2[[1]:[30]],MATCH('Sara Habib'!$B$3,Attendance!$B$5:$B$22,0),MATCH('Sara Habib'!I8,Attendance!$C$4:$AF$4,0))</f>
        <v>P</v>
      </c>
      <c r="J9" s="12" t="str">
        <f>INDEX(Table2[[1]:[30]],MATCH('Sara Habib'!$B$3,Attendance!$B$5:$B$22,0),MATCH('Sara Habib'!J8,Attendance!$C$4:$AF$4,0))</f>
        <v>P</v>
      </c>
      <c r="K9" s="12" t="str">
        <f>INDEX(Table2[[1]:[30]],MATCH('Sara Habib'!$B$3,Attendance!$B$5:$B$22,0),MATCH('Sara Habib'!K8,Attendance!$C$4:$AF$4,0))</f>
        <v>P</v>
      </c>
      <c r="L9" s="12" t="str">
        <f>INDEX(Table2[[1]:[30]],MATCH('Sara Habib'!$B$3,Attendance!$B$5:$B$22,0),MATCH('Sara Habib'!L8,Attendance!$C$4:$AF$4,0))</f>
        <v>P</v>
      </c>
      <c r="M9" s="12" t="str">
        <f>INDEX(Table2[[1]:[30]],MATCH('Sara Habib'!$B$3,Attendance!$B$5:$B$22,0),MATCH('Sara Habib'!M8,Attendance!$C$4:$AF$4,0))</f>
        <v>P</v>
      </c>
      <c r="N9" s="12" t="str">
        <f>INDEX(Table2[[1]:[30]],MATCH('Sara Habib'!$B$3,Attendance!$B$5:$B$22,0),MATCH('Sara Habib'!N8,Attendance!$C$4:$AF$4,0))</f>
        <v>P</v>
      </c>
      <c r="O9" s="12" t="str">
        <f>INDEX(Table2[[1]:[30]],MATCH('Sara Habib'!$B$3,Attendance!$B$5:$B$22,0),MATCH('Sara Habib'!O8,Attendance!$C$4:$AF$4,0))</f>
        <v>P</v>
      </c>
      <c r="P9" s="12" t="str">
        <f>INDEX(Table2[[1]:[30]],MATCH('Sara Habib'!$B$3,Attendance!$B$5:$B$22,0),MATCH('Sara Habib'!P8,Attendance!$C$4:$AF$4,0))</f>
        <v>P</v>
      </c>
      <c r="Q9" s="12" t="str">
        <f>INDEX(Table2[[1]:[30]],MATCH('Sara Habib'!$B$3,Attendance!$B$5:$B$22,0),MATCH('Sara Habib'!Q8,Attendance!$C$4:$AF$4,0))</f>
        <v>P</v>
      </c>
      <c r="R9" s="12" t="str">
        <f>INDEX(Table2[[1]:[30]],MATCH('Sara Habib'!$B$3,Attendance!$B$5:$B$22,0),MATCH('Sara Habib'!R8,Attendance!$C$4:$AF$4,0))</f>
        <v>P</v>
      </c>
      <c r="S9" s="12" t="str">
        <f>INDEX(Table2[[1]:[30]],MATCH('Sara Habib'!$B$3,Attendance!$B$5:$B$22,0),MATCH('Sara Habib'!S8,Attendance!$C$4:$AF$4,0))</f>
        <v>P</v>
      </c>
      <c r="T9" s="12" t="str">
        <f>INDEX(Table2[[1]:[30]],MATCH('Sara Habib'!$B$3,Attendance!$B$5:$B$22,0),MATCH('Sara Habib'!T8,Attendance!$C$4:$AF$4,0))</f>
        <v>T</v>
      </c>
      <c r="U9" s="12" t="str">
        <f>INDEX(Table2[[1]:[30]],MATCH('Sara Habib'!$B$3,Attendance!$B$5:$B$22,0),MATCH('Sara Habib'!U8,Attendance!$C$4:$AF$4,0))</f>
        <v>P</v>
      </c>
      <c r="V9" s="12" t="str">
        <f>INDEX(Table2[[1]:[30]],MATCH('Sara Habib'!$B$3,Attendance!$B$5:$B$22,0),MATCH('Sara Habib'!V8,Attendance!$C$4:$AF$4,0))</f>
        <v>P</v>
      </c>
      <c r="W9" s="12" t="str">
        <f>INDEX(Table2[[1]:[30]],MATCH('Sara Habib'!$B$3,Attendance!$B$5:$B$22,0),MATCH('Sara Habib'!W8,Attendance!$C$4:$AF$4,0))</f>
        <v>P</v>
      </c>
      <c r="X9" s="12" t="str">
        <f>INDEX(Table2[[1]:[30]],MATCH('Sara Habib'!$B$3,Attendance!$B$5:$B$22,0),MATCH('Sara Habib'!X8,Attendance!$C$4:$AF$4,0))</f>
        <v>P</v>
      </c>
      <c r="Y9" s="12" t="str">
        <f>INDEX(Table2[[1]:[30]],MATCH('Sara Habib'!$B$3,Attendance!$B$5:$B$22,0),MATCH('Sara Habib'!Y8,Attendance!$C$4:$AF$4,0))</f>
        <v>P</v>
      </c>
      <c r="Z9" s="12" t="str">
        <f>INDEX(Table2[[1]:[30]],MATCH('Sara Habib'!$B$3,Attendance!$B$5:$B$22,0),MATCH('Sara Habib'!Z8,Attendance!$C$4:$AF$4,0))</f>
        <v>P</v>
      </c>
      <c r="AA9" s="12" t="str">
        <f>INDEX(Table2[[1]:[30]],MATCH('Sara Habib'!$B$3,Attendance!$B$5:$B$22,0),MATCH('Sara Habib'!AA8,Attendance!$C$4:$AF$4,0))</f>
        <v>P</v>
      </c>
      <c r="AB9" s="12" t="str">
        <f>INDEX(Table2[[1]:[30]],MATCH('Sara Habib'!$B$3,Attendance!$B$5:$B$22,0),MATCH('Sara Habib'!AB8,Attendance!$C$4:$AF$4,0))</f>
        <v>P</v>
      </c>
      <c r="AC9" s="12" t="str">
        <f>INDEX(Table2[[1]:[30]],MATCH('Sara Habib'!$B$3,Attendance!$B$5:$B$22,0),MATCH('Sara Habib'!AC8,Attendance!$C$4:$AF$4,0))</f>
        <v>P</v>
      </c>
      <c r="AD9" s="12" t="str">
        <f>INDEX(Table2[[1]:[30]],MATCH('Sara Habib'!$B$3,Attendance!$B$5:$B$22,0),MATCH('Sara Habib'!AD8,Attendance!$C$4:$AF$4,0))</f>
        <v>P</v>
      </c>
      <c r="AE9" s="12" t="str">
        <f>INDEX(Table2[[1]:[30]],MATCH('Sara Habib'!$B$3,Attendance!$B$5:$B$22,0),MATCH('Sara Habib'!AE8,Attendance!$C$4:$AF$4,0))</f>
        <v>P</v>
      </c>
      <c r="AF9" s="12" t="str">
        <f>INDEX(Table2[[1]:[30]],MATCH('Sara Habib'!$B$3,Attendance!$B$5:$B$22,0),MATCH('Sara Habib'!AF8,Attendance!$C$4:$AF$4,0))</f>
        <v>P</v>
      </c>
      <c r="AG9" s="16"/>
      <c r="AH9" s="15"/>
      <c r="AI9" s="15"/>
      <c r="AJ9" s="15"/>
    </row>
    <row r="10" spans="2:36" ht="30" customHeight="1" x14ac:dyDescent="0.25">
      <c r="C10" t="e" cm="1">
        <f t="array" ref="C10:K10">INDEX(Table2[#All],MATCH('Sara Habib'!$B$3:$J$3,Table2[#All],0))</f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B1:R1"/>
    <mergeCell ref="B2:J2"/>
    <mergeCell ref="K2:O2"/>
    <mergeCell ref="P2:R2"/>
    <mergeCell ref="S2:V2"/>
    <mergeCell ref="AE2:AG2"/>
    <mergeCell ref="AH2:AJ2"/>
    <mergeCell ref="B3:J3"/>
    <mergeCell ref="K3:O3"/>
    <mergeCell ref="P3:R3"/>
    <mergeCell ref="S3:V3"/>
    <mergeCell ref="W3:AD3"/>
    <mergeCell ref="AE3:AG3"/>
    <mergeCell ref="AH3:AJ3"/>
    <mergeCell ref="W2:AD2"/>
    <mergeCell ref="B4:J4"/>
    <mergeCell ref="K4:V4"/>
    <mergeCell ref="W4:AD4"/>
    <mergeCell ref="AE4:AJ4"/>
    <mergeCell ref="B5:J5"/>
    <mergeCell ref="K5:V5"/>
    <mergeCell ref="W5:AD5"/>
    <mergeCell ref="AE5:AJ5"/>
    <mergeCell ref="B6:AF7"/>
    <mergeCell ref="AG6:AJ6"/>
    <mergeCell ref="B8:B9"/>
    <mergeCell ref="AG8:AG9"/>
    <mergeCell ref="AH8:AH9"/>
    <mergeCell ref="AI8:AI9"/>
    <mergeCell ref="AJ8:AJ9"/>
  </mergeCells>
  <conditionalFormatting sqref="C9:AF9">
    <cfRule type="cellIs" dxfId="67" priority="1" operator="equal">
      <formula>"U"</formula>
    </cfRule>
    <cfRule type="cellIs" dxfId="66" priority="2" operator="equal">
      <formula>"E"</formula>
    </cfRule>
    <cfRule type="cellIs" dxfId="65" priority="3" operator="equal">
      <formula>"T"</formula>
    </cfRule>
    <cfRule type="cellIs" dxfId="64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D1059-2D61-4FA5-84ED-EABE847BF44F}">
  <sheetPr codeName="Sheet18">
    <tabColor indexed="41"/>
    <pageSetUpPr fitToPage="1"/>
  </sheetPr>
  <dimension ref="B1:AJ10"/>
  <sheetViews>
    <sheetView showGridLines="0" zoomScale="90" zoomScaleNormal="90" workbookViewId="0">
      <selection activeCell="P3" sqref="P3:R3"/>
    </sheetView>
  </sheetViews>
  <sheetFormatPr defaultColWidth="9" defaultRowHeight="30" customHeight="1" x14ac:dyDescent="0.25"/>
  <cols>
    <col min="1" max="1" width="2.625" style="2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style="2" customWidth="1"/>
    <col min="38" max="16384" width="9" style="2"/>
  </cols>
  <sheetData>
    <row r="1" spans="2:36" s="1" customFormat="1" ht="38.1" customHeight="1" x14ac:dyDescent="0.25">
      <c r="B1" s="35" t="s">
        <v>14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</row>
    <row r="2" spans="2:36" s="1" customFormat="1" ht="30" customHeight="1" x14ac:dyDescent="0.25">
      <c r="B2" s="29" t="s">
        <v>8</v>
      </c>
      <c r="C2" s="30"/>
      <c r="D2" s="30"/>
      <c r="E2" s="30"/>
      <c r="F2" s="30"/>
      <c r="G2" s="30"/>
      <c r="H2" s="30"/>
      <c r="I2" s="30"/>
      <c r="J2" s="31"/>
      <c r="K2" s="17" t="s">
        <v>10</v>
      </c>
      <c r="L2" s="17"/>
      <c r="M2" s="17"/>
      <c r="N2" s="17"/>
      <c r="O2" s="17"/>
      <c r="P2" s="17" t="s">
        <v>12</v>
      </c>
      <c r="Q2" s="17"/>
      <c r="R2" s="17"/>
      <c r="S2" s="17" t="s">
        <v>9</v>
      </c>
      <c r="T2" s="17"/>
      <c r="U2" s="17"/>
      <c r="V2" s="17"/>
      <c r="W2" s="17" t="s">
        <v>1</v>
      </c>
      <c r="X2" s="17"/>
      <c r="Y2" s="17"/>
      <c r="Z2" s="17"/>
      <c r="AA2" s="17"/>
      <c r="AB2" s="17"/>
      <c r="AC2" s="17"/>
      <c r="AD2" s="17"/>
      <c r="AE2" s="41" t="s">
        <v>0</v>
      </c>
      <c r="AF2" s="42"/>
      <c r="AG2" s="43"/>
      <c r="AH2" s="36" t="s">
        <v>2</v>
      </c>
      <c r="AI2" s="37"/>
      <c r="AJ2" s="38"/>
    </row>
    <row r="3" spans="2:36" s="1" customFormat="1" ht="30" customHeight="1" x14ac:dyDescent="0.25">
      <c r="B3" s="32" t="s">
        <v>32</v>
      </c>
      <c r="C3" s="33"/>
      <c r="D3" s="33"/>
      <c r="E3" s="33"/>
      <c r="F3" s="33"/>
      <c r="G3" s="33"/>
      <c r="H3" s="33"/>
      <c r="I3" s="33"/>
      <c r="J3" s="34"/>
      <c r="K3" s="18" t="str">
        <f>VLOOKUP(B3,Students[],3,0)</f>
        <v>QE33</v>
      </c>
      <c r="L3" s="18"/>
      <c r="M3" s="18"/>
      <c r="N3" s="18"/>
      <c r="O3" s="18"/>
      <c r="P3" s="18" t="str">
        <f>VLOOKUP(B3,Students[],2,0)</f>
        <v>Female</v>
      </c>
      <c r="Q3" s="18"/>
      <c r="R3" s="18"/>
      <c r="S3" s="40">
        <f>VLOOKUP(B3,Students[],4,0)</f>
        <v>38327</v>
      </c>
      <c r="T3" s="40"/>
      <c r="U3" s="40"/>
      <c r="V3" s="40"/>
      <c r="W3" s="18" t="s">
        <v>129</v>
      </c>
      <c r="X3" s="18"/>
      <c r="Y3" s="18"/>
      <c r="Z3" s="18"/>
      <c r="AA3" s="18"/>
      <c r="AB3" s="18"/>
      <c r="AC3" s="18"/>
      <c r="AD3" s="18"/>
      <c r="AE3" s="44">
        <f>VLOOKUP(B3,Students[],5,0)</f>
        <v>9</v>
      </c>
      <c r="AF3" s="45"/>
      <c r="AG3" s="45"/>
      <c r="AH3" s="39">
        <f>VLOOKUP(B3,Students[],6,0)</f>
        <v>4</v>
      </c>
      <c r="AI3" s="39"/>
      <c r="AJ3" s="39"/>
    </row>
    <row r="4" spans="2:36" s="1" customFormat="1" ht="30" customHeight="1" x14ac:dyDescent="0.25">
      <c r="B4" s="29" t="s">
        <v>70</v>
      </c>
      <c r="C4" s="30"/>
      <c r="D4" s="30"/>
      <c r="E4" s="30"/>
      <c r="F4" s="30"/>
      <c r="G4" s="30"/>
      <c r="H4" s="30"/>
      <c r="I4" s="30"/>
      <c r="J4" s="31"/>
      <c r="K4" s="17" t="s">
        <v>71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 t="s">
        <v>72</v>
      </c>
      <c r="X4" s="17"/>
      <c r="Y4" s="17"/>
      <c r="Z4" s="17"/>
      <c r="AA4" s="17"/>
      <c r="AB4" s="17"/>
      <c r="AC4" s="17"/>
      <c r="AD4" s="17"/>
      <c r="AE4" s="17" t="s">
        <v>73</v>
      </c>
      <c r="AF4" s="17"/>
      <c r="AG4" s="17"/>
      <c r="AH4" s="22"/>
      <c r="AI4" s="22"/>
      <c r="AJ4" s="22"/>
    </row>
    <row r="5" spans="2:36" s="1" customFormat="1" ht="30" customHeight="1" x14ac:dyDescent="0.25">
      <c r="B5" s="32" t="str">
        <f>VLOOKUP(B3,Students[],7,0)</f>
        <v>Bade'a</v>
      </c>
      <c r="C5" s="33"/>
      <c r="D5" s="33"/>
      <c r="E5" s="33"/>
      <c r="F5" s="33"/>
      <c r="G5" s="33"/>
      <c r="H5" s="33"/>
      <c r="I5" s="33"/>
      <c r="J5" s="34"/>
      <c r="K5" s="18" t="str">
        <f>VLOOKUP(B3,Students[],8,0)</f>
        <v>Hajer</v>
      </c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9">
        <f>VLOOKUP(B3,Students[],9,0)</f>
        <v>5524953971</v>
      </c>
      <c r="X5" s="19"/>
      <c r="Y5" s="19"/>
      <c r="Z5" s="19"/>
      <c r="AA5" s="19"/>
      <c r="AB5" s="19"/>
      <c r="AC5" s="19"/>
      <c r="AD5" s="19"/>
      <c r="AE5" s="19" t="str">
        <f>VLOOKUP(B3,Students[],10,0)</f>
        <v>Assama Jad</v>
      </c>
      <c r="AF5" s="19"/>
      <c r="AG5" s="19"/>
      <c r="AH5" s="19"/>
      <c r="AI5" s="19"/>
      <c r="AJ5" s="19"/>
    </row>
    <row r="6" spans="2:36" s="1" customFormat="1" ht="30" customHeight="1" x14ac:dyDescent="0.25">
      <c r="B6" s="23" t="s">
        <v>11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0" t="s">
        <v>3</v>
      </c>
      <c r="AH6" s="21"/>
      <c r="AI6" s="21"/>
      <c r="AJ6" s="21"/>
    </row>
    <row r="7" spans="2:36" s="1" customFormat="1" ht="30" customHeight="1" x14ac:dyDescent="0.25">
      <c r="B7" s="25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9" t="s">
        <v>4</v>
      </c>
      <c r="AH7" s="10" t="s">
        <v>5</v>
      </c>
      <c r="AI7" s="10" t="s">
        <v>6</v>
      </c>
      <c r="AJ7" s="10" t="s">
        <v>7</v>
      </c>
    </row>
    <row r="8" spans="2:36" s="1" customFormat="1" ht="30" customHeight="1" x14ac:dyDescent="0.25">
      <c r="B8" s="27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6">
        <f>COUNTIF($C9:$AF9,"T")</f>
        <v>3</v>
      </c>
      <c r="AH8" s="15">
        <f>COUNTIF($C9:$AF9,"U")</f>
        <v>2</v>
      </c>
      <c r="AI8" s="15">
        <f>COUNTIF($C9:$AF9,"E")</f>
        <v>0</v>
      </c>
      <c r="AJ8" s="15">
        <f>COUNTIF($C9:$AF9,"P")</f>
        <v>25</v>
      </c>
    </row>
    <row r="9" spans="2:36" s="1" customFormat="1" ht="30" customHeight="1" x14ac:dyDescent="0.25">
      <c r="B9" s="28"/>
      <c r="C9" s="12" t="str">
        <f>INDEX(Table2[[1]:[30]],MATCH('Sameera Okal'!$B$3,Attendance!$B$5:$B$22,0),MATCH('Sameera Okal'!C8,Attendance!$C$4:$AF$4,0))</f>
        <v>P</v>
      </c>
      <c r="D9" s="12" t="str">
        <f>INDEX(Table2[[1]:[30]],MATCH('Sameera Okal'!$B$3,Attendance!$B$5:$B$22,0),MATCH('Sameera Okal'!D8,Attendance!$C$4:$AF$4,0))</f>
        <v>P</v>
      </c>
      <c r="E9" s="12" t="str">
        <f>INDEX(Table2[[1]:[30]],MATCH('Sameera Okal'!$B$3,Attendance!$B$5:$B$22,0),MATCH('Sameera Okal'!E8,Attendance!$C$4:$AF$4,0))</f>
        <v>P</v>
      </c>
      <c r="F9" s="12" t="str">
        <f>INDEX(Table2[[1]:[30]],MATCH('Sameera Okal'!$B$3,Attendance!$B$5:$B$22,0),MATCH('Sameera Okal'!F8,Attendance!$C$4:$AF$4,0))</f>
        <v>T</v>
      </c>
      <c r="G9" s="12" t="str">
        <f>INDEX(Table2[[1]:[30]],MATCH('Sameera Okal'!$B$3,Attendance!$B$5:$B$22,0),MATCH('Sameera Okal'!G8,Attendance!$C$4:$AF$4,0))</f>
        <v>P</v>
      </c>
      <c r="H9" s="12" t="str">
        <f>INDEX(Table2[[1]:[30]],MATCH('Sameera Okal'!$B$3,Attendance!$B$5:$B$22,0),MATCH('Sameera Okal'!H8,Attendance!$C$4:$AF$4,0))</f>
        <v>P</v>
      </c>
      <c r="I9" s="12" t="str">
        <f>INDEX(Table2[[1]:[30]],MATCH('Sameera Okal'!$B$3,Attendance!$B$5:$B$22,0),MATCH('Sameera Okal'!I8,Attendance!$C$4:$AF$4,0))</f>
        <v>P</v>
      </c>
      <c r="J9" s="12" t="str">
        <f>INDEX(Table2[[1]:[30]],MATCH('Sameera Okal'!$B$3,Attendance!$B$5:$B$22,0),MATCH('Sameera Okal'!J8,Attendance!$C$4:$AF$4,0))</f>
        <v>P</v>
      </c>
      <c r="K9" s="12" t="str">
        <f>INDEX(Table2[[1]:[30]],MATCH('Sameera Okal'!$B$3,Attendance!$B$5:$B$22,0),MATCH('Sameera Okal'!K8,Attendance!$C$4:$AF$4,0))</f>
        <v>P</v>
      </c>
      <c r="L9" s="12" t="str">
        <f>INDEX(Table2[[1]:[30]],MATCH('Sameera Okal'!$B$3,Attendance!$B$5:$B$22,0),MATCH('Sameera Okal'!L8,Attendance!$C$4:$AF$4,0))</f>
        <v>P</v>
      </c>
      <c r="M9" s="12" t="str">
        <f>INDEX(Table2[[1]:[30]],MATCH('Sameera Okal'!$B$3,Attendance!$B$5:$B$22,0),MATCH('Sameera Okal'!M8,Attendance!$C$4:$AF$4,0))</f>
        <v>P</v>
      </c>
      <c r="N9" s="12" t="str">
        <f>INDEX(Table2[[1]:[30]],MATCH('Sameera Okal'!$B$3,Attendance!$B$5:$B$22,0),MATCH('Sameera Okal'!N8,Attendance!$C$4:$AF$4,0))</f>
        <v>U</v>
      </c>
      <c r="O9" s="12" t="str">
        <f>INDEX(Table2[[1]:[30]],MATCH('Sameera Okal'!$B$3,Attendance!$B$5:$B$22,0),MATCH('Sameera Okal'!O8,Attendance!$C$4:$AF$4,0))</f>
        <v>P</v>
      </c>
      <c r="P9" s="12" t="str">
        <f>INDEX(Table2[[1]:[30]],MATCH('Sameera Okal'!$B$3,Attendance!$B$5:$B$22,0),MATCH('Sameera Okal'!P8,Attendance!$C$4:$AF$4,0))</f>
        <v>P</v>
      </c>
      <c r="Q9" s="12" t="str">
        <f>INDEX(Table2[[1]:[30]],MATCH('Sameera Okal'!$B$3,Attendance!$B$5:$B$22,0),MATCH('Sameera Okal'!Q8,Attendance!$C$4:$AF$4,0))</f>
        <v>P</v>
      </c>
      <c r="R9" s="12" t="str">
        <f>INDEX(Table2[[1]:[30]],MATCH('Sameera Okal'!$B$3,Attendance!$B$5:$B$22,0),MATCH('Sameera Okal'!R8,Attendance!$C$4:$AF$4,0))</f>
        <v>P</v>
      </c>
      <c r="S9" s="12" t="str">
        <f>INDEX(Table2[[1]:[30]],MATCH('Sameera Okal'!$B$3,Attendance!$B$5:$B$22,0),MATCH('Sameera Okal'!S8,Attendance!$C$4:$AF$4,0))</f>
        <v>P</v>
      </c>
      <c r="T9" s="12" t="str">
        <f>INDEX(Table2[[1]:[30]],MATCH('Sameera Okal'!$B$3,Attendance!$B$5:$B$22,0),MATCH('Sameera Okal'!T8,Attendance!$C$4:$AF$4,0))</f>
        <v>P</v>
      </c>
      <c r="U9" s="12" t="str">
        <f>INDEX(Table2[[1]:[30]],MATCH('Sameera Okal'!$B$3,Attendance!$B$5:$B$22,0),MATCH('Sameera Okal'!U8,Attendance!$C$4:$AF$4,0))</f>
        <v>P</v>
      </c>
      <c r="V9" s="12" t="str">
        <f>INDEX(Table2[[1]:[30]],MATCH('Sameera Okal'!$B$3,Attendance!$B$5:$B$22,0),MATCH('Sameera Okal'!V8,Attendance!$C$4:$AF$4,0))</f>
        <v>T</v>
      </c>
      <c r="W9" s="12" t="str">
        <f>INDEX(Table2[[1]:[30]],MATCH('Sameera Okal'!$B$3,Attendance!$B$5:$B$22,0),MATCH('Sameera Okal'!W8,Attendance!$C$4:$AF$4,0))</f>
        <v>U</v>
      </c>
      <c r="X9" s="12" t="str">
        <f>INDEX(Table2[[1]:[30]],MATCH('Sameera Okal'!$B$3,Attendance!$B$5:$B$22,0),MATCH('Sameera Okal'!X8,Attendance!$C$4:$AF$4,0))</f>
        <v>T</v>
      </c>
      <c r="Y9" s="12" t="str">
        <f>INDEX(Table2[[1]:[30]],MATCH('Sameera Okal'!$B$3,Attendance!$B$5:$B$22,0),MATCH('Sameera Okal'!Y8,Attendance!$C$4:$AF$4,0))</f>
        <v>P</v>
      </c>
      <c r="Z9" s="12" t="str">
        <f>INDEX(Table2[[1]:[30]],MATCH('Sameera Okal'!$B$3,Attendance!$B$5:$B$22,0),MATCH('Sameera Okal'!Z8,Attendance!$C$4:$AF$4,0))</f>
        <v>P</v>
      </c>
      <c r="AA9" s="12" t="str">
        <f>INDEX(Table2[[1]:[30]],MATCH('Sameera Okal'!$B$3,Attendance!$B$5:$B$22,0),MATCH('Sameera Okal'!AA8,Attendance!$C$4:$AF$4,0))</f>
        <v>P</v>
      </c>
      <c r="AB9" s="12" t="str">
        <f>INDEX(Table2[[1]:[30]],MATCH('Sameera Okal'!$B$3,Attendance!$B$5:$B$22,0),MATCH('Sameera Okal'!AB8,Attendance!$C$4:$AF$4,0))</f>
        <v>P</v>
      </c>
      <c r="AC9" s="12" t="str">
        <f>INDEX(Table2[[1]:[30]],MATCH('Sameera Okal'!$B$3,Attendance!$B$5:$B$22,0),MATCH('Sameera Okal'!AC8,Attendance!$C$4:$AF$4,0))</f>
        <v>P</v>
      </c>
      <c r="AD9" s="12" t="str">
        <f>INDEX(Table2[[1]:[30]],MATCH('Sameera Okal'!$B$3,Attendance!$B$5:$B$22,0),MATCH('Sameera Okal'!AD8,Attendance!$C$4:$AF$4,0))</f>
        <v>P</v>
      </c>
      <c r="AE9" s="12" t="str">
        <f>INDEX(Table2[[1]:[30]],MATCH('Sameera Okal'!$B$3,Attendance!$B$5:$B$22,0),MATCH('Sameera Okal'!AE8,Attendance!$C$4:$AF$4,0))</f>
        <v>P</v>
      </c>
      <c r="AF9" s="12" t="str">
        <f>INDEX(Table2[[1]:[30]],MATCH('Sameera Okal'!$B$3,Attendance!$B$5:$B$22,0),MATCH('Sameera Okal'!AF8,Attendance!$C$4:$AF$4,0))</f>
        <v>P</v>
      </c>
      <c r="AG9" s="16"/>
      <c r="AH9" s="15"/>
      <c r="AI9" s="15"/>
      <c r="AJ9" s="15"/>
    </row>
    <row r="10" spans="2:36" ht="30" customHeight="1" x14ac:dyDescent="0.25">
      <c r="C10" t="e" cm="1">
        <f t="array" ref="C10:K10">INDEX(Table2[#All],MATCH('Sameera Okal'!$B$3:$J$3,Table2[#All],0))</f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B1:R1"/>
    <mergeCell ref="B2:J2"/>
    <mergeCell ref="K2:O2"/>
    <mergeCell ref="P2:R2"/>
    <mergeCell ref="S2:V2"/>
    <mergeCell ref="AE2:AG2"/>
    <mergeCell ref="AH2:AJ2"/>
    <mergeCell ref="B3:J3"/>
    <mergeCell ref="K3:O3"/>
    <mergeCell ref="P3:R3"/>
    <mergeCell ref="S3:V3"/>
    <mergeCell ref="W3:AD3"/>
    <mergeCell ref="AE3:AG3"/>
    <mergeCell ref="AH3:AJ3"/>
    <mergeCell ref="W2:AD2"/>
    <mergeCell ref="B4:J4"/>
    <mergeCell ref="K4:V4"/>
    <mergeCell ref="W4:AD4"/>
    <mergeCell ref="AE4:AJ4"/>
    <mergeCell ref="B5:J5"/>
    <mergeCell ref="K5:V5"/>
    <mergeCell ref="W5:AD5"/>
    <mergeCell ref="AE5:AJ5"/>
    <mergeCell ref="B6:AF7"/>
    <mergeCell ref="AG6:AJ6"/>
    <mergeCell ref="B8:B9"/>
    <mergeCell ref="AG8:AG9"/>
    <mergeCell ref="AH8:AH9"/>
    <mergeCell ref="AI8:AI9"/>
    <mergeCell ref="AJ8:AJ9"/>
  </mergeCells>
  <conditionalFormatting sqref="C9:AF9">
    <cfRule type="cellIs" dxfId="63" priority="1" operator="equal">
      <formula>"U"</formula>
    </cfRule>
    <cfRule type="cellIs" dxfId="62" priority="2" operator="equal">
      <formula>"E"</formula>
    </cfRule>
    <cfRule type="cellIs" dxfId="61" priority="3" operator="equal">
      <formula>"T"</formula>
    </cfRule>
    <cfRule type="cellIs" dxfId="60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5F130-E3A4-42BD-AEE4-093CE60DED61}">
  <sheetPr codeName="Sheet17">
    <tabColor indexed="41"/>
    <pageSetUpPr fitToPage="1"/>
  </sheetPr>
  <dimension ref="B1:AJ10"/>
  <sheetViews>
    <sheetView showGridLines="0" zoomScale="90" zoomScaleNormal="90" workbookViewId="0">
      <selection activeCell="P3" sqref="P3:R3"/>
    </sheetView>
  </sheetViews>
  <sheetFormatPr defaultColWidth="9" defaultRowHeight="30" customHeight="1" x14ac:dyDescent="0.25"/>
  <cols>
    <col min="1" max="1" width="2.625" style="2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style="2" customWidth="1"/>
    <col min="38" max="16384" width="9" style="2"/>
  </cols>
  <sheetData>
    <row r="1" spans="2:36" s="1" customFormat="1" ht="38.1" customHeight="1" x14ac:dyDescent="0.25">
      <c r="B1" s="35" t="s">
        <v>14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</row>
    <row r="2" spans="2:36" s="1" customFormat="1" ht="30" customHeight="1" x14ac:dyDescent="0.25">
      <c r="B2" s="29" t="s">
        <v>8</v>
      </c>
      <c r="C2" s="30"/>
      <c r="D2" s="30"/>
      <c r="E2" s="30"/>
      <c r="F2" s="30"/>
      <c r="G2" s="30"/>
      <c r="H2" s="30"/>
      <c r="I2" s="30"/>
      <c r="J2" s="31"/>
      <c r="K2" s="17" t="s">
        <v>10</v>
      </c>
      <c r="L2" s="17"/>
      <c r="M2" s="17"/>
      <c r="N2" s="17"/>
      <c r="O2" s="17"/>
      <c r="P2" s="17" t="s">
        <v>12</v>
      </c>
      <c r="Q2" s="17"/>
      <c r="R2" s="17"/>
      <c r="S2" s="17" t="s">
        <v>9</v>
      </c>
      <c r="T2" s="17"/>
      <c r="U2" s="17"/>
      <c r="V2" s="17"/>
      <c r="W2" s="17" t="s">
        <v>1</v>
      </c>
      <c r="X2" s="17"/>
      <c r="Y2" s="17"/>
      <c r="Z2" s="17"/>
      <c r="AA2" s="17"/>
      <c r="AB2" s="17"/>
      <c r="AC2" s="17"/>
      <c r="AD2" s="17"/>
      <c r="AE2" s="41" t="s">
        <v>0</v>
      </c>
      <c r="AF2" s="42"/>
      <c r="AG2" s="43"/>
      <c r="AH2" s="36" t="s">
        <v>2</v>
      </c>
      <c r="AI2" s="37"/>
      <c r="AJ2" s="38"/>
    </row>
    <row r="3" spans="2:36" s="1" customFormat="1" ht="30" customHeight="1" x14ac:dyDescent="0.25">
      <c r="B3" s="32" t="s">
        <v>20</v>
      </c>
      <c r="C3" s="33"/>
      <c r="D3" s="33"/>
      <c r="E3" s="33"/>
      <c r="F3" s="33"/>
      <c r="G3" s="33"/>
      <c r="H3" s="33"/>
      <c r="I3" s="33"/>
      <c r="J3" s="34"/>
      <c r="K3" s="18" t="str">
        <f>VLOOKUP(B3,Students[],3,0)</f>
        <v>BJ74</v>
      </c>
      <c r="L3" s="18"/>
      <c r="M3" s="18"/>
      <c r="N3" s="18"/>
      <c r="O3" s="18"/>
      <c r="P3" s="18" t="str">
        <f>VLOOKUP(B3,Students[],2,0)</f>
        <v>Female</v>
      </c>
      <c r="Q3" s="18"/>
      <c r="R3" s="18"/>
      <c r="S3" s="40">
        <f>VLOOKUP(B3,Students[],4,0)</f>
        <v>37376</v>
      </c>
      <c r="T3" s="40"/>
      <c r="U3" s="40"/>
      <c r="V3" s="40"/>
      <c r="W3" s="18" t="s">
        <v>129</v>
      </c>
      <c r="X3" s="18"/>
      <c r="Y3" s="18"/>
      <c r="Z3" s="18"/>
      <c r="AA3" s="18"/>
      <c r="AB3" s="18"/>
      <c r="AC3" s="18"/>
      <c r="AD3" s="18"/>
      <c r="AE3" s="44">
        <f>VLOOKUP(B3,Students[],5,0)</f>
        <v>11</v>
      </c>
      <c r="AF3" s="45"/>
      <c r="AG3" s="45"/>
      <c r="AH3" s="39">
        <f>VLOOKUP(B3,Students[],6,0)</f>
        <v>1</v>
      </c>
      <c r="AI3" s="39"/>
      <c r="AJ3" s="39"/>
    </row>
    <row r="4" spans="2:36" s="1" customFormat="1" ht="30" customHeight="1" x14ac:dyDescent="0.25">
      <c r="B4" s="29" t="s">
        <v>70</v>
      </c>
      <c r="C4" s="30"/>
      <c r="D4" s="30"/>
      <c r="E4" s="30"/>
      <c r="F4" s="30"/>
      <c r="G4" s="30"/>
      <c r="H4" s="30"/>
      <c r="I4" s="30"/>
      <c r="J4" s="31"/>
      <c r="K4" s="17" t="s">
        <v>71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 t="s">
        <v>72</v>
      </c>
      <c r="X4" s="17"/>
      <c r="Y4" s="17"/>
      <c r="Z4" s="17"/>
      <c r="AA4" s="17"/>
      <c r="AB4" s="17"/>
      <c r="AC4" s="17"/>
      <c r="AD4" s="17"/>
      <c r="AE4" s="17" t="s">
        <v>73</v>
      </c>
      <c r="AF4" s="17"/>
      <c r="AG4" s="17"/>
      <c r="AH4" s="22"/>
      <c r="AI4" s="22"/>
      <c r="AJ4" s="22"/>
    </row>
    <row r="5" spans="2:36" s="1" customFormat="1" ht="30" customHeight="1" x14ac:dyDescent="0.25">
      <c r="B5" s="32" t="str">
        <f>VLOOKUP(B3,Students[],7,0)</f>
        <v>Salem</v>
      </c>
      <c r="C5" s="33"/>
      <c r="D5" s="33"/>
      <c r="E5" s="33"/>
      <c r="F5" s="33"/>
      <c r="G5" s="33"/>
      <c r="H5" s="33"/>
      <c r="I5" s="33"/>
      <c r="J5" s="34"/>
      <c r="K5" s="18" t="str">
        <f>VLOOKUP(B3,Students[],8,0)</f>
        <v>Hameeda</v>
      </c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9">
        <f>VLOOKUP(B3,Students[],9,0)</f>
        <v>5609215083</v>
      </c>
      <c r="X5" s="19"/>
      <c r="Y5" s="19"/>
      <c r="Z5" s="19"/>
      <c r="AA5" s="19"/>
      <c r="AB5" s="19"/>
      <c r="AC5" s="19"/>
      <c r="AD5" s="19"/>
      <c r="AE5" s="19" t="str">
        <f>VLOOKUP(B3,Students[],10,0)</f>
        <v>Domyat Street</v>
      </c>
      <c r="AF5" s="19"/>
      <c r="AG5" s="19"/>
      <c r="AH5" s="19"/>
      <c r="AI5" s="19"/>
      <c r="AJ5" s="19"/>
    </row>
    <row r="6" spans="2:36" s="1" customFormat="1" ht="30" customHeight="1" x14ac:dyDescent="0.25">
      <c r="B6" s="23" t="s">
        <v>11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0" t="s">
        <v>3</v>
      </c>
      <c r="AH6" s="21"/>
      <c r="AI6" s="21"/>
      <c r="AJ6" s="21"/>
    </row>
    <row r="7" spans="2:36" s="1" customFormat="1" ht="30" customHeight="1" x14ac:dyDescent="0.25">
      <c r="B7" s="25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9" t="s">
        <v>4</v>
      </c>
      <c r="AH7" s="10" t="s">
        <v>5</v>
      </c>
      <c r="AI7" s="10" t="s">
        <v>6</v>
      </c>
      <c r="AJ7" s="10" t="s">
        <v>7</v>
      </c>
    </row>
    <row r="8" spans="2:36" s="1" customFormat="1" ht="30" customHeight="1" x14ac:dyDescent="0.25">
      <c r="B8" s="27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6">
        <f>COUNTIF($C9:$AF9,"T")</f>
        <v>2</v>
      </c>
      <c r="AH8" s="15">
        <f>COUNTIF($C9:$AF9,"U")</f>
        <v>0</v>
      </c>
      <c r="AI8" s="15">
        <f>COUNTIF($C9:$AF9,"E")</f>
        <v>0</v>
      </c>
      <c r="AJ8" s="15">
        <f>COUNTIF($C9:$AF9,"P")</f>
        <v>28</v>
      </c>
    </row>
    <row r="9" spans="2:36" s="1" customFormat="1" ht="30" customHeight="1" x14ac:dyDescent="0.25">
      <c r="B9" s="28"/>
      <c r="C9" s="12" t="str">
        <f>INDEX(Table2[[1]:[30]],MATCH('Salwam Tahab'!$B$3,Attendance!$B$5:$B$22,0),MATCH('Salwam Tahab'!C8,Attendance!$C$4:$AF$4,0))</f>
        <v>P</v>
      </c>
      <c r="D9" s="12" t="str">
        <f>INDEX(Table2[[1]:[30]],MATCH('Salwam Tahab'!$B$3,Attendance!$B$5:$B$22,0),MATCH('Salwam Tahab'!D8,Attendance!$C$4:$AF$4,0))</f>
        <v>P</v>
      </c>
      <c r="E9" s="12" t="str">
        <f>INDEX(Table2[[1]:[30]],MATCH('Salwam Tahab'!$B$3,Attendance!$B$5:$B$22,0),MATCH('Salwam Tahab'!E8,Attendance!$C$4:$AF$4,0))</f>
        <v>P</v>
      </c>
      <c r="F9" s="12" t="str">
        <f>INDEX(Table2[[1]:[30]],MATCH('Salwam Tahab'!$B$3,Attendance!$B$5:$B$22,0),MATCH('Salwam Tahab'!F8,Attendance!$C$4:$AF$4,0))</f>
        <v>P</v>
      </c>
      <c r="G9" s="12" t="str">
        <f>INDEX(Table2[[1]:[30]],MATCH('Salwam Tahab'!$B$3,Attendance!$B$5:$B$22,0),MATCH('Salwam Tahab'!G8,Attendance!$C$4:$AF$4,0))</f>
        <v>P</v>
      </c>
      <c r="H9" s="12" t="str">
        <f>INDEX(Table2[[1]:[30]],MATCH('Salwam Tahab'!$B$3,Attendance!$B$5:$B$22,0),MATCH('Salwam Tahab'!H8,Attendance!$C$4:$AF$4,0))</f>
        <v>P</v>
      </c>
      <c r="I9" s="12" t="str">
        <f>INDEX(Table2[[1]:[30]],MATCH('Salwam Tahab'!$B$3,Attendance!$B$5:$B$22,0),MATCH('Salwam Tahab'!I8,Attendance!$C$4:$AF$4,0))</f>
        <v>P</v>
      </c>
      <c r="J9" s="12" t="str">
        <f>INDEX(Table2[[1]:[30]],MATCH('Salwam Tahab'!$B$3,Attendance!$B$5:$B$22,0),MATCH('Salwam Tahab'!J8,Attendance!$C$4:$AF$4,0))</f>
        <v>P</v>
      </c>
      <c r="K9" s="12" t="str">
        <f>INDEX(Table2[[1]:[30]],MATCH('Salwam Tahab'!$B$3,Attendance!$B$5:$B$22,0),MATCH('Salwam Tahab'!K8,Attendance!$C$4:$AF$4,0))</f>
        <v>P</v>
      </c>
      <c r="L9" s="12" t="str">
        <f>INDEX(Table2[[1]:[30]],MATCH('Salwam Tahab'!$B$3,Attendance!$B$5:$B$22,0),MATCH('Salwam Tahab'!L8,Attendance!$C$4:$AF$4,0))</f>
        <v>P</v>
      </c>
      <c r="M9" s="12" t="str">
        <f>INDEX(Table2[[1]:[30]],MATCH('Salwam Tahab'!$B$3,Attendance!$B$5:$B$22,0),MATCH('Salwam Tahab'!M8,Attendance!$C$4:$AF$4,0))</f>
        <v>P</v>
      </c>
      <c r="N9" s="12" t="str">
        <f>INDEX(Table2[[1]:[30]],MATCH('Salwam Tahab'!$B$3,Attendance!$B$5:$B$22,0),MATCH('Salwam Tahab'!N8,Attendance!$C$4:$AF$4,0))</f>
        <v>P</v>
      </c>
      <c r="O9" s="12" t="str">
        <f>INDEX(Table2[[1]:[30]],MATCH('Salwam Tahab'!$B$3,Attendance!$B$5:$B$22,0),MATCH('Salwam Tahab'!O8,Attendance!$C$4:$AF$4,0))</f>
        <v>P</v>
      </c>
      <c r="P9" s="12" t="str">
        <f>INDEX(Table2[[1]:[30]],MATCH('Salwam Tahab'!$B$3,Attendance!$B$5:$B$22,0),MATCH('Salwam Tahab'!P8,Attendance!$C$4:$AF$4,0))</f>
        <v>P</v>
      </c>
      <c r="Q9" s="12" t="str">
        <f>INDEX(Table2[[1]:[30]],MATCH('Salwam Tahab'!$B$3,Attendance!$B$5:$B$22,0),MATCH('Salwam Tahab'!Q8,Attendance!$C$4:$AF$4,0))</f>
        <v>P</v>
      </c>
      <c r="R9" s="12" t="str">
        <f>INDEX(Table2[[1]:[30]],MATCH('Salwam Tahab'!$B$3,Attendance!$B$5:$B$22,0),MATCH('Salwam Tahab'!R8,Attendance!$C$4:$AF$4,0))</f>
        <v>P</v>
      </c>
      <c r="S9" s="12" t="str">
        <f>INDEX(Table2[[1]:[30]],MATCH('Salwam Tahab'!$B$3,Attendance!$B$5:$B$22,0),MATCH('Salwam Tahab'!S8,Attendance!$C$4:$AF$4,0))</f>
        <v>P</v>
      </c>
      <c r="T9" s="12" t="str">
        <f>INDEX(Table2[[1]:[30]],MATCH('Salwam Tahab'!$B$3,Attendance!$B$5:$B$22,0),MATCH('Salwam Tahab'!T8,Attendance!$C$4:$AF$4,0))</f>
        <v>P</v>
      </c>
      <c r="U9" s="12" t="str">
        <f>INDEX(Table2[[1]:[30]],MATCH('Salwam Tahab'!$B$3,Attendance!$B$5:$B$22,0),MATCH('Salwam Tahab'!U8,Attendance!$C$4:$AF$4,0))</f>
        <v>T</v>
      </c>
      <c r="V9" s="12" t="str">
        <f>INDEX(Table2[[1]:[30]],MATCH('Salwam Tahab'!$B$3,Attendance!$B$5:$B$22,0),MATCH('Salwam Tahab'!V8,Attendance!$C$4:$AF$4,0))</f>
        <v>T</v>
      </c>
      <c r="W9" s="12" t="str">
        <f>INDEX(Table2[[1]:[30]],MATCH('Salwam Tahab'!$B$3,Attendance!$B$5:$B$22,0),MATCH('Salwam Tahab'!W8,Attendance!$C$4:$AF$4,0))</f>
        <v>P</v>
      </c>
      <c r="X9" s="12" t="str">
        <f>INDEX(Table2[[1]:[30]],MATCH('Salwam Tahab'!$B$3,Attendance!$B$5:$B$22,0),MATCH('Salwam Tahab'!X8,Attendance!$C$4:$AF$4,0))</f>
        <v>P</v>
      </c>
      <c r="Y9" s="12" t="str">
        <f>INDEX(Table2[[1]:[30]],MATCH('Salwam Tahab'!$B$3,Attendance!$B$5:$B$22,0),MATCH('Salwam Tahab'!Y8,Attendance!$C$4:$AF$4,0))</f>
        <v>P</v>
      </c>
      <c r="Z9" s="12" t="str">
        <f>INDEX(Table2[[1]:[30]],MATCH('Salwam Tahab'!$B$3,Attendance!$B$5:$B$22,0),MATCH('Salwam Tahab'!Z8,Attendance!$C$4:$AF$4,0))</f>
        <v>P</v>
      </c>
      <c r="AA9" s="12" t="str">
        <f>INDEX(Table2[[1]:[30]],MATCH('Salwam Tahab'!$B$3,Attendance!$B$5:$B$22,0),MATCH('Salwam Tahab'!AA8,Attendance!$C$4:$AF$4,0))</f>
        <v>P</v>
      </c>
      <c r="AB9" s="12" t="str">
        <f>INDEX(Table2[[1]:[30]],MATCH('Salwam Tahab'!$B$3,Attendance!$B$5:$B$22,0),MATCH('Salwam Tahab'!AB8,Attendance!$C$4:$AF$4,0))</f>
        <v>P</v>
      </c>
      <c r="AC9" s="12" t="str">
        <f>INDEX(Table2[[1]:[30]],MATCH('Salwam Tahab'!$B$3,Attendance!$B$5:$B$22,0),MATCH('Salwam Tahab'!AC8,Attendance!$C$4:$AF$4,0))</f>
        <v>P</v>
      </c>
      <c r="AD9" s="12" t="str">
        <f>INDEX(Table2[[1]:[30]],MATCH('Salwam Tahab'!$B$3,Attendance!$B$5:$B$22,0),MATCH('Salwam Tahab'!AD8,Attendance!$C$4:$AF$4,0))</f>
        <v>P</v>
      </c>
      <c r="AE9" s="12" t="str">
        <f>INDEX(Table2[[1]:[30]],MATCH('Salwam Tahab'!$B$3,Attendance!$B$5:$B$22,0),MATCH('Salwam Tahab'!AE8,Attendance!$C$4:$AF$4,0))</f>
        <v>P</v>
      </c>
      <c r="AF9" s="12" t="str">
        <f>INDEX(Table2[[1]:[30]],MATCH('Salwam Tahab'!$B$3,Attendance!$B$5:$B$22,0),MATCH('Salwam Tahab'!AF8,Attendance!$C$4:$AF$4,0))</f>
        <v>P</v>
      </c>
      <c r="AG9" s="16"/>
      <c r="AH9" s="15"/>
      <c r="AI9" s="15"/>
      <c r="AJ9" s="15"/>
    </row>
    <row r="10" spans="2:36" ht="30" customHeight="1" x14ac:dyDescent="0.25">
      <c r="C10" t="e" cm="1">
        <f t="array" ref="C10:K10">INDEX(Table2[#All],MATCH('Salwam Tahab'!$B$3:$J$3,Table2[#All],0))</f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B1:R1"/>
    <mergeCell ref="B2:J2"/>
    <mergeCell ref="K2:O2"/>
    <mergeCell ref="P2:R2"/>
    <mergeCell ref="S2:V2"/>
    <mergeCell ref="AE2:AG2"/>
    <mergeCell ref="AH2:AJ2"/>
    <mergeCell ref="B3:J3"/>
    <mergeCell ref="K3:O3"/>
    <mergeCell ref="P3:R3"/>
    <mergeCell ref="S3:V3"/>
    <mergeCell ref="W3:AD3"/>
    <mergeCell ref="AE3:AG3"/>
    <mergeCell ref="AH3:AJ3"/>
    <mergeCell ref="W2:AD2"/>
    <mergeCell ref="B4:J4"/>
    <mergeCell ref="K4:V4"/>
    <mergeCell ref="W4:AD4"/>
    <mergeCell ref="AE4:AJ4"/>
    <mergeCell ref="B5:J5"/>
    <mergeCell ref="K5:V5"/>
    <mergeCell ref="W5:AD5"/>
    <mergeCell ref="AE5:AJ5"/>
    <mergeCell ref="B6:AF7"/>
    <mergeCell ref="AG6:AJ6"/>
    <mergeCell ref="B8:B9"/>
    <mergeCell ref="AG8:AG9"/>
    <mergeCell ref="AH8:AH9"/>
    <mergeCell ref="AI8:AI9"/>
    <mergeCell ref="AJ8:AJ9"/>
  </mergeCells>
  <conditionalFormatting sqref="C9:AF9">
    <cfRule type="cellIs" dxfId="59" priority="1" operator="equal">
      <formula>"U"</formula>
    </cfRule>
    <cfRule type="cellIs" dxfId="58" priority="2" operator="equal">
      <formula>"E"</formula>
    </cfRule>
    <cfRule type="cellIs" dxfId="57" priority="3" operator="equal">
      <formula>"T"</formula>
    </cfRule>
    <cfRule type="cellIs" dxfId="56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A96BA-595F-41A3-AFB7-B9AF8E3BFCAC}">
  <sheetPr codeName="Sheet16">
    <tabColor indexed="41"/>
    <pageSetUpPr fitToPage="1"/>
  </sheetPr>
  <dimension ref="B1:AJ10"/>
  <sheetViews>
    <sheetView showGridLines="0" zoomScale="90" zoomScaleNormal="90" workbookViewId="0">
      <selection activeCell="P3" sqref="P3:R3"/>
    </sheetView>
  </sheetViews>
  <sheetFormatPr defaultColWidth="9" defaultRowHeight="30" customHeight="1" x14ac:dyDescent="0.25"/>
  <cols>
    <col min="1" max="1" width="2.625" style="2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style="2" customWidth="1"/>
    <col min="38" max="16384" width="9" style="2"/>
  </cols>
  <sheetData>
    <row r="1" spans="2:36" s="1" customFormat="1" ht="38.1" customHeight="1" x14ac:dyDescent="0.25">
      <c r="B1" s="35" t="s">
        <v>14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</row>
    <row r="2" spans="2:36" s="1" customFormat="1" ht="30" customHeight="1" x14ac:dyDescent="0.25">
      <c r="B2" s="29" t="s">
        <v>8</v>
      </c>
      <c r="C2" s="30"/>
      <c r="D2" s="30"/>
      <c r="E2" s="30"/>
      <c r="F2" s="30"/>
      <c r="G2" s="30"/>
      <c r="H2" s="30"/>
      <c r="I2" s="30"/>
      <c r="J2" s="31"/>
      <c r="K2" s="17" t="s">
        <v>10</v>
      </c>
      <c r="L2" s="17"/>
      <c r="M2" s="17"/>
      <c r="N2" s="17"/>
      <c r="O2" s="17"/>
      <c r="P2" s="17" t="s">
        <v>12</v>
      </c>
      <c r="Q2" s="17"/>
      <c r="R2" s="17"/>
      <c r="S2" s="17" t="s">
        <v>9</v>
      </c>
      <c r="T2" s="17"/>
      <c r="U2" s="17"/>
      <c r="V2" s="17"/>
      <c r="W2" s="17" t="s">
        <v>1</v>
      </c>
      <c r="X2" s="17"/>
      <c r="Y2" s="17"/>
      <c r="Z2" s="17"/>
      <c r="AA2" s="17"/>
      <c r="AB2" s="17"/>
      <c r="AC2" s="17"/>
      <c r="AD2" s="17"/>
      <c r="AE2" s="41" t="s">
        <v>0</v>
      </c>
      <c r="AF2" s="42"/>
      <c r="AG2" s="43"/>
      <c r="AH2" s="36" t="s">
        <v>2</v>
      </c>
      <c r="AI2" s="37"/>
      <c r="AJ2" s="38"/>
    </row>
    <row r="3" spans="2:36" s="1" customFormat="1" ht="30" customHeight="1" x14ac:dyDescent="0.25">
      <c r="B3" s="32" t="s">
        <v>25</v>
      </c>
      <c r="C3" s="33"/>
      <c r="D3" s="33"/>
      <c r="E3" s="33"/>
      <c r="F3" s="33"/>
      <c r="G3" s="33"/>
      <c r="H3" s="33"/>
      <c r="I3" s="33"/>
      <c r="J3" s="34"/>
      <c r="K3" s="18" t="str">
        <f>VLOOKUP(B3,Students[],3,0)</f>
        <v>UF99</v>
      </c>
      <c r="L3" s="18"/>
      <c r="M3" s="18"/>
      <c r="N3" s="18"/>
      <c r="O3" s="18"/>
      <c r="P3" s="18" t="str">
        <f>VLOOKUP(B3,Students[],2,0)</f>
        <v>Male</v>
      </c>
      <c r="Q3" s="18"/>
      <c r="R3" s="18"/>
      <c r="S3" s="40">
        <f>VLOOKUP(B3,Students[],4,0)</f>
        <v>38426</v>
      </c>
      <c r="T3" s="40"/>
      <c r="U3" s="40"/>
      <c r="V3" s="40"/>
      <c r="W3" s="18" t="s">
        <v>129</v>
      </c>
      <c r="X3" s="18"/>
      <c r="Y3" s="18"/>
      <c r="Z3" s="18"/>
      <c r="AA3" s="18"/>
      <c r="AB3" s="18"/>
      <c r="AC3" s="18"/>
      <c r="AD3" s="18"/>
      <c r="AE3" s="44">
        <f>VLOOKUP(B3,Students[],5,0)</f>
        <v>8</v>
      </c>
      <c r="AF3" s="45"/>
      <c r="AG3" s="45"/>
      <c r="AH3" s="39">
        <f>VLOOKUP(B3,Students[],6,0)</f>
        <v>3</v>
      </c>
      <c r="AI3" s="39"/>
      <c r="AJ3" s="39"/>
    </row>
    <row r="4" spans="2:36" s="1" customFormat="1" ht="30" customHeight="1" x14ac:dyDescent="0.25">
      <c r="B4" s="29" t="s">
        <v>70</v>
      </c>
      <c r="C4" s="30"/>
      <c r="D4" s="30"/>
      <c r="E4" s="30"/>
      <c r="F4" s="30"/>
      <c r="G4" s="30"/>
      <c r="H4" s="30"/>
      <c r="I4" s="30"/>
      <c r="J4" s="31"/>
      <c r="K4" s="17" t="s">
        <v>71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 t="s">
        <v>72</v>
      </c>
      <c r="X4" s="17"/>
      <c r="Y4" s="17"/>
      <c r="Z4" s="17"/>
      <c r="AA4" s="17"/>
      <c r="AB4" s="17"/>
      <c r="AC4" s="17"/>
      <c r="AD4" s="17"/>
      <c r="AE4" s="17" t="s">
        <v>73</v>
      </c>
      <c r="AF4" s="17"/>
      <c r="AG4" s="17"/>
      <c r="AH4" s="22"/>
      <c r="AI4" s="22"/>
      <c r="AJ4" s="22"/>
    </row>
    <row r="5" spans="2:36" s="1" customFormat="1" ht="30" customHeight="1" x14ac:dyDescent="0.25">
      <c r="B5" s="32" t="str">
        <f>VLOOKUP(B3,Students[],7,0)</f>
        <v>Sa'ad</v>
      </c>
      <c r="C5" s="33"/>
      <c r="D5" s="33"/>
      <c r="E5" s="33"/>
      <c r="F5" s="33"/>
      <c r="G5" s="33"/>
      <c r="H5" s="33"/>
      <c r="I5" s="33"/>
      <c r="J5" s="34"/>
      <c r="K5" s="18" t="str">
        <f>VLOOKUP(B3,Students[],8,0)</f>
        <v>Yasmeen</v>
      </c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9">
        <f>VLOOKUP(B3,Students[],9,0)</f>
        <v>5440595972</v>
      </c>
      <c r="X5" s="19"/>
      <c r="Y5" s="19"/>
      <c r="Z5" s="19"/>
      <c r="AA5" s="19"/>
      <c r="AB5" s="19"/>
      <c r="AC5" s="19"/>
      <c r="AD5" s="19"/>
      <c r="AE5" s="19" t="str">
        <f>VLOOKUP(B3,Students[],10,0)</f>
        <v>Saffan Jad</v>
      </c>
      <c r="AF5" s="19"/>
      <c r="AG5" s="19"/>
      <c r="AH5" s="19"/>
      <c r="AI5" s="19"/>
      <c r="AJ5" s="19"/>
    </row>
    <row r="6" spans="2:36" s="1" customFormat="1" ht="30" customHeight="1" x14ac:dyDescent="0.25">
      <c r="B6" s="23" t="s">
        <v>11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0" t="s">
        <v>3</v>
      </c>
      <c r="AH6" s="21"/>
      <c r="AI6" s="21"/>
      <c r="AJ6" s="21"/>
    </row>
    <row r="7" spans="2:36" s="1" customFormat="1" ht="30" customHeight="1" x14ac:dyDescent="0.25">
      <c r="B7" s="25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9" t="s">
        <v>4</v>
      </c>
      <c r="AH7" s="10" t="s">
        <v>5</v>
      </c>
      <c r="AI7" s="10" t="s">
        <v>6</v>
      </c>
      <c r="AJ7" s="10" t="s">
        <v>7</v>
      </c>
    </row>
    <row r="8" spans="2:36" s="1" customFormat="1" ht="30" customHeight="1" x14ac:dyDescent="0.25">
      <c r="B8" s="27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6">
        <f>COUNTIF($C9:$AF9,"T")</f>
        <v>0</v>
      </c>
      <c r="AH8" s="15">
        <f>COUNTIF($C9:$AF9,"U")</f>
        <v>2</v>
      </c>
      <c r="AI8" s="15">
        <f>COUNTIF($C9:$AF9,"E")</f>
        <v>0</v>
      </c>
      <c r="AJ8" s="15">
        <f>COUNTIF($C9:$AF9,"P")</f>
        <v>28</v>
      </c>
    </row>
    <row r="9" spans="2:36" s="1" customFormat="1" ht="30" customHeight="1" x14ac:dyDescent="0.25">
      <c r="B9" s="28"/>
      <c r="C9" s="12" t="str">
        <f>INDEX(Table2[[1]:[30]],MATCH('Saleem Halem'!$B$3,Attendance!$B$5:$B$22,0),MATCH('Saleem Halem'!C8,Attendance!$C$4:$AF$4,0))</f>
        <v>P</v>
      </c>
      <c r="D9" s="12" t="str">
        <f>INDEX(Table2[[1]:[30]],MATCH('Saleem Halem'!$B$3,Attendance!$B$5:$B$22,0),MATCH('Saleem Halem'!D8,Attendance!$C$4:$AF$4,0))</f>
        <v>P</v>
      </c>
      <c r="E9" s="12" t="str">
        <f>INDEX(Table2[[1]:[30]],MATCH('Saleem Halem'!$B$3,Attendance!$B$5:$B$22,0),MATCH('Saleem Halem'!E8,Attendance!$C$4:$AF$4,0))</f>
        <v>P</v>
      </c>
      <c r="F9" s="12" t="str">
        <f>INDEX(Table2[[1]:[30]],MATCH('Saleem Halem'!$B$3,Attendance!$B$5:$B$22,0),MATCH('Saleem Halem'!F8,Attendance!$C$4:$AF$4,0))</f>
        <v>P</v>
      </c>
      <c r="G9" s="12" t="str">
        <f>INDEX(Table2[[1]:[30]],MATCH('Saleem Halem'!$B$3,Attendance!$B$5:$B$22,0),MATCH('Saleem Halem'!G8,Attendance!$C$4:$AF$4,0))</f>
        <v>P</v>
      </c>
      <c r="H9" s="12" t="str">
        <f>INDEX(Table2[[1]:[30]],MATCH('Saleem Halem'!$B$3,Attendance!$B$5:$B$22,0),MATCH('Saleem Halem'!H8,Attendance!$C$4:$AF$4,0))</f>
        <v>P</v>
      </c>
      <c r="I9" s="12" t="str">
        <f>INDEX(Table2[[1]:[30]],MATCH('Saleem Halem'!$B$3,Attendance!$B$5:$B$22,0),MATCH('Saleem Halem'!I8,Attendance!$C$4:$AF$4,0))</f>
        <v>P</v>
      </c>
      <c r="J9" s="12" t="str">
        <f>INDEX(Table2[[1]:[30]],MATCH('Saleem Halem'!$B$3,Attendance!$B$5:$B$22,0),MATCH('Saleem Halem'!J8,Attendance!$C$4:$AF$4,0))</f>
        <v>P</v>
      </c>
      <c r="K9" s="12" t="str">
        <f>INDEX(Table2[[1]:[30]],MATCH('Saleem Halem'!$B$3,Attendance!$B$5:$B$22,0),MATCH('Saleem Halem'!K8,Attendance!$C$4:$AF$4,0))</f>
        <v>P</v>
      </c>
      <c r="L9" s="12" t="str">
        <f>INDEX(Table2[[1]:[30]],MATCH('Saleem Halem'!$B$3,Attendance!$B$5:$B$22,0),MATCH('Saleem Halem'!L8,Attendance!$C$4:$AF$4,0))</f>
        <v>P</v>
      </c>
      <c r="M9" s="12" t="str">
        <f>INDEX(Table2[[1]:[30]],MATCH('Saleem Halem'!$B$3,Attendance!$B$5:$B$22,0),MATCH('Saleem Halem'!M8,Attendance!$C$4:$AF$4,0))</f>
        <v>P</v>
      </c>
      <c r="N9" s="12" t="str">
        <f>INDEX(Table2[[1]:[30]],MATCH('Saleem Halem'!$B$3,Attendance!$B$5:$B$22,0),MATCH('Saleem Halem'!N8,Attendance!$C$4:$AF$4,0))</f>
        <v>P</v>
      </c>
      <c r="O9" s="12" t="str">
        <f>INDEX(Table2[[1]:[30]],MATCH('Saleem Halem'!$B$3,Attendance!$B$5:$B$22,0),MATCH('Saleem Halem'!O8,Attendance!$C$4:$AF$4,0))</f>
        <v>P</v>
      </c>
      <c r="P9" s="12" t="str">
        <f>INDEX(Table2[[1]:[30]],MATCH('Saleem Halem'!$B$3,Attendance!$B$5:$B$22,0),MATCH('Saleem Halem'!P8,Attendance!$C$4:$AF$4,0))</f>
        <v>P</v>
      </c>
      <c r="Q9" s="12" t="str">
        <f>INDEX(Table2[[1]:[30]],MATCH('Saleem Halem'!$B$3,Attendance!$B$5:$B$22,0),MATCH('Saleem Halem'!Q8,Attendance!$C$4:$AF$4,0))</f>
        <v>P</v>
      </c>
      <c r="R9" s="12" t="str">
        <f>INDEX(Table2[[1]:[30]],MATCH('Saleem Halem'!$B$3,Attendance!$B$5:$B$22,0),MATCH('Saleem Halem'!R8,Attendance!$C$4:$AF$4,0))</f>
        <v>P</v>
      </c>
      <c r="S9" s="12" t="str">
        <f>INDEX(Table2[[1]:[30]],MATCH('Saleem Halem'!$B$3,Attendance!$B$5:$B$22,0),MATCH('Saleem Halem'!S8,Attendance!$C$4:$AF$4,0))</f>
        <v>P</v>
      </c>
      <c r="T9" s="12" t="str">
        <f>INDEX(Table2[[1]:[30]],MATCH('Saleem Halem'!$B$3,Attendance!$B$5:$B$22,0),MATCH('Saleem Halem'!T8,Attendance!$C$4:$AF$4,0))</f>
        <v>P</v>
      </c>
      <c r="U9" s="12" t="str">
        <f>INDEX(Table2[[1]:[30]],MATCH('Saleem Halem'!$B$3,Attendance!$B$5:$B$22,0),MATCH('Saleem Halem'!U8,Attendance!$C$4:$AF$4,0))</f>
        <v>P</v>
      </c>
      <c r="V9" s="12" t="str">
        <f>INDEX(Table2[[1]:[30]],MATCH('Saleem Halem'!$B$3,Attendance!$B$5:$B$22,0),MATCH('Saleem Halem'!V8,Attendance!$C$4:$AF$4,0))</f>
        <v>P</v>
      </c>
      <c r="W9" s="12" t="str">
        <f>INDEX(Table2[[1]:[30]],MATCH('Saleem Halem'!$B$3,Attendance!$B$5:$B$22,0),MATCH('Saleem Halem'!W8,Attendance!$C$4:$AF$4,0))</f>
        <v>P</v>
      </c>
      <c r="X9" s="12" t="str">
        <f>INDEX(Table2[[1]:[30]],MATCH('Saleem Halem'!$B$3,Attendance!$B$5:$B$22,0),MATCH('Saleem Halem'!X8,Attendance!$C$4:$AF$4,0))</f>
        <v>P</v>
      </c>
      <c r="Y9" s="12" t="str">
        <f>INDEX(Table2[[1]:[30]],MATCH('Saleem Halem'!$B$3,Attendance!$B$5:$B$22,0),MATCH('Saleem Halem'!Y8,Attendance!$C$4:$AF$4,0))</f>
        <v>P</v>
      </c>
      <c r="Z9" s="12" t="str">
        <f>INDEX(Table2[[1]:[30]],MATCH('Saleem Halem'!$B$3,Attendance!$B$5:$B$22,0),MATCH('Saleem Halem'!Z8,Attendance!$C$4:$AF$4,0))</f>
        <v>P</v>
      </c>
      <c r="AA9" s="12" t="str">
        <f>INDEX(Table2[[1]:[30]],MATCH('Saleem Halem'!$B$3,Attendance!$B$5:$B$22,0),MATCH('Saleem Halem'!AA8,Attendance!$C$4:$AF$4,0))</f>
        <v>U</v>
      </c>
      <c r="AB9" s="12" t="str">
        <f>INDEX(Table2[[1]:[30]],MATCH('Saleem Halem'!$B$3,Attendance!$B$5:$B$22,0),MATCH('Saleem Halem'!AB8,Attendance!$C$4:$AF$4,0))</f>
        <v>P</v>
      </c>
      <c r="AC9" s="12" t="str">
        <f>INDEX(Table2[[1]:[30]],MATCH('Saleem Halem'!$B$3,Attendance!$B$5:$B$22,0),MATCH('Saleem Halem'!AC8,Attendance!$C$4:$AF$4,0))</f>
        <v>P</v>
      </c>
      <c r="AD9" s="12" t="str">
        <f>INDEX(Table2[[1]:[30]],MATCH('Saleem Halem'!$B$3,Attendance!$B$5:$B$22,0),MATCH('Saleem Halem'!AD8,Attendance!$C$4:$AF$4,0))</f>
        <v>P</v>
      </c>
      <c r="AE9" s="12" t="str">
        <f>INDEX(Table2[[1]:[30]],MATCH('Saleem Halem'!$B$3,Attendance!$B$5:$B$22,0),MATCH('Saleem Halem'!AE8,Attendance!$C$4:$AF$4,0))</f>
        <v>P</v>
      </c>
      <c r="AF9" s="12" t="str">
        <f>INDEX(Table2[[1]:[30]],MATCH('Saleem Halem'!$B$3,Attendance!$B$5:$B$22,0),MATCH('Saleem Halem'!AF8,Attendance!$C$4:$AF$4,0))</f>
        <v>U</v>
      </c>
      <c r="AG9" s="16"/>
      <c r="AH9" s="15"/>
      <c r="AI9" s="15"/>
      <c r="AJ9" s="15"/>
    </row>
    <row r="10" spans="2:36" ht="30" customHeight="1" x14ac:dyDescent="0.25">
      <c r="C10" t="e" cm="1">
        <f t="array" ref="C10:K10">INDEX(Table2[#All],MATCH('Saleem Halem'!$B$3:$J$3,Table2[#All],0))</f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B1:R1"/>
    <mergeCell ref="B2:J2"/>
    <mergeCell ref="K2:O2"/>
    <mergeCell ref="P2:R2"/>
    <mergeCell ref="S2:V2"/>
    <mergeCell ref="AE2:AG2"/>
    <mergeCell ref="AH2:AJ2"/>
    <mergeCell ref="B3:J3"/>
    <mergeCell ref="K3:O3"/>
    <mergeCell ref="P3:R3"/>
    <mergeCell ref="S3:V3"/>
    <mergeCell ref="W3:AD3"/>
    <mergeCell ref="AE3:AG3"/>
    <mergeCell ref="AH3:AJ3"/>
    <mergeCell ref="W2:AD2"/>
    <mergeCell ref="B4:J4"/>
    <mergeCell ref="K4:V4"/>
    <mergeCell ref="W4:AD4"/>
    <mergeCell ref="AE4:AJ4"/>
    <mergeCell ref="B5:J5"/>
    <mergeCell ref="K5:V5"/>
    <mergeCell ref="W5:AD5"/>
    <mergeCell ref="AE5:AJ5"/>
    <mergeCell ref="B6:AF7"/>
    <mergeCell ref="AG6:AJ6"/>
    <mergeCell ref="B8:B9"/>
    <mergeCell ref="AG8:AG9"/>
    <mergeCell ref="AH8:AH9"/>
    <mergeCell ref="AI8:AI9"/>
    <mergeCell ref="AJ8:AJ9"/>
  </mergeCells>
  <conditionalFormatting sqref="C9:AF9">
    <cfRule type="cellIs" dxfId="55" priority="1" operator="equal">
      <formula>"U"</formula>
    </cfRule>
    <cfRule type="cellIs" dxfId="54" priority="2" operator="equal">
      <formula>"E"</formula>
    </cfRule>
    <cfRule type="cellIs" dxfId="53" priority="3" operator="equal">
      <formula>"T"</formula>
    </cfRule>
    <cfRule type="cellIs" dxfId="52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3C4A5-DA2D-4AC0-BD63-91ED88952BCA}">
  <sheetPr codeName="Sheet15">
    <tabColor indexed="41"/>
    <pageSetUpPr fitToPage="1"/>
  </sheetPr>
  <dimension ref="B1:AJ10"/>
  <sheetViews>
    <sheetView showGridLines="0" zoomScale="90" zoomScaleNormal="90" workbookViewId="0">
      <selection activeCell="P3" sqref="P3:R3"/>
    </sheetView>
  </sheetViews>
  <sheetFormatPr defaultColWidth="9" defaultRowHeight="30" customHeight="1" x14ac:dyDescent="0.25"/>
  <cols>
    <col min="1" max="1" width="2.625" style="2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style="2" customWidth="1"/>
    <col min="38" max="16384" width="9" style="2"/>
  </cols>
  <sheetData>
    <row r="1" spans="2:36" s="1" customFormat="1" ht="38.1" customHeight="1" x14ac:dyDescent="0.25">
      <c r="B1" s="35" t="s">
        <v>14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</row>
    <row r="2" spans="2:36" s="1" customFormat="1" ht="30" customHeight="1" x14ac:dyDescent="0.25">
      <c r="B2" s="29" t="s">
        <v>8</v>
      </c>
      <c r="C2" s="30"/>
      <c r="D2" s="30"/>
      <c r="E2" s="30"/>
      <c r="F2" s="30"/>
      <c r="G2" s="30"/>
      <c r="H2" s="30"/>
      <c r="I2" s="30"/>
      <c r="J2" s="31"/>
      <c r="K2" s="17" t="s">
        <v>10</v>
      </c>
      <c r="L2" s="17"/>
      <c r="M2" s="17"/>
      <c r="N2" s="17"/>
      <c r="O2" s="17"/>
      <c r="P2" s="17" t="s">
        <v>12</v>
      </c>
      <c r="Q2" s="17"/>
      <c r="R2" s="17"/>
      <c r="S2" s="17" t="s">
        <v>9</v>
      </c>
      <c r="T2" s="17"/>
      <c r="U2" s="17"/>
      <c r="V2" s="17"/>
      <c r="W2" s="17" t="s">
        <v>1</v>
      </c>
      <c r="X2" s="17"/>
      <c r="Y2" s="17"/>
      <c r="Z2" s="17"/>
      <c r="AA2" s="17"/>
      <c r="AB2" s="17"/>
      <c r="AC2" s="17"/>
      <c r="AD2" s="17"/>
      <c r="AE2" s="41" t="s">
        <v>0</v>
      </c>
      <c r="AF2" s="42"/>
      <c r="AG2" s="43"/>
      <c r="AH2" s="36" t="s">
        <v>2</v>
      </c>
      <c r="AI2" s="37"/>
      <c r="AJ2" s="38"/>
    </row>
    <row r="3" spans="2:36" s="1" customFormat="1" ht="30" customHeight="1" x14ac:dyDescent="0.25">
      <c r="B3" s="32" t="s">
        <v>28</v>
      </c>
      <c r="C3" s="33"/>
      <c r="D3" s="33"/>
      <c r="E3" s="33"/>
      <c r="F3" s="33"/>
      <c r="G3" s="33"/>
      <c r="H3" s="33"/>
      <c r="I3" s="33"/>
      <c r="J3" s="34"/>
      <c r="K3" s="18" t="str">
        <f>VLOOKUP(B3,Students[],3,0)</f>
        <v>GU36</v>
      </c>
      <c r="L3" s="18"/>
      <c r="M3" s="18"/>
      <c r="N3" s="18"/>
      <c r="O3" s="18"/>
      <c r="P3" s="18" t="str">
        <f>VLOOKUP(B3,Students[],2,0)</f>
        <v>Male</v>
      </c>
      <c r="Q3" s="18"/>
      <c r="R3" s="18"/>
      <c r="S3" s="40">
        <f>VLOOKUP(B3,Students[],4,0)</f>
        <v>38987</v>
      </c>
      <c r="T3" s="40"/>
      <c r="U3" s="40"/>
      <c r="V3" s="40"/>
      <c r="W3" s="18" t="s">
        <v>129</v>
      </c>
      <c r="X3" s="18"/>
      <c r="Y3" s="18"/>
      <c r="Z3" s="18"/>
      <c r="AA3" s="18"/>
      <c r="AB3" s="18"/>
      <c r="AC3" s="18"/>
      <c r="AD3" s="18"/>
      <c r="AE3" s="44">
        <f>VLOOKUP(B3,Students[],5,0)</f>
        <v>7</v>
      </c>
      <c r="AF3" s="45"/>
      <c r="AG3" s="45"/>
      <c r="AH3" s="39">
        <f>VLOOKUP(B3,Students[],6,0)</f>
        <v>5</v>
      </c>
      <c r="AI3" s="39"/>
      <c r="AJ3" s="39"/>
    </row>
    <row r="4" spans="2:36" s="1" customFormat="1" ht="30" customHeight="1" x14ac:dyDescent="0.25">
      <c r="B4" s="29" t="s">
        <v>70</v>
      </c>
      <c r="C4" s="30"/>
      <c r="D4" s="30"/>
      <c r="E4" s="30"/>
      <c r="F4" s="30"/>
      <c r="G4" s="30"/>
      <c r="H4" s="30"/>
      <c r="I4" s="30"/>
      <c r="J4" s="31"/>
      <c r="K4" s="17" t="s">
        <v>71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 t="s">
        <v>72</v>
      </c>
      <c r="X4" s="17"/>
      <c r="Y4" s="17"/>
      <c r="Z4" s="17"/>
      <c r="AA4" s="17"/>
      <c r="AB4" s="17"/>
      <c r="AC4" s="17"/>
      <c r="AD4" s="17"/>
      <c r="AE4" s="17" t="s">
        <v>73</v>
      </c>
      <c r="AF4" s="17"/>
      <c r="AG4" s="17"/>
      <c r="AH4" s="22"/>
      <c r="AI4" s="22"/>
      <c r="AJ4" s="22"/>
    </row>
    <row r="5" spans="2:36" s="1" customFormat="1" ht="30" customHeight="1" x14ac:dyDescent="0.25">
      <c r="B5" s="32" t="str">
        <f>VLOOKUP(B3,Students[],7,0)</f>
        <v>Saman</v>
      </c>
      <c r="C5" s="33"/>
      <c r="D5" s="33"/>
      <c r="E5" s="33"/>
      <c r="F5" s="33"/>
      <c r="G5" s="33"/>
      <c r="H5" s="33"/>
      <c r="I5" s="33"/>
      <c r="J5" s="34"/>
      <c r="K5" s="18" t="str">
        <f>VLOOKUP(B3,Students[],8,0)</f>
        <v>Amal</v>
      </c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9">
        <f>VLOOKUP(B3,Students[],9,0)</f>
        <v>5340690667</v>
      </c>
      <c r="X5" s="19"/>
      <c r="Y5" s="19"/>
      <c r="Z5" s="19"/>
      <c r="AA5" s="19"/>
      <c r="AB5" s="19"/>
      <c r="AC5" s="19"/>
      <c r="AD5" s="19"/>
      <c r="AE5" s="19" t="str">
        <f>VLOOKUP(B3,Students[],10,0)</f>
        <v>Taqatoa Al Ahal</v>
      </c>
      <c r="AF5" s="19"/>
      <c r="AG5" s="19"/>
      <c r="AH5" s="19"/>
      <c r="AI5" s="19"/>
      <c r="AJ5" s="19"/>
    </row>
    <row r="6" spans="2:36" s="1" customFormat="1" ht="30" customHeight="1" x14ac:dyDescent="0.25">
      <c r="B6" s="23" t="s">
        <v>11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0" t="s">
        <v>3</v>
      </c>
      <c r="AH6" s="21"/>
      <c r="AI6" s="21"/>
      <c r="AJ6" s="21"/>
    </row>
    <row r="7" spans="2:36" s="1" customFormat="1" ht="30" customHeight="1" x14ac:dyDescent="0.25">
      <c r="B7" s="25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9" t="s">
        <v>4</v>
      </c>
      <c r="AH7" s="10" t="s">
        <v>5</v>
      </c>
      <c r="AI7" s="10" t="s">
        <v>6</v>
      </c>
      <c r="AJ7" s="10" t="s">
        <v>7</v>
      </c>
    </row>
    <row r="8" spans="2:36" s="1" customFormat="1" ht="30" customHeight="1" x14ac:dyDescent="0.25">
      <c r="B8" s="27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6">
        <f>COUNTIF($C9:$AF9,"T")</f>
        <v>1</v>
      </c>
      <c r="AH8" s="15">
        <f>COUNTIF($C9:$AF9,"U")</f>
        <v>0</v>
      </c>
      <c r="AI8" s="15">
        <f>COUNTIF($C9:$AF9,"E")</f>
        <v>1</v>
      </c>
      <c r="AJ8" s="15">
        <f>COUNTIF($C9:$AF9,"P")</f>
        <v>28</v>
      </c>
    </row>
    <row r="9" spans="2:36" s="1" customFormat="1" ht="30" customHeight="1" x14ac:dyDescent="0.25">
      <c r="B9" s="28"/>
      <c r="C9" s="12" t="str">
        <f>INDEX(Table2[[1]:[30]],MATCH('Saeed Qays'!$B$3,Attendance!$B$5:$B$22,0),MATCH('Saeed Qays'!C8,Attendance!$C$4:$AF$4,0))</f>
        <v>P</v>
      </c>
      <c r="D9" s="12" t="str">
        <f>INDEX(Table2[[1]:[30]],MATCH('Saeed Qays'!$B$3,Attendance!$B$5:$B$22,0),MATCH('Saeed Qays'!D8,Attendance!$C$4:$AF$4,0))</f>
        <v>P</v>
      </c>
      <c r="E9" s="12" t="str">
        <f>INDEX(Table2[[1]:[30]],MATCH('Saeed Qays'!$B$3,Attendance!$B$5:$B$22,0),MATCH('Saeed Qays'!E8,Attendance!$C$4:$AF$4,0))</f>
        <v>P</v>
      </c>
      <c r="F9" s="12" t="str">
        <f>INDEX(Table2[[1]:[30]],MATCH('Saeed Qays'!$B$3,Attendance!$B$5:$B$22,0),MATCH('Saeed Qays'!F8,Attendance!$C$4:$AF$4,0))</f>
        <v>P</v>
      </c>
      <c r="G9" s="12" t="str">
        <f>INDEX(Table2[[1]:[30]],MATCH('Saeed Qays'!$B$3,Attendance!$B$5:$B$22,0),MATCH('Saeed Qays'!G8,Attendance!$C$4:$AF$4,0))</f>
        <v>P</v>
      </c>
      <c r="H9" s="12" t="str">
        <f>INDEX(Table2[[1]:[30]],MATCH('Saeed Qays'!$B$3,Attendance!$B$5:$B$22,0),MATCH('Saeed Qays'!H8,Attendance!$C$4:$AF$4,0))</f>
        <v>P</v>
      </c>
      <c r="I9" s="12" t="str">
        <f>INDEX(Table2[[1]:[30]],MATCH('Saeed Qays'!$B$3,Attendance!$B$5:$B$22,0),MATCH('Saeed Qays'!I8,Attendance!$C$4:$AF$4,0))</f>
        <v>P</v>
      </c>
      <c r="J9" s="12" t="str">
        <f>INDEX(Table2[[1]:[30]],MATCH('Saeed Qays'!$B$3,Attendance!$B$5:$B$22,0),MATCH('Saeed Qays'!J8,Attendance!$C$4:$AF$4,0))</f>
        <v>P</v>
      </c>
      <c r="K9" s="12" t="str">
        <f>INDEX(Table2[[1]:[30]],MATCH('Saeed Qays'!$B$3,Attendance!$B$5:$B$22,0),MATCH('Saeed Qays'!K8,Attendance!$C$4:$AF$4,0))</f>
        <v>P</v>
      </c>
      <c r="L9" s="12" t="str">
        <f>INDEX(Table2[[1]:[30]],MATCH('Saeed Qays'!$B$3,Attendance!$B$5:$B$22,0),MATCH('Saeed Qays'!L8,Attendance!$C$4:$AF$4,0))</f>
        <v>P</v>
      </c>
      <c r="M9" s="12" t="str">
        <f>INDEX(Table2[[1]:[30]],MATCH('Saeed Qays'!$B$3,Attendance!$B$5:$B$22,0),MATCH('Saeed Qays'!M8,Attendance!$C$4:$AF$4,0))</f>
        <v>P</v>
      </c>
      <c r="N9" s="12" t="str">
        <f>INDEX(Table2[[1]:[30]],MATCH('Saeed Qays'!$B$3,Attendance!$B$5:$B$22,0),MATCH('Saeed Qays'!N8,Attendance!$C$4:$AF$4,0))</f>
        <v>P</v>
      </c>
      <c r="O9" s="12" t="str">
        <f>INDEX(Table2[[1]:[30]],MATCH('Saeed Qays'!$B$3,Attendance!$B$5:$B$22,0),MATCH('Saeed Qays'!O8,Attendance!$C$4:$AF$4,0))</f>
        <v>P</v>
      </c>
      <c r="P9" s="12" t="str">
        <f>INDEX(Table2[[1]:[30]],MATCH('Saeed Qays'!$B$3,Attendance!$B$5:$B$22,0),MATCH('Saeed Qays'!P8,Attendance!$C$4:$AF$4,0))</f>
        <v>P</v>
      </c>
      <c r="Q9" s="12" t="str">
        <f>INDEX(Table2[[1]:[30]],MATCH('Saeed Qays'!$B$3,Attendance!$B$5:$B$22,0),MATCH('Saeed Qays'!Q8,Attendance!$C$4:$AF$4,0))</f>
        <v>P</v>
      </c>
      <c r="R9" s="12" t="str">
        <f>INDEX(Table2[[1]:[30]],MATCH('Saeed Qays'!$B$3,Attendance!$B$5:$B$22,0),MATCH('Saeed Qays'!R8,Attendance!$C$4:$AF$4,0))</f>
        <v>P</v>
      </c>
      <c r="S9" s="12" t="str">
        <f>INDEX(Table2[[1]:[30]],MATCH('Saeed Qays'!$B$3,Attendance!$B$5:$B$22,0),MATCH('Saeed Qays'!S8,Attendance!$C$4:$AF$4,0))</f>
        <v>P</v>
      </c>
      <c r="T9" s="12" t="str">
        <f>INDEX(Table2[[1]:[30]],MATCH('Saeed Qays'!$B$3,Attendance!$B$5:$B$22,0),MATCH('Saeed Qays'!T8,Attendance!$C$4:$AF$4,0))</f>
        <v>P</v>
      </c>
      <c r="U9" s="12" t="str">
        <f>INDEX(Table2[[1]:[30]],MATCH('Saeed Qays'!$B$3,Attendance!$B$5:$B$22,0),MATCH('Saeed Qays'!U8,Attendance!$C$4:$AF$4,0))</f>
        <v>P</v>
      </c>
      <c r="V9" s="12" t="str">
        <f>INDEX(Table2[[1]:[30]],MATCH('Saeed Qays'!$B$3,Attendance!$B$5:$B$22,0),MATCH('Saeed Qays'!V8,Attendance!$C$4:$AF$4,0))</f>
        <v>P</v>
      </c>
      <c r="W9" s="12" t="str">
        <f>INDEX(Table2[[1]:[30]],MATCH('Saeed Qays'!$B$3,Attendance!$B$5:$B$22,0),MATCH('Saeed Qays'!W8,Attendance!$C$4:$AF$4,0))</f>
        <v>P</v>
      </c>
      <c r="X9" s="12" t="str">
        <f>INDEX(Table2[[1]:[30]],MATCH('Saeed Qays'!$B$3,Attendance!$B$5:$B$22,0),MATCH('Saeed Qays'!X8,Attendance!$C$4:$AF$4,0))</f>
        <v>P</v>
      </c>
      <c r="Y9" s="12" t="str">
        <f>INDEX(Table2[[1]:[30]],MATCH('Saeed Qays'!$B$3,Attendance!$B$5:$B$22,0),MATCH('Saeed Qays'!Y8,Attendance!$C$4:$AF$4,0))</f>
        <v>T</v>
      </c>
      <c r="Z9" s="12" t="str">
        <f>INDEX(Table2[[1]:[30]],MATCH('Saeed Qays'!$B$3,Attendance!$B$5:$B$22,0),MATCH('Saeed Qays'!Z8,Attendance!$C$4:$AF$4,0))</f>
        <v>P</v>
      </c>
      <c r="AA9" s="12" t="str">
        <f>INDEX(Table2[[1]:[30]],MATCH('Saeed Qays'!$B$3,Attendance!$B$5:$B$22,0),MATCH('Saeed Qays'!AA8,Attendance!$C$4:$AF$4,0))</f>
        <v>P</v>
      </c>
      <c r="AB9" s="12" t="str">
        <f>INDEX(Table2[[1]:[30]],MATCH('Saeed Qays'!$B$3,Attendance!$B$5:$B$22,0),MATCH('Saeed Qays'!AB8,Attendance!$C$4:$AF$4,0))</f>
        <v>P</v>
      </c>
      <c r="AC9" s="12" t="str">
        <f>INDEX(Table2[[1]:[30]],MATCH('Saeed Qays'!$B$3,Attendance!$B$5:$B$22,0),MATCH('Saeed Qays'!AC8,Attendance!$C$4:$AF$4,0))</f>
        <v>P</v>
      </c>
      <c r="AD9" s="12" t="str">
        <f>INDEX(Table2[[1]:[30]],MATCH('Saeed Qays'!$B$3,Attendance!$B$5:$B$22,0),MATCH('Saeed Qays'!AD8,Attendance!$C$4:$AF$4,0))</f>
        <v>E</v>
      </c>
      <c r="AE9" s="12" t="str">
        <f>INDEX(Table2[[1]:[30]],MATCH('Saeed Qays'!$B$3,Attendance!$B$5:$B$22,0),MATCH('Saeed Qays'!AE8,Attendance!$C$4:$AF$4,0))</f>
        <v>P</v>
      </c>
      <c r="AF9" s="12" t="str">
        <f>INDEX(Table2[[1]:[30]],MATCH('Saeed Qays'!$B$3,Attendance!$B$5:$B$22,0),MATCH('Saeed Qays'!AF8,Attendance!$C$4:$AF$4,0))</f>
        <v>P</v>
      </c>
      <c r="AG9" s="16"/>
      <c r="AH9" s="15"/>
      <c r="AI9" s="15"/>
      <c r="AJ9" s="15"/>
    </row>
    <row r="10" spans="2:36" ht="30" customHeight="1" x14ac:dyDescent="0.25">
      <c r="C10" t="e" cm="1">
        <f t="array" ref="C10:K10">INDEX(Table2[#All],MATCH('Saeed Qays'!$B$3:$J$3,Table2[#All],0))</f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B1:R1"/>
    <mergeCell ref="B2:J2"/>
    <mergeCell ref="K2:O2"/>
    <mergeCell ref="P2:R2"/>
    <mergeCell ref="S2:V2"/>
    <mergeCell ref="AE2:AG2"/>
    <mergeCell ref="AH2:AJ2"/>
    <mergeCell ref="B3:J3"/>
    <mergeCell ref="K3:O3"/>
    <mergeCell ref="P3:R3"/>
    <mergeCell ref="S3:V3"/>
    <mergeCell ref="W3:AD3"/>
    <mergeCell ref="AE3:AG3"/>
    <mergeCell ref="AH3:AJ3"/>
    <mergeCell ref="W2:AD2"/>
    <mergeCell ref="B4:J4"/>
    <mergeCell ref="K4:V4"/>
    <mergeCell ref="W4:AD4"/>
    <mergeCell ref="AE4:AJ4"/>
    <mergeCell ref="B5:J5"/>
    <mergeCell ref="K5:V5"/>
    <mergeCell ref="W5:AD5"/>
    <mergeCell ref="AE5:AJ5"/>
    <mergeCell ref="B6:AF7"/>
    <mergeCell ref="AG6:AJ6"/>
    <mergeCell ref="B8:B9"/>
    <mergeCell ref="AG8:AG9"/>
    <mergeCell ref="AH8:AH9"/>
    <mergeCell ref="AI8:AI9"/>
    <mergeCell ref="AJ8:AJ9"/>
  </mergeCells>
  <conditionalFormatting sqref="C9:AF9">
    <cfRule type="cellIs" dxfId="51" priority="1" operator="equal">
      <formula>"U"</formula>
    </cfRule>
    <cfRule type="cellIs" dxfId="50" priority="2" operator="equal">
      <formula>"E"</formula>
    </cfRule>
    <cfRule type="cellIs" dxfId="49" priority="3" operator="equal">
      <formula>"T"</formula>
    </cfRule>
    <cfRule type="cellIs" dxfId="48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AAE02-71B4-4DCB-BB11-615DEF99B87B}">
  <sheetPr codeName="Sheet14">
    <tabColor indexed="41"/>
    <pageSetUpPr fitToPage="1"/>
  </sheetPr>
  <dimension ref="B1:AJ10"/>
  <sheetViews>
    <sheetView showGridLines="0" zoomScale="90" zoomScaleNormal="90" workbookViewId="0">
      <selection activeCell="P3" sqref="P3:R3"/>
    </sheetView>
  </sheetViews>
  <sheetFormatPr defaultColWidth="9" defaultRowHeight="30" customHeight="1" x14ac:dyDescent="0.25"/>
  <cols>
    <col min="1" max="1" width="2.625" style="2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style="2" customWidth="1"/>
    <col min="38" max="16384" width="9" style="2"/>
  </cols>
  <sheetData>
    <row r="1" spans="2:36" s="1" customFormat="1" ht="38.1" customHeight="1" x14ac:dyDescent="0.25">
      <c r="B1" s="35" t="s">
        <v>14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</row>
    <row r="2" spans="2:36" s="1" customFormat="1" ht="30" customHeight="1" x14ac:dyDescent="0.25">
      <c r="B2" s="29" t="s">
        <v>8</v>
      </c>
      <c r="C2" s="30"/>
      <c r="D2" s="30"/>
      <c r="E2" s="30"/>
      <c r="F2" s="30"/>
      <c r="G2" s="30"/>
      <c r="H2" s="30"/>
      <c r="I2" s="30"/>
      <c r="J2" s="31"/>
      <c r="K2" s="17" t="s">
        <v>10</v>
      </c>
      <c r="L2" s="17"/>
      <c r="M2" s="17"/>
      <c r="N2" s="17"/>
      <c r="O2" s="17"/>
      <c r="P2" s="17" t="s">
        <v>12</v>
      </c>
      <c r="Q2" s="17"/>
      <c r="R2" s="17"/>
      <c r="S2" s="17" t="s">
        <v>9</v>
      </c>
      <c r="T2" s="17"/>
      <c r="U2" s="17"/>
      <c r="V2" s="17"/>
      <c r="W2" s="17" t="s">
        <v>1</v>
      </c>
      <c r="X2" s="17"/>
      <c r="Y2" s="17"/>
      <c r="Z2" s="17"/>
      <c r="AA2" s="17"/>
      <c r="AB2" s="17"/>
      <c r="AC2" s="17"/>
      <c r="AD2" s="17"/>
      <c r="AE2" s="41" t="s">
        <v>0</v>
      </c>
      <c r="AF2" s="42"/>
      <c r="AG2" s="43"/>
      <c r="AH2" s="36" t="s">
        <v>2</v>
      </c>
      <c r="AI2" s="37"/>
      <c r="AJ2" s="38"/>
    </row>
    <row r="3" spans="2:36" s="1" customFormat="1" ht="30" customHeight="1" x14ac:dyDescent="0.25">
      <c r="B3" s="32" t="s">
        <v>30</v>
      </c>
      <c r="C3" s="33"/>
      <c r="D3" s="33"/>
      <c r="E3" s="33"/>
      <c r="F3" s="33"/>
      <c r="G3" s="33"/>
      <c r="H3" s="33"/>
      <c r="I3" s="33"/>
      <c r="J3" s="34"/>
      <c r="K3" s="18" t="str">
        <f>VLOOKUP(B3,Students[],3,0)</f>
        <v>WH15</v>
      </c>
      <c r="L3" s="18"/>
      <c r="M3" s="18"/>
      <c r="N3" s="18"/>
      <c r="O3" s="18"/>
      <c r="P3" s="18" t="str">
        <f>VLOOKUP(B3,Students[],2,0)</f>
        <v>Male</v>
      </c>
      <c r="Q3" s="18"/>
      <c r="R3" s="18"/>
      <c r="S3" s="40">
        <f>VLOOKUP(B3,Students[],4,0)</f>
        <v>38373</v>
      </c>
      <c r="T3" s="40"/>
      <c r="U3" s="40"/>
      <c r="V3" s="40"/>
      <c r="W3" s="18" t="s">
        <v>129</v>
      </c>
      <c r="X3" s="18"/>
      <c r="Y3" s="18"/>
      <c r="Z3" s="18"/>
      <c r="AA3" s="18"/>
      <c r="AB3" s="18"/>
      <c r="AC3" s="18"/>
      <c r="AD3" s="18"/>
      <c r="AE3" s="44">
        <f>VLOOKUP(B3,Students[],5,0)</f>
        <v>8</v>
      </c>
      <c r="AF3" s="45"/>
      <c r="AG3" s="45"/>
      <c r="AH3" s="39">
        <f>VLOOKUP(B3,Students[],6,0)</f>
        <v>4</v>
      </c>
      <c r="AI3" s="39"/>
      <c r="AJ3" s="39"/>
    </row>
    <row r="4" spans="2:36" s="1" customFormat="1" ht="30" customHeight="1" x14ac:dyDescent="0.25">
      <c r="B4" s="29" t="s">
        <v>70</v>
      </c>
      <c r="C4" s="30"/>
      <c r="D4" s="30"/>
      <c r="E4" s="30"/>
      <c r="F4" s="30"/>
      <c r="G4" s="30"/>
      <c r="H4" s="30"/>
      <c r="I4" s="30"/>
      <c r="J4" s="31"/>
      <c r="K4" s="17" t="s">
        <v>71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 t="s">
        <v>72</v>
      </c>
      <c r="X4" s="17"/>
      <c r="Y4" s="17"/>
      <c r="Z4" s="17"/>
      <c r="AA4" s="17"/>
      <c r="AB4" s="17"/>
      <c r="AC4" s="17"/>
      <c r="AD4" s="17"/>
      <c r="AE4" s="17" t="s">
        <v>73</v>
      </c>
      <c r="AF4" s="17"/>
      <c r="AG4" s="17"/>
      <c r="AH4" s="22"/>
      <c r="AI4" s="22"/>
      <c r="AJ4" s="22"/>
    </row>
    <row r="5" spans="2:36" s="1" customFormat="1" ht="30" customHeight="1" x14ac:dyDescent="0.25">
      <c r="B5" s="32" t="str">
        <f>VLOOKUP(B3,Students[],7,0)</f>
        <v>Kareem</v>
      </c>
      <c r="C5" s="33"/>
      <c r="D5" s="33"/>
      <c r="E5" s="33"/>
      <c r="F5" s="33"/>
      <c r="G5" s="33"/>
      <c r="H5" s="33"/>
      <c r="I5" s="33"/>
      <c r="J5" s="34"/>
      <c r="K5" s="18" t="str">
        <f>VLOOKUP(B3,Students[],8,0)</f>
        <v>Omaymah</v>
      </c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9">
        <f>VLOOKUP(B3,Students[],9,0)</f>
        <v>5186255834</v>
      </c>
      <c r="X5" s="19"/>
      <c r="Y5" s="19"/>
      <c r="Z5" s="19"/>
      <c r="AA5" s="19"/>
      <c r="AB5" s="19"/>
      <c r="AC5" s="19"/>
      <c r="AD5" s="19"/>
      <c r="AE5" s="19" t="str">
        <f>VLOOKUP(B3,Students[],10,0)</f>
        <v>AlAndalous Jad</v>
      </c>
      <c r="AF5" s="19"/>
      <c r="AG5" s="19"/>
      <c r="AH5" s="19"/>
      <c r="AI5" s="19"/>
      <c r="AJ5" s="19"/>
    </row>
    <row r="6" spans="2:36" s="1" customFormat="1" ht="30" customHeight="1" x14ac:dyDescent="0.25">
      <c r="B6" s="23" t="s">
        <v>11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0" t="s">
        <v>3</v>
      </c>
      <c r="AH6" s="21"/>
      <c r="AI6" s="21"/>
      <c r="AJ6" s="21"/>
    </row>
    <row r="7" spans="2:36" s="1" customFormat="1" ht="30" customHeight="1" x14ac:dyDescent="0.25">
      <c r="B7" s="25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9" t="s">
        <v>4</v>
      </c>
      <c r="AH7" s="10" t="s">
        <v>5</v>
      </c>
      <c r="AI7" s="10" t="s">
        <v>6</v>
      </c>
      <c r="AJ7" s="10" t="s">
        <v>7</v>
      </c>
    </row>
    <row r="8" spans="2:36" s="1" customFormat="1" ht="30" customHeight="1" x14ac:dyDescent="0.25">
      <c r="B8" s="27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6">
        <f>COUNTIF($C9:$AF9,"T")</f>
        <v>2</v>
      </c>
      <c r="AH8" s="15">
        <f>COUNTIF($C9:$AF9,"U")</f>
        <v>0</v>
      </c>
      <c r="AI8" s="15">
        <f>COUNTIF($C9:$AF9,"E")</f>
        <v>0</v>
      </c>
      <c r="AJ8" s="15">
        <f>COUNTIF($C9:$AF9,"P")</f>
        <v>28</v>
      </c>
    </row>
    <row r="9" spans="2:36" s="1" customFormat="1" ht="30" customHeight="1" x14ac:dyDescent="0.25">
      <c r="B9" s="28"/>
      <c r="C9" s="12" t="str">
        <f>INDEX(Table2[[1]:[30]],MATCH('Najeeb Qanbar'!$B$3,Attendance!$B$5:$B$22,0),MATCH('Najeeb Qanbar'!C8,Attendance!$C$4:$AF$4,0))</f>
        <v>P</v>
      </c>
      <c r="D9" s="12" t="str">
        <f>INDEX(Table2[[1]:[30]],MATCH('Najeeb Qanbar'!$B$3,Attendance!$B$5:$B$22,0),MATCH('Najeeb Qanbar'!D8,Attendance!$C$4:$AF$4,0))</f>
        <v>P</v>
      </c>
      <c r="E9" s="12" t="str">
        <f>INDEX(Table2[[1]:[30]],MATCH('Najeeb Qanbar'!$B$3,Attendance!$B$5:$B$22,0),MATCH('Najeeb Qanbar'!E8,Attendance!$C$4:$AF$4,0))</f>
        <v>P</v>
      </c>
      <c r="F9" s="12" t="str">
        <f>INDEX(Table2[[1]:[30]],MATCH('Najeeb Qanbar'!$B$3,Attendance!$B$5:$B$22,0),MATCH('Najeeb Qanbar'!F8,Attendance!$C$4:$AF$4,0))</f>
        <v>P</v>
      </c>
      <c r="G9" s="12" t="str">
        <f>INDEX(Table2[[1]:[30]],MATCH('Najeeb Qanbar'!$B$3,Attendance!$B$5:$B$22,0),MATCH('Najeeb Qanbar'!G8,Attendance!$C$4:$AF$4,0))</f>
        <v>P</v>
      </c>
      <c r="H9" s="12" t="str">
        <f>INDEX(Table2[[1]:[30]],MATCH('Najeeb Qanbar'!$B$3,Attendance!$B$5:$B$22,0),MATCH('Najeeb Qanbar'!H8,Attendance!$C$4:$AF$4,0))</f>
        <v>P</v>
      </c>
      <c r="I9" s="12" t="str">
        <f>INDEX(Table2[[1]:[30]],MATCH('Najeeb Qanbar'!$B$3,Attendance!$B$5:$B$22,0),MATCH('Najeeb Qanbar'!I8,Attendance!$C$4:$AF$4,0))</f>
        <v>P</v>
      </c>
      <c r="J9" s="12" t="str">
        <f>INDEX(Table2[[1]:[30]],MATCH('Najeeb Qanbar'!$B$3,Attendance!$B$5:$B$22,0),MATCH('Najeeb Qanbar'!J8,Attendance!$C$4:$AF$4,0))</f>
        <v>P</v>
      </c>
      <c r="K9" s="12" t="str">
        <f>INDEX(Table2[[1]:[30]],MATCH('Najeeb Qanbar'!$B$3,Attendance!$B$5:$B$22,0),MATCH('Najeeb Qanbar'!K8,Attendance!$C$4:$AF$4,0))</f>
        <v>P</v>
      </c>
      <c r="L9" s="12" t="str">
        <f>INDEX(Table2[[1]:[30]],MATCH('Najeeb Qanbar'!$B$3,Attendance!$B$5:$B$22,0),MATCH('Najeeb Qanbar'!L8,Attendance!$C$4:$AF$4,0))</f>
        <v>P</v>
      </c>
      <c r="M9" s="12" t="str">
        <f>INDEX(Table2[[1]:[30]],MATCH('Najeeb Qanbar'!$B$3,Attendance!$B$5:$B$22,0),MATCH('Najeeb Qanbar'!M8,Attendance!$C$4:$AF$4,0))</f>
        <v>T</v>
      </c>
      <c r="N9" s="12" t="str">
        <f>INDEX(Table2[[1]:[30]],MATCH('Najeeb Qanbar'!$B$3,Attendance!$B$5:$B$22,0),MATCH('Najeeb Qanbar'!N8,Attendance!$C$4:$AF$4,0))</f>
        <v>P</v>
      </c>
      <c r="O9" s="12" t="str">
        <f>INDEX(Table2[[1]:[30]],MATCH('Najeeb Qanbar'!$B$3,Attendance!$B$5:$B$22,0),MATCH('Najeeb Qanbar'!O8,Attendance!$C$4:$AF$4,0))</f>
        <v>P</v>
      </c>
      <c r="P9" s="12" t="str">
        <f>INDEX(Table2[[1]:[30]],MATCH('Najeeb Qanbar'!$B$3,Attendance!$B$5:$B$22,0),MATCH('Najeeb Qanbar'!P8,Attendance!$C$4:$AF$4,0))</f>
        <v>T</v>
      </c>
      <c r="Q9" s="12" t="str">
        <f>INDEX(Table2[[1]:[30]],MATCH('Najeeb Qanbar'!$B$3,Attendance!$B$5:$B$22,0),MATCH('Najeeb Qanbar'!Q8,Attendance!$C$4:$AF$4,0))</f>
        <v>P</v>
      </c>
      <c r="R9" s="12" t="str">
        <f>INDEX(Table2[[1]:[30]],MATCH('Najeeb Qanbar'!$B$3,Attendance!$B$5:$B$22,0),MATCH('Najeeb Qanbar'!R8,Attendance!$C$4:$AF$4,0))</f>
        <v>P</v>
      </c>
      <c r="S9" s="12" t="str">
        <f>INDEX(Table2[[1]:[30]],MATCH('Najeeb Qanbar'!$B$3,Attendance!$B$5:$B$22,0),MATCH('Najeeb Qanbar'!S8,Attendance!$C$4:$AF$4,0))</f>
        <v>P</v>
      </c>
      <c r="T9" s="12" t="str">
        <f>INDEX(Table2[[1]:[30]],MATCH('Najeeb Qanbar'!$B$3,Attendance!$B$5:$B$22,0),MATCH('Najeeb Qanbar'!T8,Attendance!$C$4:$AF$4,0))</f>
        <v>P</v>
      </c>
      <c r="U9" s="12" t="str">
        <f>INDEX(Table2[[1]:[30]],MATCH('Najeeb Qanbar'!$B$3,Attendance!$B$5:$B$22,0),MATCH('Najeeb Qanbar'!U8,Attendance!$C$4:$AF$4,0))</f>
        <v>P</v>
      </c>
      <c r="V9" s="12" t="str">
        <f>INDEX(Table2[[1]:[30]],MATCH('Najeeb Qanbar'!$B$3,Attendance!$B$5:$B$22,0),MATCH('Najeeb Qanbar'!V8,Attendance!$C$4:$AF$4,0))</f>
        <v>P</v>
      </c>
      <c r="W9" s="12" t="str">
        <f>INDEX(Table2[[1]:[30]],MATCH('Najeeb Qanbar'!$B$3,Attendance!$B$5:$B$22,0),MATCH('Najeeb Qanbar'!W8,Attendance!$C$4:$AF$4,0))</f>
        <v>P</v>
      </c>
      <c r="X9" s="12" t="str">
        <f>INDEX(Table2[[1]:[30]],MATCH('Najeeb Qanbar'!$B$3,Attendance!$B$5:$B$22,0),MATCH('Najeeb Qanbar'!X8,Attendance!$C$4:$AF$4,0))</f>
        <v>P</v>
      </c>
      <c r="Y9" s="12" t="str">
        <f>INDEX(Table2[[1]:[30]],MATCH('Najeeb Qanbar'!$B$3,Attendance!$B$5:$B$22,0),MATCH('Najeeb Qanbar'!Y8,Attendance!$C$4:$AF$4,0))</f>
        <v>P</v>
      </c>
      <c r="Z9" s="12" t="str">
        <f>INDEX(Table2[[1]:[30]],MATCH('Najeeb Qanbar'!$B$3,Attendance!$B$5:$B$22,0),MATCH('Najeeb Qanbar'!Z8,Attendance!$C$4:$AF$4,0))</f>
        <v>P</v>
      </c>
      <c r="AA9" s="12" t="str">
        <f>INDEX(Table2[[1]:[30]],MATCH('Najeeb Qanbar'!$B$3,Attendance!$B$5:$B$22,0),MATCH('Najeeb Qanbar'!AA8,Attendance!$C$4:$AF$4,0))</f>
        <v>P</v>
      </c>
      <c r="AB9" s="12" t="str">
        <f>INDEX(Table2[[1]:[30]],MATCH('Najeeb Qanbar'!$B$3,Attendance!$B$5:$B$22,0),MATCH('Najeeb Qanbar'!AB8,Attendance!$C$4:$AF$4,0))</f>
        <v>P</v>
      </c>
      <c r="AC9" s="12" t="str">
        <f>INDEX(Table2[[1]:[30]],MATCH('Najeeb Qanbar'!$B$3,Attendance!$B$5:$B$22,0),MATCH('Najeeb Qanbar'!AC8,Attendance!$C$4:$AF$4,0))</f>
        <v>P</v>
      </c>
      <c r="AD9" s="12" t="str">
        <f>INDEX(Table2[[1]:[30]],MATCH('Najeeb Qanbar'!$B$3,Attendance!$B$5:$B$22,0),MATCH('Najeeb Qanbar'!AD8,Attendance!$C$4:$AF$4,0))</f>
        <v>P</v>
      </c>
      <c r="AE9" s="12" t="str">
        <f>INDEX(Table2[[1]:[30]],MATCH('Najeeb Qanbar'!$B$3,Attendance!$B$5:$B$22,0),MATCH('Najeeb Qanbar'!AE8,Attendance!$C$4:$AF$4,0))</f>
        <v>P</v>
      </c>
      <c r="AF9" s="12" t="str">
        <f>INDEX(Table2[[1]:[30]],MATCH('Najeeb Qanbar'!$B$3,Attendance!$B$5:$B$22,0),MATCH('Najeeb Qanbar'!AF8,Attendance!$C$4:$AF$4,0))</f>
        <v>P</v>
      </c>
      <c r="AG9" s="16"/>
      <c r="AH9" s="15"/>
      <c r="AI9" s="15"/>
      <c r="AJ9" s="15"/>
    </row>
    <row r="10" spans="2:36" ht="30" customHeight="1" x14ac:dyDescent="0.25">
      <c r="C10" t="e" cm="1">
        <f t="array" ref="C10:K10">INDEX(Table2[#All],MATCH('Najeeb Qanbar'!$B$3:$J$3,Table2[#All],0))</f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B1:R1"/>
    <mergeCell ref="B2:J2"/>
    <mergeCell ref="K2:O2"/>
    <mergeCell ref="P2:R2"/>
    <mergeCell ref="S2:V2"/>
    <mergeCell ref="AE2:AG2"/>
    <mergeCell ref="AH2:AJ2"/>
    <mergeCell ref="B3:J3"/>
    <mergeCell ref="K3:O3"/>
    <mergeCell ref="P3:R3"/>
    <mergeCell ref="S3:V3"/>
    <mergeCell ref="W3:AD3"/>
    <mergeCell ref="AE3:AG3"/>
    <mergeCell ref="AH3:AJ3"/>
    <mergeCell ref="W2:AD2"/>
    <mergeCell ref="B4:J4"/>
    <mergeCell ref="K4:V4"/>
    <mergeCell ref="W4:AD4"/>
    <mergeCell ref="AE4:AJ4"/>
    <mergeCell ref="B5:J5"/>
    <mergeCell ref="K5:V5"/>
    <mergeCell ref="W5:AD5"/>
    <mergeCell ref="AE5:AJ5"/>
    <mergeCell ref="B6:AF7"/>
    <mergeCell ref="AG6:AJ6"/>
    <mergeCell ref="B8:B9"/>
    <mergeCell ref="AG8:AG9"/>
    <mergeCell ref="AH8:AH9"/>
    <mergeCell ref="AI8:AI9"/>
    <mergeCell ref="AJ8:AJ9"/>
  </mergeCells>
  <conditionalFormatting sqref="C9:AF9">
    <cfRule type="cellIs" dxfId="47" priority="1" operator="equal">
      <formula>"U"</formula>
    </cfRule>
    <cfRule type="cellIs" dxfId="46" priority="2" operator="equal">
      <formula>"E"</formula>
    </cfRule>
    <cfRule type="cellIs" dxfId="45" priority="3" operator="equal">
      <formula>"T"</formula>
    </cfRule>
    <cfRule type="cellIs" dxfId="44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FB286-E342-4CBF-A94A-25CBA70F471C}">
  <sheetPr codeName="Sheet13">
    <tabColor indexed="41"/>
    <pageSetUpPr fitToPage="1"/>
  </sheetPr>
  <dimension ref="B1:AJ10"/>
  <sheetViews>
    <sheetView showGridLines="0" zoomScale="90" zoomScaleNormal="90" workbookViewId="0">
      <selection activeCell="P3" sqref="P3:R3"/>
    </sheetView>
  </sheetViews>
  <sheetFormatPr defaultColWidth="9" defaultRowHeight="30" customHeight="1" x14ac:dyDescent="0.25"/>
  <cols>
    <col min="1" max="1" width="2.625" style="2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style="2" customWidth="1"/>
    <col min="38" max="16384" width="9" style="2"/>
  </cols>
  <sheetData>
    <row r="1" spans="2:36" s="1" customFormat="1" ht="38.1" customHeight="1" x14ac:dyDescent="0.25">
      <c r="B1" s="35" t="s">
        <v>14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</row>
    <row r="2" spans="2:36" s="1" customFormat="1" ht="30" customHeight="1" x14ac:dyDescent="0.25">
      <c r="B2" s="29" t="s">
        <v>8</v>
      </c>
      <c r="C2" s="30"/>
      <c r="D2" s="30"/>
      <c r="E2" s="30"/>
      <c r="F2" s="30"/>
      <c r="G2" s="30"/>
      <c r="H2" s="30"/>
      <c r="I2" s="30"/>
      <c r="J2" s="31"/>
      <c r="K2" s="17" t="s">
        <v>10</v>
      </c>
      <c r="L2" s="17"/>
      <c r="M2" s="17"/>
      <c r="N2" s="17"/>
      <c r="O2" s="17"/>
      <c r="P2" s="17" t="s">
        <v>12</v>
      </c>
      <c r="Q2" s="17"/>
      <c r="R2" s="17"/>
      <c r="S2" s="17" t="s">
        <v>9</v>
      </c>
      <c r="T2" s="17"/>
      <c r="U2" s="17"/>
      <c r="V2" s="17"/>
      <c r="W2" s="17" t="s">
        <v>1</v>
      </c>
      <c r="X2" s="17"/>
      <c r="Y2" s="17"/>
      <c r="Z2" s="17"/>
      <c r="AA2" s="17"/>
      <c r="AB2" s="17"/>
      <c r="AC2" s="17"/>
      <c r="AD2" s="17"/>
      <c r="AE2" s="41" t="s">
        <v>0</v>
      </c>
      <c r="AF2" s="42"/>
      <c r="AG2" s="43"/>
      <c r="AH2" s="36" t="s">
        <v>2</v>
      </c>
      <c r="AI2" s="37"/>
      <c r="AJ2" s="38"/>
    </row>
    <row r="3" spans="2:36" s="1" customFormat="1" ht="30" customHeight="1" x14ac:dyDescent="0.25">
      <c r="B3" s="32" t="s">
        <v>18</v>
      </c>
      <c r="C3" s="33"/>
      <c r="D3" s="33"/>
      <c r="E3" s="33"/>
      <c r="F3" s="33"/>
      <c r="G3" s="33"/>
      <c r="H3" s="33"/>
      <c r="I3" s="33"/>
      <c r="J3" s="34"/>
      <c r="K3" s="18" t="str">
        <f>VLOOKUP(B3,Students[],3,0)</f>
        <v>JT99</v>
      </c>
      <c r="L3" s="18"/>
      <c r="M3" s="18"/>
      <c r="N3" s="18"/>
      <c r="O3" s="18"/>
      <c r="P3" s="18" t="str">
        <f>VLOOKUP(B3,Students[],2,0)</f>
        <v>Male</v>
      </c>
      <c r="Q3" s="18"/>
      <c r="R3" s="18"/>
      <c r="S3" s="40">
        <f>VLOOKUP(B3,Students[],4,0)</f>
        <v>38389</v>
      </c>
      <c r="T3" s="40"/>
      <c r="U3" s="40"/>
      <c r="V3" s="40"/>
      <c r="W3" s="18" t="s">
        <v>129</v>
      </c>
      <c r="X3" s="18"/>
      <c r="Y3" s="18"/>
      <c r="Z3" s="18"/>
      <c r="AA3" s="18"/>
      <c r="AB3" s="18"/>
      <c r="AC3" s="18"/>
      <c r="AD3" s="18"/>
      <c r="AE3" s="44">
        <f>VLOOKUP(B3,Students[],5,0)</f>
        <v>8</v>
      </c>
      <c r="AF3" s="45"/>
      <c r="AG3" s="45"/>
      <c r="AH3" s="39">
        <f>VLOOKUP(B3,Students[],6,0)</f>
        <v>1</v>
      </c>
      <c r="AI3" s="39"/>
      <c r="AJ3" s="39"/>
    </row>
    <row r="4" spans="2:36" s="1" customFormat="1" ht="30" customHeight="1" x14ac:dyDescent="0.25">
      <c r="B4" s="29" t="s">
        <v>70</v>
      </c>
      <c r="C4" s="30"/>
      <c r="D4" s="30"/>
      <c r="E4" s="30"/>
      <c r="F4" s="30"/>
      <c r="G4" s="30"/>
      <c r="H4" s="30"/>
      <c r="I4" s="30"/>
      <c r="J4" s="31"/>
      <c r="K4" s="17" t="s">
        <v>71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 t="s">
        <v>72</v>
      </c>
      <c r="X4" s="17"/>
      <c r="Y4" s="17"/>
      <c r="Z4" s="17"/>
      <c r="AA4" s="17"/>
      <c r="AB4" s="17"/>
      <c r="AC4" s="17"/>
      <c r="AD4" s="17"/>
      <c r="AE4" s="17" t="s">
        <v>73</v>
      </c>
      <c r="AF4" s="17"/>
      <c r="AG4" s="17"/>
      <c r="AH4" s="22"/>
      <c r="AI4" s="22"/>
      <c r="AJ4" s="22"/>
    </row>
    <row r="5" spans="2:36" s="1" customFormat="1" ht="30" customHeight="1" x14ac:dyDescent="0.25">
      <c r="B5" s="32" t="str">
        <f>VLOOKUP(B3,Students[],7,0)</f>
        <v>Fahad</v>
      </c>
      <c r="C5" s="33"/>
      <c r="D5" s="33"/>
      <c r="E5" s="33"/>
      <c r="F5" s="33"/>
      <c r="G5" s="33"/>
      <c r="H5" s="33"/>
      <c r="I5" s="33"/>
      <c r="J5" s="34"/>
      <c r="K5" s="18" t="str">
        <f>VLOOKUP(B3,Students[],8,0)</f>
        <v>Ekram</v>
      </c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9">
        <f>VLOOKUP(B3,Students[],9,0)</f>
        <v>5254578489</v>
      </c>
      <c r="X5" s="19"/>
      <c r="Y5" s="19"/>
      <c r="Z5" s="19"/>
      <c r="AA5" s="19"/>
      <c r="AB5" s="19"/>
      <c r="AC5" s="19"/>
      <c r="AD5" s="19"/>
      <c r="AE5" s="19" t="str">
        <f>VLOOKUP(B3,Students[],10,0)</f>
        <v>Jalal Street</v>
      </c>
      <c r="AF5" s="19"/>
      <c r="AG5" s="19"/>
      <c r="AH5" s="19"/>
      <c r="AI5" s="19"/>
      <c r="AJ5" s="19"/>
    </row>
    <row r="6" spans="2:36" s="1" customFormat="1" ht="30" customHeight="1" x14ac:dyDescent="0.25">
      <c r="B6" s="23" t="s">
        <v>11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0" t="s">
        <v>3</v>
      </c>
      <c r="AH6" s="21"/>
      <c r="AI6" s="21"/>
      <c r="AJ6" s="21"/>
    </row>
    <row r="7" spans="2:36" s="1" customFormat="1" ht="30" customHeight="1" x14ac:dyDescent="0.25">
      <c r="B7" s="25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9" t="s">
        <v>4</v>
      </c>
      <c r="AH7" s="10" t="s">
        <v>5</v>
      </c>
      <c r="AI7" s="10" t="s">
        <v>6</v>
      </c>
      <c r="AJ7" s="10" t="s">
        <v>7</v>
      </c>
    </row>
    <row r="8" spans="2:36" s="1" customFormat="1" ht="30" customHeight="1" x14ac:dyDescent="0.25">
      <c r="B8" s="27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6">
        <f>COUNTIF($C9:$AF9,"T")</f>
        <v>1</v>
      </c>
      <c r="AH8" s="15">
        <f>COUNTIF($C9:$AF9,"U")</f>
        <v>0</v>
      </c>
      <c r="AI8" s="15">
        <f>COUNTIF($C9:$AF9,"E")</f>
        <v>0</v>
      </c>
      <c r="AJ8" s="15">
        <f>COUNTIF($C9:$AF9,"P")</f>
        <v>29</v>
      </c>
    </row>
    <row r="9" spans="2:36" s="1" customFormat="1" ht="30" customHeight="1" x14ac:dyDescent="0.25">
      <c r="B9" s="28"/>
      <c r="C9" s="12" t="str">
        <f>INDEX(Table2[[1]:[30]],MATCH('Mohammad Ali'!$B$3,Attendance!$B$5:$B$22,0),MATCH('Mohammad Ali'!C8,Attendance!$C$4:$AF$4,0))</f>
        <v>P</v>
      </c>
      <c r="D9" s="12" t="str">
        <f>INDEX(Table2[[1]:[30]],MATCH('Mohammad Ali'!$B$3,Attendance!$B$5:$B$22,0),MATCH('Mohammad Ali'!D8,Attendance!$C$4:$AF$4,0))</f>
        <v>P</v>
      </c>
      <c r="E9" s="12" t="str">
        <f>INDEX(Table2[[1]:[30]],MATCH('Mohammad Ali'!$B$3,Attendance!$B$5:$B$22,0),MATCH('Mohammad Ali'!E8,Attendance!$C$4:$AF$4,0))</f>
        <v>P</v>
      </c>
      <c r="F9" s="12" t="str">
        <f>INDEX(Table2[[1]:[30]],MATCH('Mohammad Ali'!$B$3,Attendance!$B$5:$B$22,0),MATCH('Mohammad Ali'!F8,Attendance!$C$4:$AF$4,0))</f>
        <v>P</v>
      </c>
      <c r="G9" s="12" t="str">
        <f>INDEX(Table2[[1]:[30]],MATCH('Mohammad Ali'!$B$3,Attendance!$B$5:$B$22,0),MATCH('Mohammad Ali'!G8,Attendance!$C$4:$AF$4,0))</f>
        <v>P</v>
      </c>
      <c r="H9" s="12" t="str">
        <f>INDEX(Table2[[1]:[30]],MATCH('Mohammad Ali'!$B$3,Attendance!$B$5:$B$22,0),MATCH('Mohammad Ali'!H8,Attendance!$C$4:$AF$4,0))</f>
        <v>P</v>
      </c>
      <c r="I9" s="12" t="str">
        <f>INDEX(Table2[[1]:[30]],MATCH('Mohammad Ali'!$B$3,Attendance!$B$5:$B$22,0),MATCH('Mohammad Ali'!I8,Attendance!$C$4:$AF$4,0))</f>
        <v>P</v>
      </c>
      <c r="J9" s="12" t="str">
        <f>INDEX(Table2[[1]:[30]],MATCH('Mohammad Ali'!$B$3,Attendance!$B$5:$B$22,0),MATCH('Mohammad Ali'!J8,Attendance!$C$4:$AF$4,0))</f>
        <v>T</v>
      </c>
      <c r="K9" s="12" t="str">
        <f>INDEX(Table2[[1]:[30]],MATCH('Mohammad Ali'!$B$3,Attendance!$B$5:$B$22,0),MATCH('Mohammad Ali'!K8,Attendance!$C$4:$AF$4,0))</f>
        <v>P</v>
      </c>
      <c r="L9" s="12" t="str">
        <f>INDEX(Table2[[1]:[30]],MATCH('Mohammad Ali'!$B$3,Attendance!$B$5:$B$22,0),MATCH('Mohammad Ali'!L8,Attendance!$C$4:$AF$4,0))</f>
        <v>P</v>
      </c>
      <c r="M9" s="12" t="str">
        <f>INDEX(Table2[[1]:[30]],MATCH('Mohammad Ali'!$B$3,Attendance!$B$5:$B$22,0),MATCH('Mohammad Ali'!M8,Attendance!$C$4:$AF$4,0))</f>
        <v>P</v>
      </c>
      <c r="N9" s="12" t="str">
        <f>INDEX(Table2[[1]:[30]],MATCH('Mohammad Ali'!$B$3,Attendance!$B$5:$B$22,0),MATCH('Mohammad Ali'!N8,Attendance!$C$4:$AF$4,0))</f>
        <v>P</v>
      </c>
      <c r="O9" s="12" t="str">
        <f>INDEX(Table2[[1]:[30]],MATCH('Mohammad Ali'!$B$3,Attendance!$B$5:$B$22,0),MATCH('Mohammad Ali'!O8,Attendance!$C$4:$AF$4,0))</f>
        <v>P</v>
      </c>
      <c r="P9" s="12" t="str">
        <f>INDEX(Table2[[1]:[30]],MATCH('Mohammad Ali'!$B$3,Attendance!$B$5:$B$22,0),MATCH('Mohammad Ali'!P8,Attendance!$C$4:$AF$4,0))</f>
        <v>P</v>
      </c>
      <c r="Q9" s="12" t="str">
        <f>INDEX(Table2[[1]:[30]],MATCH('Mohammad Ali'!$B$3,Attendance!$B$5:$B$22,0),MATCH('Mohammad Ali'!Q8,Attendance!$C$4:$AF$4,0))</f>
        <v>P</v>
      </c>
      <c r="R9" s="12" t="str">
        <f>INDEX(Table2[[1]:[30]],MATCH('Mohammad Ali'!$B$3,Attendance!$B$5:$B$22,0),MATCH('Mohammad Ali'!R8,Attendance!$C$4:$AF$4,0))</f>
        <v>P</v>
      </c>
      <c r="S9" s="12" t="str">
        <f>INDEX(Table2[[1]:[30]],MATCH('Mohammad Ali'!$B$3,Attendance!$B$5:$B$22,0),MATCH('Mohammad Ali'!S8,Attendance!$C$4:$AF$4,0))</f>
        <v>P</v>
      </c>
      <c r="T9" s="12" t="str">
        <f>INDEX(Table2[[1]:[30]],MATCH('Mohammad Ali'!$B$3,Attendance!$B$5:$B$22,0),MATCH('Mohammad Ali'!T8,Attendance!$C$4:$AF$4,0))</f>
        <v>P</v>
      </c>
      <c r="U9" s="12" t="str">
        <f>INDEX(Table2[[1]:[30]],MATCH('Mohammad Ali'!$B$3,Attendance!$B$5:$B$22,0),MATCH('Mohammad Ali'!U8,Attendance!$C$4:$AF$4,0))</f>
        <v>P</v>
      </c>
      <c r="V9" s="12" t="str">
        <f>INDEX(Table2[[1]:[30]],MATCH('Mohammad Ali'!$B$3,Attendance!$B$5:$B$22,0),MATCH('Mohammad Ali'!V8,Attendance!$C$4:$AF$4,0))</f>
        <v>P</v>
      </c>
      <c r="W9" s="12" t="str">
        <f>INDEX(Table2[[1]:[30]],MATCH('Mohammad Ali'!$B$3,Attendance!$B$5:$B$22,0),MATCH('Mohammad Ali'!W8,Attendance!$C$4:$AF$4,0))</f>
        <v>P</v>
      </c>
      <c r="X9" s="12" t="str">
        <f>INDEX(Table2[[1]:[30]],MATCH('Mohammad Ali'!$B$3,Attendance!$B$5:$B$22,0),MATCH('Mohammad Ali'!X8,Attendance!$C$4:$AF$4,0))</f>
        <v>P</v>
      </c>
      <c r="Y9" s="12" t="str">
        <f>INDEX(Table2[[1]:[30]],MATCH('Mohammad Ali'!$B$3,Attendance!$B$5:$B$22,0),MATCH('Mohammad Ali'!Y8,Attendance!$C$4:$AF$4,0))</f>
        <v>P</v>
      </c>
      <c r="Z9" s="12" t="str">
        <f>INDEX(Table2[[1]:[30]],MATCH('Mohammad Ali'!$B$3,Attendance!$B$5:$B$22,0),MATCH('Mohammad Ali'!Z8,Attendance!$C$4:$AF$4,0))</f>
        <v>P</v>
      </c>
      <c r="AA9" s="12" t="str">
        <f>INDEX(Table2[[1]:[30]],MATCH('Mohammad Ali'!$B$3,Attendance!$B$5:$B$22,0),MATCH('Mohammad Ali'!AA8,Attendance!$C$4:$AF$4,0))</f>
        <v>P</v>
      </c>
      <c r="AB9" s="12" t="str">
        <f>INDEX(Table2[[1]:[30]],MATCH('Mohammad Ali'!$B$3,Attendance!$B$5:$B$22,0),MATCH('Mohammad Ali'!AB8,Attendance!$C$4:$AF$4,0))</f>
        <v>P</v>
      </c>
      <c r="AC9" s="12" t="str">
        <f>INDEX(Table2[[1]:[30]],MATCH('Mohammad Ali'!$B$3,Attendance!$B$5:$B$22,0),MATCH('Mohammad Ali'!AC8,Attendance!$C$4:$AF$4,0))</f>
        <v>P</v>
      </c>
      <c r="AD9" s="12" t="str">
        <f>INDEX(Table2[[1]:[30]],MATCH('Mohammad Ali'!$B$3,Attendance!$B$5:$B$22,0),MATCH('Mohammad Ali'!AD8,Attendance!$C$4:$AF$4,0))</f>
        <v>P</v>
      </c>
      <c r="AE9" s="12" t="str">
        <f>INDEX(Table2[[1]:[30]],MATCH('Mohammad Ali'!$B$3,Attendance!$B$5:$B$22,0),MATCH('Mohammad Ali'!AE8,Attendance!$C$4:$AF$4,0))</f>
        <v>P</v>
      </c>
      <c r="AF9" s="12" t="str">
        <f>INDEX(Table2[[1]:[30]],MATCH('Mohammad Ali'!$B$3,Attendance!$B$5:$B$22,0),MATCH('Mohammad Ali'!AF8,Attendance!$C$4:$AF$4,0))</f>
        <v>P</v>
      </c>
      <c r="AG9" s="16"/>
      <c r="AH9" s="15"/>
      <c r="AI9" s="15"/>
      <c r="AJ9" s="15"/>
    </row>
    <row r="10" spans="2:36" ht="30" customHeight="1" x14ac:dyDescent="0.25">
      <c r="C10" t="e" cm="1">
        <f t="array" ref="C10:K10">INDEX(Table2[#All],MATCH('Mohammad Ali'!$B$3:$J$3,Table2[#All],0))</f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B1:R1"/>
    <mergeCell ref="B2:J2"/>
    <mergeCell ref="K2:O2"/>
    <mergeCell ref="P2:R2"/>
    <mergeCell ref="S2:V2"/>
    <mergeCell ref="AE2:AG2"/>
    <mergeCell ref="AH2:AJ2"/>
    <mergeCell ref="B3:J3"/>
    <mergeCell ref="K3:O3"/>
    <mergeCell ref="P3:R3"/>
    <mergeCell ref="S3:V3"/>
    <mergeCell ref="W3:AD3"/>
    <mergeCell ref="AE3:AG3"/>
    <mergeCell ref="AH3:AJ3"/>
    <mergeCell ref="W2:AD2"/>
    <mergeCell ref="B4:J4"/>
    <mergeCell ref="K4:V4"/>
    <mergeCell ref="W4:AD4"/>
    <mergeCell ref="AE4:AJ4"/>
    <mergeCell ref="B5:J5"/>
    <mergeCell ref="K5:V5"/>
    <mergeCell ref="W5:AD5"/>
    <mergeCell ref="AE5:AJ5"/>
    <mergeCell ref="B6:AF7"/>
    <mergeCell ref="AG6:AJ6"/>
    <mergeCell ref="B8:B9"/>
    <mergeCell ref="AG8:AG9"/>
    <mergeCell ref="AH8:AH9"/>
    <mergeCell ref="AI8:AI9"/>
    <mergeCell ref="AJ8:AJ9"/>
  </mergeCells>
  <conditionalFormatting sqref="C9:AF9">
    <cfRule type="cellIs" dxfId="43" priority="1" operator="equal">
      <formula>"U"</formula>
    </cfRule>
    <cfRule type="cellIs" dxfId="42" priority="2" operator="equal">
      <formula>"E"</formula>
    </cfRule>
    <cfRule type="cellIs" dxfId="41" priority="3" operator="equal">
      <formula>"T"</formula>
    </cfRule>
    <cfRule type="cellIs" dxfId="40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61FFB-4531-4D08-AA16-16AEA80CD7AE}">
  <sheetPr codeName="Sheet12">
    <tabColor indexed="41"/>
    <pageSetUpPr fitToPage="1"/>
  </sheetPr>
  <dimension ref="B1:AJ10"/>
  <sheetViews>
    <sheetView showGridLines="0" zoomScale="90" zoomScaleNormal="90" workbookViewId="0">
      <selection activeCell="P3" sqref="P3:R3"/>
    </sheetView>
  </sheetViews>
  <sheetFormatPr defaultColWidth="9" defaultRowHeight="30" customHeight="1" x14ac:dyDescent="0.25"/>
  <cols>
    <col min="1" max="1" width="2.625" style="2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style="2" customWidth="1"/>
    <col min="38" max="16384" width="9" style="2"/>
  </cols>
  <sheetData>
    <row r="1" spans="2:36" s="1" customFormat="1" ht="38.1" customHeight="1" x14ac:dyDescent="0.25">
      <c r="B1" s="35" t="s">
        <v>14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</row>
    <row r="2" spans="2:36" s="1" customFormat="1" ht="30" customHeight="1" x14ac:dyDescent="0.25">
      <c r="B2" s="29" t="s">
        <v>8</v>
      </c>
      <c r="C2" s="30"/>
      <c r="D2" s="30"/>
      <c r="E2" s="30"/>
      <c r="F2" s="30"/>
      <c r="G2" s="30"/>
      <c r="H2" s="30"/>
      <c r="I2" s="30"/>
      <c r="J2" s="31"/>
      <c r="K2" s="17" t="s">
        <v>10</v>
      </c>
      <c r="L2" s="17"/>
      <c r="M2" s="17"/>
      <c r="N2" s="17"/>
      <c r="O2" s="17"/>
      <c r="P2" s="17" t="s">
        <v>12</v>
      </c>
      <c r="Q2" s="17"/>
      <c r="R2" s="17"/>
      <c r="S2" s="17" t="s">
        <v>9</v>
      </c>
      <c r="T2" s="17"/>
      <c r="U2" s="17"/>
      <c r="V2" s="17"/>
      <c r="W2" s="17" t="s">
        <v>1</v>
      </c>
      <c r="X2" s="17"/>
      <c r="Y2" s="17"/>
      <c r="Z2" s="17"/>
      <c r="AA2" s="17"/>
      <c r="AB2" s="17"/>
      <c r="AC2" s="17"/>
      <c r="AD2" s="17"/>
      <c r="AE2" s="41" t="s">
        <v>0</v>
      </c>
      <c r="AF2" s="42"/>
      <c r="AG2" s="43"/>
      <c r="AH2" s="36" t="s">
        <v>2</v>
      </c>
      <c r="AI2" s="37"/>
      <c r="AJ2" s="38"/>
    </row>
    <row r="3" spans="2:36" s="1" customFormat="1" ht="30" customHeight="1" x14ac:dyDescent="0.25">
      <c r="B3" s="32" t="s">
        <v>24</v>
      </c>
      <c r="C3" s="33"/>
      <c r="D3" s="33"/>
      <c r="E3" s="33"/>
      <c r="F3" s="33"/>
      <c r="G3" s="33"/>
      <c r="H3" s="33"/>
      <c r="I3" s="33"/>
      <c r="J3" s="34"/>
      <c r="K3" s="18" t="str">
        <f>VLOOKUP(B3,Students[],3,0)</f>
        <v>EU66</v>
      </c>
      <c r="L3" s="18"/>
      <c r="M3" s="18"/>
      <c r="N3" s="18"/>
      <c r="O3" s="18"/>
      <c r="P3" s="18" t="str">
        <f>VLOOKUP(B3,Students[],2,0)</f>
        <v>Female</v>
      </c>
      <c r="Q3" s="18"/>
      <c r="R3" s="18"/>
      <c r="S3" s="40">
        <f>VLOOKUP(B3,Students[],4,0)</f>
        <v>37510</v>
      </c>
      <c r="T3" s="40"/>
      <c r="U3" s="40"/>
      <c r="V3" s="40"/>
      <c r="W3" s="18" t="s">
        <v>129</v>
      </c>
      <c r="X3" s="18"/>
      <c r="Y3" s="18"/>
      <c r="Z3" s="18"/>
      <c r="AA3" s="18"/>
      <c r="AB3" s="18"/>
      <c r="AC3" s="18"/>
      <c r="AD3" s="18"/>
      <c r="AE3" s="44">
        <f>VLOOKUP(B3,Students[],5,0)</f>
        <v>11</v>
      </c>
      <c r="AF3" s="45"/>
      <c r="AG3" s="45"/>
      <c r="AH3" s="39">
        <f>VLOOKUP(B3,Students[],6,0)</f>
        <v>5</v>
      </c>
      <c r="AI3" s="39"/>
      <c r="AJ3" s="39"/>
    </row>
    <row r="4" spans="2:36" s="1" customFormat="1" ht="30" customHeight="1" x14ac:dyDescent="0.25">
      <c r="B4" s="29" t="s">
        <v>70</v>
      </c>
      <c r="C4" s="30"/>
      <c r="D4" s="30"/>
      <c r="E4" s="30"/>
      <c r="F4" s="30"/>
      <c r="G4" s="30"/>
      <c r="H4" s="30"/>
      <c r="I4" s="30"/>
      <c r="J4" s="31"/>
      <c r="K4" s="17" t="s">
        <v>71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 t="s">
        <v>72</v>
      </c>
      <c r="X4" s="17"/>
      <c r="Y4" s="17"/>
      <c r="Z4" s="17"/>
      <c r="AA4" s="17"/>
      <c r="AB4" s="17"/>
      <c r="AC4" s="17"/>
      <c r="AD4" s="17"/>
      <c r="AE4" s="17" t="s">
        <v>73</v>
      </c>
      <c r="AF4" s="17"/>
      <c r="AG4" s="17"/>
      <c r="AH4" s="22"/>
      <c r="AI4" s="22"/>
      <c r="AJ4" s="22"/>
    </row>
    <row r="5" spans="2:36" s="1" customFormat="1" ht="30" customHeight="1" x14ac:dyDescent="0.25">
      <c r="B5" s="32" t="str">
        <f>VLOOKUP(B3,Students[],7,0)</f>
        <v>Sallam</v>
      </c>
      <c r="C5" s="33"/>
      <c r="D5" s="33"/>
      <c r="E5" s="33"/>
      <c r="F5" s="33"/>
      <c r="G5" s="33"/>
      <c r="H5" s="33"/>
      <c r="I5" s="33"/>
      <c r="J5" s="34"/>
      <c r="K5" s="18" t="str">
        <f>VLOOKUP(B3,Students[],8,0)</f>
        <v>Enam</v>
      </c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9">
        <f>VLOOKUP(B3,Students[],9,0)</f>
        <v>5241768416</v>
      </c>
      <c r="X5" s="19"/>
      <c r="Y5" s="19"/>
      <c r="Z5" s="19"/>
      <c r="AA5" s="19"/>
      <c r="AB5" s="19"/>
      <c r="AC5" s="19"/>
      <c r="AD5" s="19"/>
      <c r="AE5" s="19" t="str">
        <f>VLOOKUP(B3,Students[],10,0)</f>
        <v>Jameel Street</v>
      </c>
      <c r="AF5" s="19"/>
      <c r="AG5" s="19"/>
      <c r="AH5" s="19"/>
      <c r="AI5" s="19"/>
      <c r="AJ5" s="19"/>
    </row>
    <row r="6" spans="2:36" s="1" customFormat="1" ht="30" customHeight="1" x14ac:dyDescent="0.25">
      <c r="B6" s="23" t="s">
        <v>11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0" t="s">
        <v>3</v>
      </c>
      <c r="AH6" s="21"/>
      <c r="AI6" s="21"/>
      <c r="AJ6" s="21"/>
    </row>
    <row r="7" spans="2:36" s="1" customFormat="1" ht="30" customHeight="1" x14ac:dyDescent="0.25">
      <c r="B7" s="25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9" t="s">
        <v>4</v>
      </c>
      <c r="AH7" s="10" t="s">
        <v>5</v>
      </c>
      <c r="AI7" s="10" t="s">
        <v>6</v>
      </c>
      <c r="AJ7" s="10" t="s">
        <v>7</v>
      </c>
    </row>
    <row r="8" spans="2:36" s="1" customFormat="1" ht="30" customHeight="1" x14ac:dyDescent="0.25">
      <c r="B8" s="27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6">
        <f>COUNTIF($C9:$AF9,"T")</f>
        <v>1</v>
      </c>
      <c r="AH8" s="15">
        <f>COUNTIF($C9:$AF9,"U")</f>
        <v>0</v>
      </c>
      <c r="AI8" s="15">
        <f>COUNTIF($C9:$AF9,"E")</f>
        <v>0</v>
      </c>
      <c r="AJ8" s="15">
        <f>COUNTIF($C9:$AF9,"P")</f>
        <v>29</v>
      </c>
    </row>
    <row r="9" spans="2:36" s="1" customFormat="1" ht="30" customHeight="1" x14ac:dyDescent="0.25">
      <c r="B9" s="28"/>
      <c r="C9" s="12" t="str">
        <f>INDEX(Table2[[1]:[30]],MATCH('Kwther Ameen'!$B$3,Attendance!$B$5:$B$22,0),MATCH('Kwther Ameen'!C8,Attendance!$C$4:$AF$4,0))</f>
        <v>P</v>
      </c>
      <c r="D9" s="12" t="str">
        <f>INDEX(Table2[[1]:[30]],MATCH('Kwther Ameen'!$B$3,Attendance!$B$5:$B$22,0),MATCH('Kwther Ameen'!D8,Attendance!$C$4:$AF$4,0))</f>
        <v>P</v>
      </c>
      <c r="E9" s="12" t="str">
        <f>INDEX(Table2[[1]:[30]],MATCH('Kwther Ameen'!$B$3,Attendance!$B$5:$B$22,0),MATCH('Kwther Ameen'!E8,Attendance!$C$4:$AF$4,0))</f>
        <v>P</v>
      </c>
      <c r="F9" s="12" t="str">
        <f>INDEX(Table2[[1]:[30]],MATCH('Kwther Ameen'!$B$3,Attendance!$B$5:$B$22,0),MATCH('Kwther Ameen'!F8,Attendance!$C$4:$AF$4,0))</f>
        <v>P</v>
      </c>
      <c r="G9" s="12" t="str">
        <f>INDEX(Table2[[1]:[30]],MATCH('Kwther Ameen'!$B$3,Attendance!$B$5:$B$22,0),MATCH('Kwther Ameen'!G8,Attendance!$C$4:$AF$4,0))</f>
        <v>P</v>
      </c>
      <c r="H9" s="12" t="str">
        <f>INDEX(Table2[[1]:[30]],MATCH('Kwther Ameen'!$B$3,Attendance!$B$5:$B$22,0),MATCH('Kwther Ameen'!H8,Attendance!$C$4:$AF$4,0))</f>
        <v>P</v>
      </c>
      <c r="I9" s="12" t="str">
        <f>INDEX(Table2[[1]:[30]],MATCH('Kwther Ameen'!$B$3,Attendance!$B$5:$B$22,0),MATCH('Kwther Ameen'!I8,Attendance!$C$4:$AF$4,0))</f>
        <v>P</v>
      </c>
      <c r="J9" s="12" t="str">
        <f>INDEX(Table2[[1]:[30]],MATCH('Kwther Ameen'!$B$3,Attendance!$B$5:$B$22,0),MATCH('Kwther Ameen'!J8,Attendance!$C$4:$AF$4,0))</f>
        <v>P</v>
      </c>
      <c r="K9" s="12" t="str">
        <f>INDEX(Table2[[1]:[30]],MATCH('Kwther Ameen'!$B$3,Attendance!$B$5:$B$22,0),MATCH('Kwther Ameen'!K8,Attendance!$C$4:$AF$4,0))</f>
        <v>P</v>
      </c>
      <c r="L9" s="12" t="str">
        <f>INDEX(Table2[[1]:[30]],MATCH('Kwther Ameen'!$B$3,Attendance!$B$5:$B$22,0),MATCH('Kwther Ameen'!L8,Attendance!$C$4:$AF$4,0))</f>
        <v>P</v>
      </c>
      <c r="M9" s="12" t="str">
        <f>INDEX(Table2[[1]:[30]],MATCH('Kwther Ameen'!$B$3,Attendance!$B$5:$B$22,0),MATCH('Kwther Ameen'!M8,Attendance!$C$4:$AF$4,0))</f>
        <v>P</v>
      </c>
      <c r="N9" s="12" t="str">
        <f>INDEX(Table2[[1]:[30]],MATCH('Kwther Ameen'!$B$3,Attendance!$B$5:$B$22,0),MATCH('Kwther Ameen'!N8,Attendance!$C$4:$AF$4,0))</f>
        <v>P</v>
      </c>
      <c r="O9" s="12" t="str">
        <f>INDEX(Table2[[1]:[30]],MATCH('Kwther Ameen'!$B$3,Attendance!$B$5:$B$22,0),MATCH('Kwther Ameen'!O8,Attendance!$C$4:$AF$4,0))</f>
        <v>P</v>
      </c>
      <c r="P9" s="12" t="str">
        <f>INDEX(Table2[[1]:[30]],MATCH('Kwther Ameen'!$B$3,Attendance!$B$5:$B$22,0),MATCH('Kwther Ameen'!P8,Attendance!$C$4:$AF$4,0))</f>
        <v>P</v>
      </c>
      <c r="Q9" s="12" t="str">
        <f>INDEX(Table2[[1]:[30]],MATCH('Kwther Ameen'!$B$3,Attendance!$B$5:$B$22,0),MATCH('Kwther Ameen'!Q8,Attendance!$C$4:$AF$4,0))</f>
        <v>P</v>
      </c>
      <c r="R9" s="12" t="str">
        <f>INDEX(Table2[[1]:[30]],MATCH('Kwther Ameen'!$B$3,Attendance!$B$5:$B$22,0),MATCH('Kwther Ameen'!R8,Attendance!$C$4:$AF$4,0))</f>
        <v>P</v>
      </c>
      <c r="S9" s="12" t="str">
        <f>INDEX(Table2[[1]:[30]],MATCH('Kwther Ameen'!$B$3,Attendance!$B$5:$B$22,0),MATCH('Kwther Ameen'!S8,Attendance!$C$4:$AF$4,0))</f>
        <v>P</v>
      </c>
      <c r="T9" s="12" t="str">
        <f>INDEX(Table2[[1]:[30]],MATCH('Kwther Ameen'!$B$3,Attendance!$B$5:$B$22,0),MATCH('Kwther Ameen'!T8,Attendance!$C$4:$AF$4,0))</f>
        <v>T</v>
      </c>
      <c r="U9" s="12" t="str">
        <f>INDEX(Table2[[1]:[30]],MATCH('Kwther Ameen'!$B$3,Attendance!$B$5:$B$22,0),MATCH('Kwther Ameen'!U8,Attendance!$C$4:$AF$4,0))</f>
        <v>P</v>
      </c>
      <c r="V9" s="12" t="str">
        <f>INDEX(Table2[[1]:[30]],MATCH('Kwther Ameen'!$B$3,Attendance!$B$5:$B$22,0),MATCH('Kwther Ameen'!V8,Attendance!$C$4:$AF$4,0))</f>
        <v>P</v>
      </c>
      <c r="W9" s="12" t="str">
        <f>INDEX(Table2[[1]:[30]],MATCH('Kwther Ameen'!$B$3,Attendance!$B$5:$B$22,0),MATCH('Kwther Ameen'!W8,Attendance!$C$4:$AF$4,0))</f>
        <v>P</v>
      </c>
      <c r="X9" s="12" t="str">
        <f>INDEX(Table2[[1]:[30]],MATCH('Kwther Ameen'!$B$3,Attendance!$B$5:$B$22,0),MATCH('Kwther Ameen'!X8,Attendance!$C$4:$AF$4,0))</f>
        <v>P</v>
      </c>
      <c r="Y9" s="12" t="str">
        <f>INDEX(Table2[[1]:[30]],MATCH('Kwther Ameen'!$B$3,Attendance!$B$5:$B$22,0),MATCH('Kwther Ameen'!Y8,Attendance!$C$4:$AF$4,0))</f>
        <v>P</v>
      </c>
      <c r="Z9" s="12" t="str">
        <f>INDEX(Table2[[1]:[30]],MATCH('Kwther Ameen'!$B$3,Attendance!$B$5:$B$22,0),MATCH('Kwther Ameen'!Z8,Attendance!$C$4:$AF$4,0))</f>
        <v>P</v>
      </c>
      <c r="AA9" s="12" t="str">
        <f>INDEX(Table2[[1]:[30]],MATCH('Kwther Ameen'!$B$3,Attendance!$B$5:$B$22,0),MATCH('Kwther Ameen'!AA8,Attendance!$C$4:$AF$4,0))</f>
        <v>P</v>
      </c>
      <c r="AB9" s="12" t="str">
        <f>INDEX(Table2[[1]:[30]],MATCH('Kwther Ameen'!$B$3,Attendance!$B$5:$B$22,0),MATCH('Kwther Ameen'!AB8,Attendance!$C$4:$AF$4,0))</f>
        <v>P</v>
      </c>
      <c r="AC9" s="12" t="str">
        <f>INDEX(Table2[[1]:[30]],MATCH('Kwther Ameen'!$B$3,Attendance!$B$5:$B$22,0),MATCH('Kwther Ameen'!AC8,Attendance!$C$4:$AF$4,0))</f>
        <v>P</v>
      </c>
      <c r="AD9" s="12" t="str">
        <f>INDEX(Table2[[1]:[30]],MATCH('Kwther Ameen'!$B$3,Attendance!$B$5:$B$22,0),MATCH('Kwther Ameen'!AD8,Attendance!$C$4:$AF$4,0))</f>
        <v>P</v>
      </c>
      <c r="AE9" s="12" t="str">
        <f>INDEX(Table2[[1]:[30]],MATCH('Kwther Ameen'!$B$3,Attendance!$B$5:$B$22,0),MATCH('Kwther Ameen'!AE8,Attendance!$C$4:$AF$4,0))</f>
        <v>P</v>
      </c>
      <c r="AF9" s="12" t="str">
        <f>INDEX(Table2[[1]:[30]],MATCH('Kwther Ameen'!$B$3,Attendance!$B$5:$B$22,0),MATCH('Kwther Ameen'!AF8,Attendance!$C$4:$AF$4,0))</f>
        <v>P</v>
      </c>
      <c r="AG9" s="16"/>
      <c r="AH9" s="15"/>
      <c r="AI9" s="15"/>
      <c r="AJ9" s="15"/>
    </row>
    <row r="10" spans="2:36" ht="30" customHeight="1" x14ac:dyDescent="0.25">
      <c r="C10" t="e" cm="1">
        <f t="array" ref="C10:K10">INDEX(Table2[#All],MATCH('Kwther Ameen'!$B$3:$J$3,Table2[#All],0))</f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B1:R1"/>
    <mergeCell ref="B2:J2"/>
    <mergeCell ref="K2:O2"/>
    <mergeCell ref="P2:R2"/>
    <mergeCell ref="S2:V2"/>
    <mergeCell ref="AE2:AG2"/>
    <mergeCell ref="AH2:AJ2"/>
    <mergeCell ref="B3:J3"/>
    <mergeCell ref="K3:O3"/>
    <mergeCell ref="P3:R3"/>
    <mergeCell ref="S3:V3"/>
    <mergeCell ref="W3:AD3"/>
    <mergeCell ref="AE3:AG3"/>
    <mergeCell ref="AH3:AJ3"/>
    <mergeCell ref="W2:AD2"/>
    <mergeCell ref="B4:J4"/>
    <mergeCell ref="K4:V4"/>
    <mergeCell ref="W4:AD4"/>
    <mergeCell ref="AE4:AJ4"/>
    <mergeCell ref="B5:J5"/>
    <mergeCell ref="K5:V5"/>
    <mergeCell ref="W5:AD5"/>
    <mergeCell ref="AE5:AJ5"/>
    <mergeCell ref="B6:AF7"/>
    <mergeCell ref="AG6:AJ6"/>
    <mergeCell ref="B8:B9"/>
    <mergeCell ref="AG8:AG9"/>
    <mergeCell ref="AH8:AH9"/>
    <mergeCell ref="AI8:AI9"/>
    <mergeCell ref="AJ8:AJ9"/>
  </mergeCells>
  <conditionalFormatting sqref="C9:AF9">
    <cfRule type="cellIs" dxfId="39" priority="1" operator="equal">
      <formula>"U"</formula>
    </cfRule>
    <cfRule type="cellIs" dxfId="38" priority="2" operator="equal">
      <formula>"E"</formula>
    </cfRule>
    <cfRule type="cellIs" dxfId="37" priority="3" operator="equal">
      <formula>"T"</formula>
    </cfRule>
    <cfRule type="cellIs" dxfId="36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1CD77-9EFE-4707-9ED4-1C7125A8695E}">
  <sheetPr codeName="Sheet11">
    <tabColor indexed="41"/>
    <pageSetUpPr fitToPage="1"/>
  </sheetPr>
  <dimension ref="B1:AJ10"/>
  <sheetViews>
    <sheetView showGridLines="0" zoomScale="90" zoomScaleNormal="90" workbookViewId="0">
      <selection activeCell="P3" sqref="P3:R3"/>
    </sheetView>
  </sheetViews>
  <sheetFormatPr defaultColWidth="9" defaultRowHeight="30" customHeight="1" x14ac:dyDescent="0.25"/>
  <cols>
    <col min="1" max="1" width="2.625" style="2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style="2" customWidth="1"/>
    <col min="38" max="16384" width="9" style="2"/>
  </cols>
  <sheetData>
    <row r="1" spans="2:36" s="1" customFormat="1" ht="38.1" customHeight="1" x14ac:dyDescent="0.25">
      <c r="B1" s="35" t="s">
        <v>14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</row>
    <row r="2" spans="2:36" s="1" customFormat="1" ht="30" customHeight="1" x14ac:dyDescent="0.25">
      <c r="B2" s="29" t="s">
        <v>8</v>
      </c>
      <c r="C2" s="30"/>
      <c r="D2" s="30"/>
      <c r="E2" s="30"/>
      <c r="F2" s="30"/>
      <c r="G2" s="30"/>
      <c r="H2" s="30"/>
      <c r="I2" s="30"/>
      <c r="J2" s="31"/>
      <c r="K2" s="17" t="s">
        <v>10</v>
      </c>
      <c r="L2" s="17"/>
      <c r="M2" s="17"/>
      <c r="N2" s="17"/>
      <c r="O2" s="17"/>
      <c r="P2" s="17" t="s">
        <v>12</v>
      </c>
      <c r="Q2" s="17"/>
      <c r="R2" s="17"/>
      <c r="S2" s="17" t="s">
        <v>9</v>
      </c>
      <c r="T2" s="17"/>
      <c r="U2" s="17"/>
      <c r="V2" s="17"/>
      <c r="W2" s="17" t="s">
        <v>1</v>
      </c>
      <c r="X2" s="17"/>
      <c r="Y2" s="17"/>
      <c r="Z2" s="17"/>
      <c r="AA2" s="17"/>
      <c r="AB2" s="17"/>
      <c r="AC2" s="17"/>
      <c r="AD2" s="17"/>
      <c r="AE2" s="41" t="s">
        <v>0</v>
      </c>
      <c r="AF2" s="42"/>
      <c r="AG2" s="43"/>
      <c r="AH2" s="36" t="s">
        <v>2</v>
      </c>
      <c r="AI2" s="37"/>
      <c r="AJ2" s="38"/>
    </row>
    <row r="3" spans="2:36" s="1" customFormat="1" ht="30" customHeight="1" x14ac:dyDescent="0.25">
      <c r="B3" s="32" t="s">
        <v>21</v>
      </c>
      <c r="C3" s="33"/>
      <c r="D3" s="33"/>
      <c r="E3" s="33"/>
      <c r="F3" s="33"/>
      <c r="G3" s="33"/>
      <c r="H3" s="33"/>
      <c r="I3" s="33"/>
      <c r="J3" s="34"/>
      <c r="K3" s="18" t="str">
        <f>VLOOKUP(B3,Students[],3,0)</f>
        <v>MN88</v>
      </c>
      <c r="L3" s="18"/>
      <c r="M3" s="18"/>
      <c r="N3" s="18"/>
      <c r="O3" s="18"/>
      <c r="P3" s="18" t="str">
        <f>VLOOKUP(B3,Students[],2,0)</f>
        <v>Male</v>
      </c>
      <c r="Q3" s="18"/>
      <c r="R3" s="18"/>
      <c r="S3" s="40">
        <f>VLOOKUP(B3,Students[],4,0)</f>
        <v>38716</v>
      </c>
      <c r="T3" s="40"/>
      <c r="U3" s="40"/>
      <c r="V3" s="40"/>
      <c r="W3" s="18" t="s">
        <v>129</v>
      </c>
      <c r="X3" s="18"/>
      <c r="Y3" s="18"/>
      <c r="Z3" s="18"/>
      <c r="AA3" s="18"/>
      <c r="AB3" s="18"/>
      <c r="AC3" s="18"/>
      <c r="AD3" s="18"/>
      <c r="AE3" s="44">
        <f>VLOOKUP(B3,Students[],5,0)</f>
        <v>8</v>
      </c>
      <c r="AF3" s="45"/>
      <c r="AG3" s="45"/>
      <c r="AH3" s="39">
        <f>VLOOKUP(B3,Students[],6,0)</f>
        <v>3</v>
      </c>
      <c r="AI3" s="39"/>
      <c r="AJ3" s="39"/>
    </row>
    <row r="4" spans="2:36" s="1" customFormat="1" ht="30" customHeight="1" x14ac:dyDescent="0.25">
      <c r="B4" s="29" t="s">
        <v>70</v>
      </c>
      <c r="C4" s="30"/>
      <c r="D4" s="30"/>
      <c r="E4" s="30"/>
      <c r="F4" s="30"/>
      <c r="G4" s="30"/>
      <c r="H4" s="30"/>
      <c r="I4" s="30"/>
      <c r="J4" s="31"/>
      <c r="K4" s="17" t="s">
        <v>71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 t="s">
        <v>72</v>
      </c>
      <c r="X4" s="17"/>
      <c r="Y4" s="17"/>
      <c r="Z4" s="17"/>
      <c r="AA4" s="17"/>
      <c r="AB4" s="17"/>
      <c r="AC4" s="17"/>
      <c r="AD4" s="17"/>
      <c r="AE4" s="17" t="s">
        <v>73</v>
      </c>
      <c r="AF4" s="17"/>
      <c r="AG4" s="17"/>
      <c r="AH4" s="22"/>
      <c r="AI4" s="22"/>
      <c r="AJ4" s="22"/>
    </row>
    <row r="5" spans="2:36" s="1" customFormat="1" ht="30" customHeight="1" x14ac:dyDescent="0.25">
      <c r="B5" s="32" t="str">
        <f>VLOOKUP(B3,Students[],7,0)</f>
        <v>Essam</v>
      </c>
      <c r="C5" s="33"/>
      <c r="D5" s="33"/>
      <c r="E5" s="33"/>
      <c r="F5" s="33"/>
      <c r="G5" s="33"/>
      <c r="H5" s="33"/>
      <c r="I5" s="33"/>
      <c r="J5" s="34"/>
      <c r="K5" s="18" t="str">
        <f>VLOOKUP(B3,Students[],8,0)</f>
        <v>Amal</v>
      </c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9">
        <f>VLOOKUP(B3,Students[],9,0)</f>
        <v>5404443184</v>
      </c>
      <c r="X5" s="19"/>
      <c r="Y5" s="19"/>
      <c r="Z5" s="19"/>
      <c r="AA5" s="19"/>
      <c r="AB5" s="19"/>
      <c r="AC5" s="19"/>
      <c r="AD5" s="19"/>
      <c r="AE5" s="19" t="str">
        <f>VLOOKUP(B3,Students[],10,0)</f>
        <v>Hamal Street</v>
      </c>
      <c r="AF5" s="19"/>
      <c r="AG5" s="19"/>
      <c r="AH5" s="19"/>
      <c r="AI5" s="19"/>
      <c r="AJ5" s="19"/>
    </row>
    <row r="6" spans="2:36" s="1" customFormat="1" ht="30" customHeight="1" x14ac:dyDescent="0.25">
      <c r="B6" s="23" t="s">
        <v>11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0" t="s">
        <v>3</v>
      </c>
      <c r="AH6" s="21"/>
      <c r="AI6" s="21"/>
      <c r="AJ6" s="21"/>
    </row>
    <row r="7" spans="2:36" s="1" customFormat="1" ht="30" customHeight="1" x14ac:dyDescent="0.25">
      <c r="B7" s="25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9" t="s">
        <v>4</v>
      </c>
      <c r="AH7" s="10" t="s">
        <v>5</v>
      </c>
      <c r="AI7" s="10" t="s">
        <v>6</v>
      </c>
      <c r="AJ7" s="10" t="s">
        <v>7</v>
      </c>
    </row>
    <row r="8" spans="2:36" s="1" customFormat="1" ht="30" customHeight="1" x14ac:dyDescent="0.25">
      <c r="B8" s="27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6">
        <f>COUNTIF($C9:$AF9,"T")</f>
        <v>1</v>
      </c>
      <c r="AH8" s="15">
        <f>COUNTIF($C9:$AF9,"U")</f>
        <v>0</v>
      </c>
      <c r="AI8" s="15">
        <f>COUNTIF($C9:$AF9,"E")</f>
        <v>0</v>
      </c>
      <c r="AJ8" s="15">
        <f>COUNTIF($C9:$AF9,"P")</f>
        <v>29</v>
      </c>
    </row>
    <row r="9" spans="2:36" s="1" customFormat="1" ht="30" customHeight="1" x14ac:dyDescent="0.25">
      <c r="B9" s="28"/>
      <c r="C9" s="12" t="str">
        <f>INDEX(Table2[[1]:[30]],MATCH('Khaled Katem'!$B$3,Attendance!$B$5:$B$22,0),MATCH('Khaled Katem'!C8,Attendance!$C$4:$AF$4,0))</f>
        <v>P</v>
      </c>
      <c r="D9" s="12" t="str">
        <f>INDEX(Table2[[1]:[30]],MATCH('Khaled Katem'!$B$3,Attendance!$B$5:$B$22,0),MATCH('Khaled Katem'!D8,Attendance!$C$4:$AF$4,0))</f>
        <v>P</v>
      </c>
      <c r="E9" s="12" t="str">
        <f>INDEX(Table2[[1]:[30]],MATCH('Khaled Katem'!$B$3,Attendance!$B$5:$B$22,0),MATCH('Khaled Katem'!E8,Attendance!$C$4:$AF$4,0))</f>
        <v>P</v>
      </c>
      <c r="F9" s="12" t="str">
        <f>INDEX(Table2[[1]:[30]],MATCH('Khaled Katem'!$B$3,Attendance!$B$5:$B$22,0),MATCH('Khaled Katem'!F8,Attendance!$C$4:$AF$4,0))</f>
        <v>P</v>
      </c>
      <c r="G9" s="12" t="str">
        <f>INDEX(Table2[[1]:[30]],MATCH('Khaled Katem'!$B$3,Attendance!$B$5:$B$22,0),MATCH('Khaled Katem'!G8,Attendance!$C$4:$AF$4,0))</f>
        <v>P</v>
      </c>
      <c r="H9" s="12" t="str">
        <f>INDEX(Table2[[1]:[30]],MATCH('Khaled Katem'!$B$3,Attendance!$B$5:$B$22,0),MATCH('Khaled Katem'!H8,Attendance!$C$4:$AF$4,0))</f>
        <v>P</v>
      </c>
      <c r="I9" s="12" t="str">
        <f>INDEX(Table2[[1]:[30]],MATCH('Khaled Katem'!$B$3,Attendance!$B$5:$B$22,0),MATCH('Khaled Katem'!I8,Attendance!$C$4:$AF$4,0))</f>
        <v>P</v>
      </c>
      <c r="J9" s="12" t="str">
        <f>INDEX(Table2[[1]:[30]],MATCH('Khaled Katem'!$B$3,Attendance!$B$5:$B$22,0),MATCH('Khaled Katem'!J8,Attendance!$C$4:$AF$4,0))</f>
        <v>P</v>
      </c>
      <c r="K9" s="12" t="str">
        <f>INDEX(Table2[[1]:[30]],MATCH('Khaled Katem'!$B$3,Attendance!$B$5:$B$22,0),MATCH('Khaled Katem'!K8,Attendance!$C$4:$AF$4,0))</f>
        <v>T</v>
      </c>
      <c r="L9" s="12" t="str">
        <f>INDEX(Table2[[1]:[30]],MATCH('Khaled Katem'!$B$3,Attendance!$B$5:$B$22,0),MATCH('Khaled Katem'!L8,Attendance!$C$4:$AF$4,0))</f>
        <v>P</v>
      </c>
      <c r="M9" s="12" t="str">
        <f>INDEX(Table2[[1]:[30]],MATCH('Khaled Katem'!$B$3,Attendance!$B$5:$B$22,0),MATCH('Khaled Katem'!M8,Attendance!$C$4:$AF$4,0))</f>
        <v>P</v>
      </c>
      <c r="N9" s="12" t="str">
        <f>INDEX(Table2[[1]:[30]],MATCH('Khaled Katem'!$B$3,Attendance!$B$5:$B$22,0),MATCH('Khaled Katem'!N8,Attendance!$C$4:$AF$4,0))</f>
        <v>P</v>
      </c>
      <c r="O9" s="12" t="str">
        <f>INDEX(Table2[[1]:[30]],MATCH('Khaled Katem'!$B$3,Attendance!$B$5:$B$22,0),MATCH('Khaled Katem'!O8,Attendance!$C$4:$AF$4,0))</f>
        <v>P</v>
      </c>
      <c r="P9" s="12" t="str">
        <f>INDEX(Table2[[1]:[30]],MATCH('Khaled Katem'!$B$3,Attendance!$B$5:$B$22,0),MATCH('Khaled Katem'!P8,Attendance!$C$4:$AF$4,0))</f>
        <v>P</v>
      </c>
      <c r="Q9" s="12" t="str">
        <f>INDEX(Table2[[1]:[30]],MATCH('Khaled Katem'!$B$3,Attendance!$B$5:$B$22,0),MATCH('Khaled Katem'!Q8,Attendance!$C$4:$AF$4,0))</f>
        <v>P</v>
      </c>
      <c r="R9" s="12" t="str">
        <f>INDEX(Table2[[1]:[30]],MATCH('Khaled Katem'!$B$3,Attendance!$B$5:$B$22,0),MATCH('Khaled Katem'!R8,Attendance!$C$4:$AF$4,0))</f>
        <v>P</v>
      </c>
      <c r="S9" s="12" t="str">
        <f>INDEX(Table2[[1]:[30]],MATCH('Khaled Katem'!$B$3,Attendance!$B$5:$B$22,0),MATCH('Khaled Katem'!S8,Attendance!$C$4:$AF$4,0))</f>
        <v>P</v>
      </c>
      <c r="T9" s="12" t="str">
        <f>INDEX(Table2[[1]:[30]],MATCH('Khaled Katem'!$B$3,Attendance!$B$5:$B$22,0),MATCH('Khaled Katem'!T8,Attendance!$C$4:$AF$4,0))</f>
        <v>P</v>
      </c>
      <c r="U9" s="12" t="str">
        <f>INDEX(Table2[[1]:[30]],MATCH('Khaled Katem'!$B$3,Attendance!$B$5:$B$22,0),MATCH('Khaled Katem'!U8,Attendance!$C$4:$AF$4,0))</f>
        <v>P</v>
      </c>
      <c r="V9" s="12" t="str">
        <f>INDEX(Table2[[1]:[30]],MATCH('Khaled Katem'!$B$3,Attendance!$B$5:$B$22,0),MATCH('Khaled Katem'!V8,Attendance!$C$4:$AF$4,0))</f>
        <v>P</v>
      </c>
      <c r="W9" s="12" t="str">
        <f>INDEX(Table2[[1]:[30]],MATCH('Khaled Katem'!$B$3,Attendance!$B$5:$B$22,0),MATCH('Khaled Katem'!W8,Attendance!$C$4:$AF$4,0))</f>
        <v>P</v>
      </c>
      <c r="X9" s="12" t="str">
        <f>INDEX(Table2[[1]:[30]],MATCH('Khaled Katem'!$B$3,Attendance!$B$5:$B$22,0),MATCH('Khaled Katem'!X8,Attendance!$C$4:$AF$4,0))</f>
        <v>P</v>
      </c>
      <c r="Y9" s="12" t="str">
        <f>INDEX(Table2[[1]:[30]],MATCH('Khaled Katem'!$B$3,Attendance!$B$5:$B$22,0),MATCH('Khaled Katem'!Y8,Attendance!$C$4:$AF$4,0))</f>
        <v>P</v>
      </c>
      <c r="Z9" s="12" t="str">
        <f>INDEX(Table2[[1]:[30]],MATCH('Khaled Katem'!$B$3,Attendance!$B$5:$B$22,0),MATCH('Khaled Katem'!Z8,Attendance!$C$4:$AF$4,0))</f>
        <v>P</v>
      </c>
      <c r="AA9" s="12" t="str">
        <f>INDEX(Table2[[1]:[30]],MATCH('Khaled Katem'!$B$3,Attendance!$B$5:$B$22,0),MATCH('Khaled Katem'!AA8,Attendance!$C$4:$AF$4,0))</f>
        <v>P</v>
      </c>
      <c r="AB9" s="12" t="str">
        <f>INDEX(Table2[[1]:[30]],MATCH('Khaled Katem'!$B$3,Attendance!$B$5:$B$22,0),MATCH('Khaled Katem'!AB8,Attendance!$C$4:$AF$4,0))</f>
        <v>P</v>
      </c>
      <c r="AC9" s="12" t="str">
        <f>INDEX(Table2[[1]:[30]],MATCH('Khaled Katem'!$B$3,Attendance!$B$5:$B$22,0),MATCH('Khaled Katem'!AC8,Attendance!$C$4:$AF$4,0))</f>
        <v>P</v>
      </c>
      <c r="AD9" s="12" t="str">
        <f>INDEX(Table2[[1]:[30]],MATCH('Khaled Katem'!$B$3,Attendance!$B$5:$B$22,0),MATCH('Khaled Katem'!AD8,Attendance!$C$4:$AF$4,0))</f>
        <v>P</v>
      </c>
      <c r="AE9" s="12" t="str">
        <f>INDEX(Table2[[1]:[30]],MATCH('Khaled Katem'!$B$3,Attendance!$B$5:$B$22,0),MATCH('Khaled Katem'!AE8,Attendance!$C$4:$AF$4,0))</f>
        <v>P</v>
      </c>
      <c r="AF9" s="12" t="str">
        <f>INDEX(Table2[[1]:[30]],MATCH('Khaled Katem'!$B$3,Attendance!$B$5:$B$22,0),MATCH('Khaled Katem'!AF8,Attendance!$C$4:$AF$4,0))</f>
        <v>P</v>
      </c>
      <c r="AG9" s="16"/>
      <c r="AH9" s="15"/>
      <c r="AI9" s="15"/>
      <c r="AJ9" s="15"/>
    </row>
    <row r="10" spans="2:36" ht="30" customHeight="1" x14ac:dyDescent="0.25">
      <c r="C10" t="e" cm="1">
        <f t="array" ref="C10:K10">INDEX(Table2[#All],MATCH('Khaled Katem'!$B$3:$J$3,Table2[#All],0))</f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B1:R1"/>
    <mergeCell ref="B2:J2"/>
    <mergeCell ref="K2:O2"/>
    <mergeCell ref="P2:R2"/>
    <mergeCell ref="S2:V2"/>
    <mergeCell ref="AE2:AG2"/>
    <mergeCell ref="AH2:AJ2"/>
    <mergeCell ref="B3:J3"/>
    <mergeCell ref="K3:O3"/>
    <mergeCell ref="P3:R3"/>
    <mergeCell ref="S3:V3"/>
    <mergeCell ref="W3:AD3"/>
    <mergeCell ref="AE3:AG3"/>
    <mergeCell ref="AH3:AJ3"/>
    <mergeCell ref="W2:AD2"/>
    <mergeCell ref="B4:J4"/>
    <mergeCell ref="K4:V4"/>
    <mergeCell ref="W4:AD4"/>
    <mergeCell ref="AE4:AJ4"/>
    <mergeCell ref="B5:J5"/>
    <mergeCell ref="K5:V5"/>
    <mergeCell ref="W5:AD5"/>
    <mergeCell ref="AE5:AJ5"/>
    <mergeCell ref="B6:AF7"/>
    <mergeCell ref="AG6:AJ6"/>
    <mergeCell ref="B8:B9"/>
    <mergeCell ref="AG8:AG9"/>
    <mergeCell ref="AH8:AH9"/>
    <mergeCell ref="AI8:AI9"/>
    <mergeCell ref="AJ8:AJ9"/>
  </mergeCells>
  <conditionalFormatting sqref="C9:AF9">
    <cfRule type="cellIs" dxfId="35" priority="1" operator="equal">
      <formula>"U"</formula>
    </cfRule>
    <cfRule type="cellIs" dxfId="34" priority="2" operator="equal">
      <formula>"E"</formula>
    </cfRule>
    <cfRule type="cellIs" dxfId="33" priority="3" operator="equal">
      <formula>"T"</formula>
    </cfRule>
    <cfRule type="cellIs" dxfId="32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66E31-B304-43F7-B663-7DEA1B92512C}">
  <sheetPr codeName="Sheet10">
    <tabColor indexed="41"/>
    <pageSetUpPr fitToPage="1"/>
  </sheetPr>
  <dimension ref="B1:AJ10"/>
  <sheetViews>
    <sheetView showGridLines="0" zoomScale="90" zoomScaleNormal="90" workbookViewId="0">
      <selection activeCell="P3" sqref="P3:R3"/>
    </sheetView>
  </sheetViews>
  <sheetFormatPr defaultColWidth="9" defaultRowHeight="30" customHeight="1" x14ac:dyDescent="0.25"/>
  <cols>
    <col min="1" max="1" width="2.625" style="2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style="2" customWidth="1"/>
    <col min="38" max="16384" width="9" style="2"/>
  </cols>
  <sheetData>
    <row r="1" spans="2:36" s="1" customFormat="1" ht="38.1" customHeight="1" x14ac:dyDescent="0.25">
      <c r="B1" s="35" t="s">
        <v>14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</row>
    <row r="2" spans="2:36" s="1" customFormat="1" ht="30" customHeight="1" x14ac:dyDescent="0.25">
      <c r="B2" s="29" t="s">
        <v>8</v>
      </c>
      <c r="C2" s="30"/>
      <c r="D2" s="30"/>
      <c r="E2" s="30"/>
      <c r="F2" s="30"/>
      <c r="G2" s="30"/>
      <c r="H2" s="30"/>
      <c r="I2" s="30"/>
      <c r="J2" s="31"/>
      <c r="K2" s="17" t="s">
        <v>10</v>
      </c>
      <c r="L2" s="17"/>
      <c r="M2" s="17"/>
      <c r="N2" s="17"/>
      <c r="O2" s="17"/>
      <c r="P2" s="17" t="s">
        <v>12</v>
      </c>
      <c r="Q2" s="17"/>
      <c r="R2" s="17"/>
      <c r="S2" s="17" t="s">
        <v>9</v>
      </c>
      <c r="T2" s="17"/>
      <c r="U2" s="17"/>
      <c r="V2" s="17"/>
      <c r="W2" s="17" t="s">
        <v>1</v>
      </c>
      <c r="X2" s="17"/>
      <c r="Y2" s="17"/>
      <c r="Z2" s="17"/>
      <c r="AA2" s="17"/>
      <c r="AB2" s="17"/>
      <c r="AC2" s="17"/>
      <c r="AD2" s="17"/>
      <c r="AE2" s="41" t="s">
        <v>0</v>
      </c>
      <c r="AF2" s="42"/>
      <c r="AG2" s="43"/>
      <c r="AH2" s="36" t="s">
        <v>2</v>
      </c>
      <c r="AI2" s="37"/>
      <c r="AJ2" s="38"/>
    </row>
    <row r="3" spans="2:36" s="1" customFormat="1" ht="30" customHeight="1" x14ac:dyDescent="0.25">
      <c r="B3" s="32" t="s">
        <v>31</v>
      </c>
      <c r="C3" s="33"/>
      <c r="D3" s="33"/>
      <c r="E3" s="33"/>
      <c r="F3" s="33"/>
      <c r="G3" s="33"/>
      <c r="H3" s="33"/>
      <c r="I3" s="33"/>
      <c r="J3" s="34"/>
      <c r="K3" s="18" t="str">
        <f>VLOOKUP(B3,Students[],3,0)</f>
        <v>BG99</v>
      </c>
      <c r="L3" s="18"/>
      <c r="M3" s="18"/>
      <c r="N3" s="18"/>
      <c r="O3" s="18"/>
      <c r="P3" s="18" t="str">
        <f>VLOOKUP(B3,Students[],2,0)</f>
        <v>Male</v>
      </c>
      <c r="Q3" s="18"/>
      <c r="R3" s="18"/>
      <c r="S3" s="40">
        <f>VLOOKUP(B3,Students[],4,0)</f>
        <v>38258</v>
      </c>
      <c r="T3" s="40"/>
      <c r="U3" s="40"/>
      <c r="V3" s="40"/>
      <c r="W3" s="18" t="s">
        <v>129</v>
      </c>
      <c r="X3" s="18"/>
      <c r="Y3" s="18"/>
      <c r="Z3" s="18"/>
      <c r="AA3" s="18"/>
      <c r="AB3" s="18"/>
      <c r="AC3" s="18"/>
      <c r="AD3" s="18"/>
      <c r="AE3" s="44">
        <f>VLOOKUP(B3,Students[],5,0)</f>
        <v>9</v>
      </c>
      <c r="AF3" s="45"/>
      <c r="AG3" s="45"/>
      <c r="AH3" s="39">
        <f>VLOOKUP(B3,Students[],6,0)</f>
        <v>2</v>
      </c>
      <c r="AI3" s="39"/>
      <c r="AJ3" s="39"/>
    </row>
    <row r="4" spans="2:36" s="1" customFormat="1" ht="30" customHeight="1" x14ac:dyDescent="0.25">
      <c r="B4" s="29" t="s">
        <v>70</v>
      </c>
      <c r="C4" s="30"/>
      <c r="D4" s="30"/>
      <c r="E4" s="30"/>
      <c r="F4" s="30"/>
      <c r="G4" s="30"/>
      <c r="H4" s="30"/>
      <c r="I4" s="30"/>
      <c r="J4" s="31"/>
      <c r="K4" s="17" t="s">
        <v>71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 t="s">
        <v>72</v>
      </c>
      <c r="X4" s="17"/>
      <c r="Y4" s="17"/>
      <c r="Z4" s="17"/>
      <c r="AA4" s="17"/>
      <c r="AB4" s="17"/>
      <c r="AC4" s="17"/>
      <c r="AD4" s="17"/>
      <c r="AE4" s="17" t="s">
        <v>73</v>
      </c>
      <c r="AF4" s="17"/>
      <c r="AG4" s="17"/>
      <c r="AH4" s="22"/>
      <c r="AI4" s="22"/>
      <c r="AJ4" s="22"/>
    </row>
    <row r="5" spans="2:36" s="1" customFormat="1" ht="30" customHeight="1" x14ac:dyDescent="0.25">
      <c r="B5" s="32" t="str">
        <f>VLOOKUP(B3,Students[],7,0)</f>
        <v>Ameer</v>
      </c>
      <c r="C5" s="33"/>
      <c r="D5" s="33"/>
      <c r="E5" s="33"/>
      <c r="F5" s="33"/>
      <c r="G5" s="33"/>
      <c r="H5" s="33"/>
      <c r="I5" s="33"/>
      <c r="J5" s="34"/>
      <c r="K5" s="18" t="str">
        <f>VLOOKUP(B3,Students[],8,0)</f>
        <v>Aya</v>
      </c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9">
        <f>VLOOKUP(B3,Students[],9,0)</f>
        <v>5679751637</v>
      </c>
      <c r="X5" s="19"/>
      <c r="Y5" s="19"/>
      <c r="Z5" s="19"/>
      <c r="AA5" s="19"/>
      <c r="AB5" s="19"/>
      <c r="AC5" s="19"/>
      <c r="AD5" s="19"/>
      <c r="AE5" s="19" t="str">
        <f>VLOOKUP(B3,Students[],10,0)</f>
        <v>Horrya Streey</v>
      </c>
      <c r="AF5" s="19"/>
      <c r="AG5" s="19"/>
      <c r="AH5" s="19"/>
      <c r="AI5" s="19"/>
      <c r="AJ5" s="19"/>
    </row>
    <row r="6" spans="2:36" s="1" customFormat="1" ht="30" customHeight="1" x14ac:dyDescent="0.25">
      <c r="B6" s="23" t="s">
        <v>11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0" t="s">
        <v>3</v>
      </c>
      <c r="AH6" s="21"/>
      <c r="AI6" s="21"/>
      <c r="AJ6" s="21"/>
    </row>
    <row r="7" spans="2:36" s="1" customFormat="1" ht="30" customHeight="1" x14ac:dyDescent="0.25">
      <c r="B7" s="25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9" t="s">
        <v>4</v>
      </c>
      <c r="AH7" s="10" t="s">
        <v>5</v>
      </c>
      <c r="AI7" s="10" t="s">
        <v>6</v>
      </c>
      <c r="AJ7" s="10" t="s">
        <v>7</v>
      </c>
    </row>
    <row r="8" spans="2:36" s="1" customFormat="1" ht="30" customHeight="1" x14ac:dyDescent="0.25">
      <c r="B8" s="27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6">
        <f>COUNTIF($C9:$AF9,"T")</f>
        <v>0</v>
      </c>
      <c r="AH8" s="15">
        <f>COUNTIF($C9:$AF9,"U")</f>
        <v>0</v>
      </c>
      <c r="AI8" s="15">
        <f>COUNTIF($C9:$AF9,"E")</f>
        <v>0</v>
      </c>
      <c r="AJ8" s="15">
        <f>COUNTIF($C9:$AF9,"P")</f>
        <v>30</v>
      </c>
    </row>
    <row r="9" spans="2:36" s="1" customFormat="1" ht="30" customHeight="1" x14ac:dyDescent="0.25">
      <c r="B9" s="28"/>
      <c r="C9" s="12" t="str">
        <f>INDEX(Table2[[1]:[30]],MATCH('Kareem Ahmad'!$B$3,Attendance!$B$5:$B$22,0),MATCH('Kareem Ahmad'!C8,Attendance!$C$4:$AF$4,0))</f>
        <v>P</v>
      </c>
      <c r="D9" s="12" t="str">
        <f>INDEX(Table2[[1]:[30]],MATCH('Kareem Ahmad'!$B$3,Attendance!$B$5:$B$22,0),MATCH('Kareem Ahmad'!D8,Attendance!$C$4:$AF$4,0))</f>
        <v>P</v>
      </c>
      <c r="E9" s="12" t="str">
        <f>INDEX(Table2[[1]:[30]],MATCH('Kareem Ahmad'!$B$3,Attendance!$B$5:$B$22,0),MATCH('Kareem Ahmad'!E8,Attendance!$C$4:$AF$4,0))</f>
        <v>P</v>
      </c>
      <c r="F9" s="12" t="str">
        <f>INDEX(Table2[[1]:[30]],MATCH('Kareem Ahmad'!$B$3,Attendance!$B$5:$B$22,0),MATCH('Kareem Ahmad'!F8,Attendance!$C$4:$AF$4,0))</f>
        <v>P</v>
      </c>
      <c r="G9" s="12" t="str">
        <f>INDEX(Table2[[1]:[30]],MATCH('Kareem Ahmad'!$B$3,Attendance!$B$5:$B$22,0),MATCH('Kareem Ahmad'!G8,Attendance!$C$4:$AF$4,0))</f>
        <v>P</v>
      </c>
      <c r="H9" s="12" t="str">
        <f>INDEX(Table2[[1]:[30]],MATCH('Kareem Ahmad'!$B$3,Attendance!$B$5:$B$22,0),MATCH('Kareem Ahmad'!H8,Attendance!$C$4:$AF$4,0))</f>
        <v>P</v>
      </c>
      <c r="I9" s="12" t="str">
        <f>INDEX(Table2[[1]:[30]],MATCH('Kareem Ahmad'!$B$3,Attendance!$B$5:$B$22,0),MATCH('Kareem Ahmad'!I8,Attendance!$C$4:$AF$4,0))</f>
        <v>P</v>
      </c>
      <c r="J9" s="12" t="str">
        <f>INDEX(Table2[[1]:[30]],MATCH('Kareem Ahmad'!$B$3,Attendance!$B$5:$B$22,0),MATCH('Kareem Ahmad'!J8,Attendance!$C$4:$AF$4,0))</f>
        <v>P</v>
      </c>
      <c r="K9" s="12" t="str">
        <f>INDEX(Table2[[1]:[30]],MATCH('Kareem Ahmad'!$B$3,Attendance!$B$5:$B$22,0),MATCH('Kareem Ahmad'!K8,Attendance!$C$4:$AF$4,0))</f>
        <v>P</v>
      </c>
      <c r="L9" s="12" t="str">
        <f>INDEX(Table2[[1]:[30]],MATCH('Kareem Ahmad'!$B$3,Attendance!$B$5:$B$22,0),MATCH('Kareem Ahmad'!L8,Attendance!$C$4:$AF$4,0))</f>
        <v>P</v>
      </c>
      <c r="M9" s="12" t="str">
        <f>INDEX(Table2[[1]:[30]],MATCH('Kareem Ahmad'!$B$3,Attendance!$B$5:$B$22,0),MATCH('Kareem Ahmad'!M8,Attendance!$C$4:$AF$4,0))</f>
        <v>P</v>
      </c>
      <c r="N9" s="12" t="str">
        <f>INDEX(Table2[[1]:[30]],MATCH('Kareem Ahmad'!$B$3,Attendance!$B$5:$B$22,0),MATCH('Kareem Ahmad'!N8,Attendance!$C$4:$AF$4,0))</f>
        <v>P</v>
      </c>
      <c r="O9" s="12" t="str">
        <f>INDEX(Table2[[1]:[30]],MATCH('Kareem Ahmad'!$B$3,Attendance!$B$5:$B$22,0),MATCH('Kareem Ahmad'!O8,Attendance!$C$4:$AF$4,0))</f>
        <v>P</v>
      </c>
      <c r="P9" s="12" t="str">
        <f>INDEX(Table2[[1]:[30]],MATCH('Kareem Ahmad'!$B$3,Attendance!$B$5:$B$22,0),MATCH('Kareem Ahmad'!P8,Attendance!$C$4:$AF$4,0))</f>
        <v>P</v>
      </c>
      <c r="Q9" s="12" t="str">
        <f>INDEX(Table2[[1]:[30]],MATCH('Kareem Ahmad'!$B$3,Attendance!$B$5:$B$22,0),MATCH('Kareem Ahmad'!Q8,Attendance!$C$4:$AF$4,0))</f>
        <v>P</v>
      </c>
      <c r="R9" s="12" t="str">
        <f>INDEX(Table2[[1]:[30]],MATCH('Kareem Ahmad'!$B$3,Attendance!$B$5:$B$22,0),MATCH('Kareem Ahmad'!R8,Attendance!$C$4:$AF$4,0))</f>
        <v>P</v>
      </c>
      <c r="S9" s="12" t="str">
        <f>INDEX(Table2[[1]:[30]],MATCH('Kareem Ahmad'!$B$3,Attendance!$B$5:$B$22,0),MATCH('Kareem Ahmad'!S8,Attendance!$C$4:$AF$4,0))</f>
        <v>P</v>
      </c>
      <c r="T9" s="12" t="str">
        <f>INDEX(Table2[[1]:[30]],MATCH('Kareem Ahmad'!$B$3,Attendance!$B$5:$B$22,0),MATCH('Kareem Ahmad'!T8,Attendance!$C$4:$AF$4,0))</f>
        <v>P</v>
      </c>
      <c r="U9" s="12" t="str">
        <f>INDEX(Table2[[1]:[30]],MATCH('Kareem Ahmad'!$B$3,Attendance!$B$5:$B$22,0),MATCH('Kareem Ahmad'!U8,Attendance!$C$4:$AF$4,0))</f>
        <v>P</v>
      </c>
      <c r="V9" s="12" t="str">
        <f>INDEX(Table2[[1]:[30]],MATCH('Kareem Ahmad'!$B$3,Attendance!$B$5:$B$22,0),MATCH('Kareem Ahmad'!V8,Attendance!$C$4:$AF$4,0))</f>
        <v>P</v>
      </c>
      <c r="W9" s="12" t="str">
        <f>INDEX(Table2[[1]:[30]],MATCH('Kareem Ahmad'!$B$3,Attendance!$B$5:$B$22,0),MATCH('Kareem Ahmad'!W8,Attendance!$C$4:$AF$4,0))</f>
        <v>P</v>
      </c>
      <c r="X9" s="12" t="str">
        <f>INDEX(Table2[[1]:[30]],MATCH('Kareem Ahmad'!$B$3,Attendance!$B$5:$B$22,0),MATCH('Kareem Ahmad'!X8,Attendance!$C$4:$AF$4,0))</f>
        <v>P</v>
      </c>
      <c r="Y9" s="12" t="str">
        <f>INDEX(Table2[[1]:[30]],MATCH('Kareem Ahmad'!$B$3,Attendance!$B$5:$B$22,0),MATCH('Kareem Ahmad'!Y8,Attendance!$C$4:$AF$4,0))</f>
        <v>P</v>
      </c>
      <c r="Z9" s="12" t="str">
        <f>INDEX(Table2[[1]:[30]],MATCH('Kareem Ahmad'!$B$3,Attendance!$B$5:$B$22,0),MATCH('Kareem Ahmad'!Z8,Attendance!$C$4:$AF$4,0))</f>
        <v>P</v>
      </c>
      <c r="AA9" s="12" t="str">
        <f>INDEX(Table2[[1]:[30]],MATCH('Kareem Ahmad'!$B$3,Attendance!$B$5:$B$22,0),MATCH('Kareem Ahmad'!AA8,Attendance!$C$4:$AF$4,0))</f>
        <v>P</v>
      </c>
      <c r="AB9" s="12" t="str">
        <f>INDEX(Table2[[1]:[30]],MATCH('Kareem Ahmad'!$B$3,Attendance!$B$5:$B$22,0),MATCH('Kareem Ahmad'!AB8,Attendance!$C$4:$AF$4,0))</f>
        <v>P</v>
      </c>
      <c r="AC9" s="12" t="str">
        <f>INDEX(Table2[[1]:[30]],MATCH('Kareem Ahmad'!$B$3,Attendance!$B$5:$B$22,0),MATCH('Kareem Ahmad'!AC8,Attendance!$C$4:$AF$4,0))</f>
        <v>P</v>
      </c>
      <c r="AD9" s="12" t="str">
        <f>INDEX(Table2[[1]:[30]],MATCH('Kareem Ahmad'!$B$3,Attendance!$B$5:$B$22,0),MATCH('Kareem Ahmad'!AD8,Attendance!$C$4:$AF$4,0))</f>
        <v>P</v>
      </c>
      <c r="AE9" s="12" t="str">
        <f>INDEX(Table2[[1]:[30]],MATCH('Kareem Ahmad'!$B$3,Attendance!$B$5:$B$22,0),MATCH('Kareem Ahmad'!AE8,Attendance!$C$4:$AF$4,0))</f>
        <v>P</v>
      </c>
      <c r="AF9" s="12" t="str">
        <f>INDEX(Table2[[1]:[30]],MATCH('Kareem Ahmad'!$B$3,Attendance!$B$5:$B$22,0),MATCH('Kareem Ahmad'!AF8,Attendance!$C$4:$AF$4,0))</f>
        <v>P</v>
      </c>
      <c r="AG9" s="16"/>
      <c r="AH9" s="15"/>
      <c r="AI9" s="15"/>
      <c r="AJ9" s="15"/>
    </row>
    <row r="10" spans="2:36" ht="30" customHeight="1" x14ac:dyDescent="0.25">
      <c r="C10" t="e" cm="1">
        <f t="array" ref="C10:K10">INDEX(Table2[#All],MATCH('Kareem Ahmad'!$B$3:$J$3,Table2[#All],0))</f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B1:R1"/>
    <mergeCell ref="B2:J2"/>
    <mergeCell ref="K2:O2"/>
    <mergeCell ref="P2:R2"/>
    <mergeCell ref="S2:V2"/>
    <mergeCell ref="AE2:AG2"/>
    <mergeCell ref="AH2:AJ2"/>
    <mergeCell ref="B3:J3"/>
    <mergeCell ref="K3:O3"/>
    <mergeCell ref="P3:R3"/>
    <mergeCell ref="S3:V3"/>
    <mergeCell ref="W3:AD3"/>
    <mergeCell ref="AE3:AG3"/>
    <mergeCell ref="AH3:AJ3"/>
    <mergeCell ref="W2:AD2"/>
    <mergeCell ref="B4:J4"/>
    <mergeCell ref="K4:V4"/>
    <mergeCell ref="W4:AD4"/>
    <mergeCell ref="AE4:AJ4"/>
    <mergeCell ref="B5:J5"/>
    <mergeCell ref="K5:V5"/>
    <mergeCell ref="W5:AD5"/>
    <mergeCell ref="AE5:AJ5"/>
    <mergeCell ref="B6:AF7"/>
    <mergeCell ref="AG6:AJ6"/>
    <mergeCell ref="B8:B9"/>
    <mergeCell ref="AG8:AG9"/>
    <mergeCell ref="AH8:AH9"/>
    <mergeCell ref="AI8:AI9"/>
    <mergeCell ref="AJ8:AJ9"/>
  </mergeCells>
  <conditionalFormatting sqref="C9:AF9">
    <cfRule type="cellIs" dxfId="31" priority="1" operator="equal">
      <formula>"U"</formula>
    </cfRule>
    <cfRule type="cellIs" dxfId="30" priority="2" operator="equal">
      <formula>"E"</formula>
    </cfRule>
    <cfRule type="cellIs" dxfId="29" priority="3" operator="equal">
      <formula>"T"</formula>
    </cfRule>
    <cfRule type="cellIs" dxfId="28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D0EB1-F87A-44A5-9D54-D53AEEE49DDA}">
  <sheetPr codeName="Sheet9">
    <tabColor indexed="41"/>
    <pageSetUpPr fitToPage="1"/>
  </sheetPr>
  <dimension ref="B1:AJ10"/>
  <sheetViews>
    <sheetView showGridLines="0" zoomScale="90" zoomScaleNormal="90" workbookViewId="0">
      <selection activeCell="P3" sqref="P3:R3"/>
    </sheetView>
  </sheetViews>
  <sheetFormatPr defaultColWidth="9" defaultRowHeight="30" customHeight="1" x14ac:dyDescent="0.25"/>
  <cols>
    <col min="1" max="1" width="2.625" style="2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style="2" customWidth="1"/>
    <col min="38" max="16384" width="9" style="2"/>
  </cols>
  <sheetData>
    <row r="1" spans="2:36" s="1" customFormat="1" ht="38.1" customHeight="1" x14ac:dyDescent="0.25">
      <c r="B1" s="35" t="s">
        <v>14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</row>
    <row r="2" spans="2:36" s="1" customFormat="1" ht="30" customHeight="1" x14ac:dyDescent="0.25">
      <c r="B2" s="29" t="s">
        <v>8</v>
      </c>
      <c r="C2" s="30"/>
      <c r="D2" s="30"/>
      <c r="E2" s="30"/>
      <c r="F2" s="30"/>
      <c r="G2" s="30"/>
      <c r="H2" s="30"/>
      <c r="I2" s="30"/>
      <c r="J2" s="31"/>
      <c r="K2" s="17" t="s">
        <v>10</v>
      </c>
      <c r="L2" s="17"/>
      <c r="M2" s="17"/>
      <c r="N2" s="17"/>
      <c r="O2" s="17"/>
      <c r="P2" s="17" t="s">
        <v>12</v>
      </c>
      <c r="Q2" s="17"/>
      <c r="R2" s="17"/>
      <c r="S2" s="17" t="s">
        <v>9</v>
      </c>
      <c r="T2" s="17"/>
      <c r="U2" s="17"/>
      <c r="V2" s="17"/>
      <c r="W2" s="17" t="s">
        <v>1</v>
      </c>
      <c r="X2" s="17"/>
      <c r="Y2" s="17"/>
      <c r="Z2" s="17"/>
      <c r="AA2" s="17"/>
      <c r="AB2" s="17"/>
      <c r="AC2" s="17"/>
      <c r="AD2" s="17"/>
      <c r="AE2" s="41" t="s">
        <v>0</v>
      </c>
      <c r="AF2" s="42"/>
      <c r="AG2" s="43"/>
      <c r="AH2" s="36" t="s">
        <v>2</v>
      </c>
      <c r="AI2" s="37"/>
      <c r="AJ2" s="38"/>
    </row>
    <row r="3" spans="2:36" s="1" customFormat="1" ht="30" customHeight="1" x14ac:dyDescent="0.25">
      <c r="B3" s="32" t="s">
        <v>22</v>
      </c>
      <c r="C3" s="33"/>
      <c r="D3" s="33"/>
      <c r="E3" s="33"/>
      <c r="F3" s="33"/>
      <c r="G3" s="33"/>
      <c r="H3" s="33"/>
      <c r="I3" s="33"/>
      <c r="J3" s="34"/>
      <c r="K3" s="18" t="str">
        <f>VLOOKUP(B3,Students[],3,0)</f>
        <v>WE77</v>
      </c>
      <c r="L3" s="18"/>
      <c r="M3" s="18"/>
      <c r="N3" s="18"/>
      <c r="O3" s="18"/>
      <c r="P3" s="18" t="str">
        <f>VLOOKUP(B3,Students[],2,0)</f>
        <v>Male</v>
      </c>
      <c r="Q3" s="18"/>
      <c r="R3" s="18"/>
      <c r="S3" s="40">
        <f>VLOOKUP(B3,Students[],4,0)</f>
        <v>38761</v>
      </c>
      <c r="T3" s="40"/>
      <c r="U3" s="40"/>
      <c r="V3" s="40"/>
      <c r="W3" s="18" t="s">
        <v>129</v>
      </c>
      <c r="X3" s="18"/>
      <c r="Y3" s="18"/>
      <c r="Z3" s="18"/>
      <c r="AA3" s="18"/>
      <c r="AB3" s="18"/>
      <c r="AC3" s="18"/>
      <c r="AD3" s="18"/>
      <c r="AE3" s="44">
        <f>VLOOKUP(B3,Students[],5,0)</f>
        <v>7</v>
      </c>
      <c r="AF3" s="45"/>
      <c r="AG3" s="45"/>
      <c r="AH3" s="39">
        <f>VLOOKUP(B3,Students[],6,0)</f>
        <v>2</v>
      </c>
      <c r="AI3" s="39"/>
      <c r="AJ3" s="39"/>
    </row>
    <row r="4" spans="2:36" s="1" customFormat="1" ht="30" customHeight="1" x14ac:dyDescent="0.25">
      <c r="B4" s="29" t="s">
        <v>70</v>
      </c>
      <c r="C4" s="30"/>
      <c r="D4" s="30"/>
      <c r="E4" s="30"/>
      <c r="F4" s="30"/>
      <c r="G4" s="30"/>
      <c r="H4" s="30"/>
      <c r="I4" s="30"/>
      <c r="J4" s="31"/>
      <c r="K4" s="17" t="s">
        <v>71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 t="s">
        <v>72</v>
      </c>
      <c r="X4" s="17"/>
      <c r="Y4" s="17"/>
      <c r="Z4" s="17"/>
      <c r="AA4" s="17"/>
      <c r="AB4" s="17"/>
      <c r="AC4" s="17"/>
      <c r="AD4" s="17"/>
      <c r="AE4" s="17" t="s">
        <v>73</v>
      </c>
      <c r="AF4" s="17"/>
      <c r="AG4" s="17"/>
      <c r="AH4" s="22"/>
      <c r="AI4" s="22"/>
      <c r="AJ4" s="22"/>
    </row>
    <row r="5" spans="2:36" s="1" customFormat="1" ht="30" customHeight="1" x14ac:dyDescent="0.25">
      <c r="B5" s="32" t="str">
        <f>VLOOKUP(B3,Students[],7,0)</f>
        <v>Ahmad</v>
      </c>
      <c r="C5" s="33"/>
      <c r="D5" s="33"/>
      <c r="E5" s="33"/>
      <c r="F5" s="33"/>
      <c r="G5" s="33"/>
      <c r="H5" s="33"/>
      <c r="I5" s="33"/>
      <c r="J5" s="34"/>
      <c r="K5" s="18" t="str">
        <f>VLOOKUP(B3,Students[],8,0)</f>
        <v>Ibtihal</v>
      </c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9">
        <f>VLOOKUP(B3,Students[],9,0)</f>
        <v>5966740721</v>
      </c>
      <c r="X5" s="19"/>
      <c r="Y5" s="19"/>
      <c r="Z5" s="19"/>
      <c r="AA5" s="19"/>
      <c r="AB5" s="19"/>
      <c r="AC5" s="19"/>
      <c r="AD5" s="19"/>
      <c r="AE5" s="19" t="str">
        <f>VLOOKUP(B3,Students[],10,0)</f>
        <v>Jammal Street</v>
      </c>
      <c r="AF5" s="19"/>
      <c r="AG5" s="19"/>
      <c r="AH5" s="19"/>
      <c r="AI5" s="19"/>
      <c r="AJ5" s="19"/>
    </row>
    <row r="6" spans="2:36" s="1" customFormat="1" ht="30" customHeight="1" x14ac:dyDescent="0.25">
      <c r="B6" s="23" t="s">
        <v>11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0" t="s">
        <v>3</v>
      </c>
      <c r="AH6" s="21"/>
      <c r="AI6" s="21"/>
      <c r="AJ6" s="21"/>
    </row>
    <row r="7" spans="2:36" s="1" customFormat="1" ht="30" customHeight="1" x14ac:dyDescent="0.25">
      <c r="B7" s="25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9" t="s">
        <v>4</v>
      </c>
      <c r="AH7" s="10" t="s">
        <v>5</v>
      </c>
      <c r="AI7" s="10" t="s">
        <v>6</v>
      </c>
      <c r="AJ7" s="10" t="s">
        <v>7</v>
      </c>
    </row>
    <row r="8" spans="2:36" s="1" customFormat="1" ht="30" customHeight="1" x14ac:dyDescent="0.25">
      <c r="B8" s="27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6">
        <f>COUNTIF($C9:$AF9,"T")</f>
        <v>0</v>
      </c>
      <c r="AH8" s="15">
        <f>COUNTIF($C9:$AF9,"U")</f>
        <v>1</v>
      </c>
      <c r="AI8" s="15">
        <f>COUNTIF($C9:$AF9,"E")</f>
        <v>1</v>
      </c>
      <c r="AJ8" s="15">
        <f>COUNTIF($C9:$AF9,"P")</f>
        <v>28</v>
      </c>
    </row>
    <row r="9" spans="2:36" s="1" customFormat="1" ht="30" customHeight="1" x14ac:dyDescent="0.25">
      <c r="B9" s="28"/>
      <c r="C9" s="12" t="str">
        <f>INDEX(Table2[[1]:[30]],MATCH('Ismael Othaman'!$B$3,Attendance!$B$5:$B$22,0),MATCH('Ismael Othaman'!C8,Attendance!$C$4:$AF$4,0))</f>
        <v>U</v>
      </c>
      <c r="D9" s="12" t="str">
        <f>INDEX(Table2[[1]:[30]],MATCH('Ismael Othaman'!$B$3,Attendance!$B$5:$B$22,0),MATCH('Ismael Othaman'!D8,Attendance!$C$4:$AF$4,0))</f>
        <v>P</v>
      </c>
      <c r="E9" s="12" t="str">
        <f>INDEX(Table2[[1]:[30]],MATCH('Ismael Othaman'!$B$3,Attendance!$B$5:$B$22,0),MATCH('Ismael Othaman'!E8,Attendance!$C$4:$AF$4,0))</f>
        <v>P</v>
      </c>
      <c r="F9" s="12" t="str">
        <f>INDEX(Table2[[1]:[30]],MATCH('Ismael Othaman'!$B$3,Attendance!$B$5:$B$22,0),MATCH('Ismael Othaman'!F8,Attendance!$C$4:$AF$4,0))</f>
        <v>P</v>
      </c>
      <c r="G9" s="12" t="str">
        <f>INDEX(Table2[[1]:[30]],MATCH('Ismael Othaman'!$B$3,Attendance!$B$5:$B$22,0),MATCH('Ismael Othaman'!G8,Attendance!$C$4:$AF$4,0))</f>
        <v>P</v>
      </c>
      <c r="H9" s="12" t="str">
        <f>INDEX(Table2[[1]:[30]],MATCH('Ismael Othaman'!$B$3,Attendance!$B$5:$B$22,0),MATCH('Ismael Othaman'!H8,Attendance!$C$4:$AF$4,0))</f>
        <v>P</v>
      </c>
      <c r="I9" s="12" t="str">
        <f>INDEX(Table2[[1]:[30]],MATCH('Ismael Othaman'!$B$3,Attendance!$B$5:$B$22,0),MATCH('Ismael Othaman'!I8,Attendance!$C$4:$AF$4,0))</f>
        <v>P</v>
      </c>
      <c r="J9" s="12" t="str">
        <f>INDEX(Table2[[1]:[30]],MATCH('Ismael Othaman'!$B$3,Attendance!$B$5:$B$22,0),MATCH('Ismael Othaman'!J8,Attendance!$C$4:$AF$4,0))</f>
        <v>P</v>
      </c>
      <c r="K9" s="12" t="str">
        <f>INDEX(Table2[[1]:[30]],MATCH('Ismael Othaman'!$B$3,Attendance!$B$5:$B$22,0),MATCH('Ismael Othaman'!K8,Attendance!$C$4:$AF$4,0))</f>
        <v>P</v>
      </c>
      <c r="L9" s="12" t="str">
        <f>INDEX(Table2[[1]:[30]],MATCH('Ismael Othaman'!$B$3,Attendance!$B$5:$B$22,0),MATCH('Ismael Othaman'!L8,Attendance!$C$4:$AF$4,0))</f>
        <v>P</v>
      </c>
      <c r="M9" s="12" t="str">
        <f>INDEX(Table2[[1]:[30]],MATCH('Ismael Othaman'!$B$3,Attendance!$B$5:$B$22,0),MATCH('Ismael Othaman'!M8,Attendance!$C$4:$AF$4,0))</f>
        <v>P</v>
      </c>
      <c r="N9" s="12" t="str">
        <f>INDEX(Table2[[1]:[30]],MATCH('Ismael Othaman'!$B$3,Attendance!$B$5:$B$22,0),MATCH('Ismael Othaman'!N8,Attendance!$C$4:$AF$4,0))</f>
        <v>P</v>
      </c>
      <c r="O9" s="12" t="str">
        <f>INDEX(Table2[[1]:[30]],MATCH('Ismael Othaman'!$B$3,Attendance!$B$5:$B$22,0),MATCH('Ismael Othaman'!O8,Attendance!$C$4:$AF$4,0))</f>
        <v>P</v>
      </c>
      <c r="P9" s="12" t="str">
        <f>INDEX(Table2[[1]:[30]],MATCH('Ismael Othaman'!$B$3,Attendance!$B$5:$B$22,0),MATCH('Ismael Othaman'!P8,Attendance!$C$4:$AF$4,0))</f>
        <v>P</v>
      </c>
      <c r="Q9" s="12" t="str">
        <f>INDEX(Table2[[1]:[30]],MATCH('Ismael Othaman'!$B$3,Attendance!$B$5:$B$22,0),MATCH('Ismael Othaman'!Q8,Attendance!$C$4:$AF$4,0))</f>
        <v>P</v>
      </c>
      <c r="R9" s="12" t="str">
        <f>INDEX(Table2[[1]:[30]],MATCH('Ismael Othaman'!$B$3,Attendance!$B$5:$B$22,0),MATCH('Ismael Othaman'!R8,Attendance!$C$4:$AF$4,0))</f>
        <v>E</v>
      </c>
      <c r="S9" s="12" t="str">
        <f>INDEX(Table2[[1]:[30]],MATCH('Ismael Othaman'!$B$3,Attendance!$B$5:$B$22,0),MATCH('Ismael Othaman'!S8,Attendance!$C$4:$AF$4,0))</f>
        <v>P</v>
      </c>
      <c r="T9" s="12" t="str">
        <f>INDEX(Table2[[1]:[30]],MATCH('Ismael Othaman'!$B$3,Attendance!$B$5:$B$22,0),MATCH('Ismael Othaman'!T8,Attendance!$C$4:$AF$4,0))</f>
        <v>P</v>
      </c>
      <c r="U9" s="12" t="str">
        <f>INDEX(Table2[[1]:[30]],MATCH('Ismael Othaman'!$B$3,Attendance!$B$5:$B$22,0),MATCH('Ismael Othaman'!U8,Attendance!$C$4:$AF$4,0))</f>
        <v>P</v>
      </c>
      <c r="V9" s="12" t="str">
        <f>INDEX(Table2[[1]:[30]],MATCH('Ismael Othaman'!$B$3,Attendance!$B$5:$B$22,0),MATCH('Ismael Othaman'!V8,Attendance!$C$4:$AF$4,0))</f>
        <v>P</v>
      </c>
      <c r="W9" s="12" t="str">
        <f>INDEX(Table2[[1]:[30]],MATCH('Ismael Othaman'!$B$3,Attendance!$B$5:$B$22,0),MATCH('Ismael Othaman'!W8,Attendance!$C$4:$AF$4,0))</f>
        <v>P</v>
      </c>
      <c r="X9" s="12" t="str">
        <f>INDEX(Table2[[1]:[30]],MATCH('Ismael Othaman'!$B$3,Attendance!$B$5:$B$22,0),MATCH('Ismael Othaman'!X8,Attendance!$C$4:$AF$4,0))</f>
        <v>P</v>
      </c>
      <c r="Y9" s="12" t="str">
        <f>INDEX(Table2[[1]:[30]],MATCH('Ismael Othaman'!$B$3,Attendance!$B$5:$B$22,0),MATCH('Ismael Othaman'!Y8,Attendance!$C$4:$AF$4,0))</f>
        <v>P</v>
      </c>
      <c r="Z9" s="12" t="str">
        <f>INDEX(Table2[[1]:[30]],MATCH('Ismael Othaman'!$B$3,Attendance!$B$5:$B$22,0),MATCH('Ismael Othaman'!Z8,Attendance!$C$4:$AF$4,0))</f>
        <v>P</v>
      </c>
      <c r="AA9" s="12" t="str">
        <f>INDEX(Table2[[1]:[30]],MATCH('Ismael Othaman'!$B$3,Attendance!$B$5:$B$22,0),MATCH('Ismael Othaman'!AA8,Attendance!$C$4:$AF$4,0))</f>
        <v>P</v>
      </c>
      <c r="AB9" s="12" t="str">
        <f>INDEX(Table2[[1]:[30]],MATCH('Ismael Othaman'!$B$3,Attendance!$B$5:$B$22,0),MATCH('Ismael Othaman'!AB8,Attendance!$C$4:$AF$4,0))</f>
        <v>P</v>
      </c>
      <c r="AC9" s="12" t="str">
        <f>INDEX(Table2[[1]:[30]],MATCH('Ismael Othaman'!$B$3,Attendance!$B$5:$B$22,0),MATCH('Ismael Othaman'!AC8,Attendance!$C$4:$AF$4,0))</f>
        <v>P</v>
      </c>
      <c r="AD9" s="12" t="str">
        <f>INDEX(Table2[[1]:[30]],MATCH('Ismael Othaman'!$B$3,Attendance!$B$5:$B$22,0),MATCH('Ismael Othaman'!AD8,Attendance!$C$4:$AF$4,0))</f>
        <v>P</v>
      </c>
      <c r="AE9" s="12" t="str">
        <f>INDEX(Table2[[1]:[30]],MATCH('Ismael Othaman'!$B$3,Attendance!$B$5:$B$22,0),MATCH('Ismael Othaman'!AE8,Attendance!$C$4:$AF$4,0))</f>
        <v>P</v>
      </c>
      <c r="AF9" s="12" t="str">
        <f>INDEX(Table2[[1]:[30]],MATCH('Ismael Othaman'!$B$3,Attendance!$B$5:$B$22,0),MATCH('Ismael Othaman'!AF8,Attendance!$C$4:$AF$4,0))</f>
        <v>P</v>
      </c>
      <c r="AG9" s="16"/>
      <c r="AH9" s="15"/>
      <c r="AI9" s="15"/>
      <c r="AJ9" s="15"/>
    </row>
    <row r="10" spans="2:36" ht="30" customHeight="1" x14ac:dyDescent="0.25">
      <c r="C10" t="e" cm="1">
        <f t="array" ref="C10:K10">INDEX(Table2[#All],MATCH('Ismael Othaman'!$B$3:$J$3,Table2[#All],0))</f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B1:R1"/>
    <mergeCell ref="B2:J2"/>
    <mergeCell ref="K2:O2"/>
    <mergeCell ref="P2:R2"/>
    <mergeCell ref="S2:V2"/>
    <mergeCell ref="AE2:AG2"/>
    <mergeCell ref="AH2:AJ2"/>
    <mergeCell ref="B3:J3"/>
    <mergeCell ref="K3:O3"/>
    <mergeCell ref="P3:R3"/>
    <mergeCell ref="S3:V3"/>
    <mergeCell ref="W3:AD3"/>
    <mergeCell ref="AE3:AG3"/>
    <mergeCell ref="AH3:AJ3"/>
    <mergeCell ref="W2:AD2"/>
    <mergeCell ref="B4:J4"/>
    <mergeCell ref="K4:V4"/>
    <mergeCell ref="W4:AD4"/>
    <mergeCell ref="AE4:AJ4"/>
    <mergeCell ref="B5:J5"/>
    <mergeCell ref="K5:V5"/>
    <mergeCell ref="W5:AD5"/>
    <mergeCell ref="AE5:AJ5"/>
    <mergeCell ref="B6:AF7"/>
    <mergeCell ref="AG6:AJ6"/>
    <mergeCell ref="B8:B9"/>
    <mergeCell ref="AG8:AG9"/>
    <mergeCell ref="AH8:AH9"/>
    <mergeCell ref="AI8:AI9"/>
    <mergeCell ref="AJ8:AJ9"/>
  </mergeCells>
  <conditionalFormatting sqref="C9:AF9">
    <cfRule type="cellIs" dxfId="27" priority="1" operator="equal">
      <formula>"U"</formula>
    </cfRule>
    <cfRule type="cellIs" dxfId="26" priority="2" operator="equal">
      <formula>"E"</formula>
    </cfRule>
    <cfRule type="cellIs" dxfId="25" priority="3" operator="equal">
      <formula>"T"</formula>
    </cfRule>
    <cfRule type="cellIs" dxfId="24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1040C-7B7C-4021-AD2A-D27D26A870AB}">
  <sheetPr codeName="Sheet8">
    <tabColor indexed="41"/>
    <pageSetUpPr fitToPage="1"/>
  </sheetPr>
  <dimension ref="B1:AJ10"/>
  <sheetViews>
    <sheetView showGridLines="0" zoomScale="90" zoomScaleNormal="90" workbookViewId="0">
      <selection activeCell="P3" sqref="P3:R3"/>
    </sheetView>
  </sheetViews>
  <sheetFormatPr defaultColWidth="9" defaultRowHeight="30" customHeight="1" x14ac:dyDescent="0.25"/>
  <cols>
    <col min="1" max="1" width="2.625" style="2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style="2" customWidth="1"/>
    <col min="38" max="16384" width="9" style="2"/>
  </cols>
  <sheetData>
    <row r="1" spans="2:36" s="1" customFormat="1" ht="38.1" customHeight="1" x14ac:dyDescent="0.25">
      <c r="B1" s="35" t="s">
        <v>14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</row>
    <row r="2" spans="2:36" s="1" customFormat="1" ht="30" customHeight="1" x14ac:dyDescent="0.25">
      <c r="B2" s="29" t="s">
        <v>8</v>
      </c>
      <c r="C2" s="30"/>
      <c r="D2" s="30"/>
      <c r="E2" s="30"/>
      <c r="F2" s="30"/>
      <c r="G2" s="30"/>
      <c r="H2" s="30"/>
      <c r="I2" s="30"/>
      <c r="J2" s="31"/>
      <c r="K2" s="17" t="s">
        <v>10</v>
      </c>
      <c r="L2" s="17"/>
      <c r="M2" s="17"/>
      <c r="N2" s="17"/>
      <c r="O2" s="17"/>
      <c r="P2" s="17" t="s">
        <v>12</v>
      </c>
      <c r="Q2" s="17"/>
      <c r="R2" s="17"/>
      <c r="S2" s="17" t="s">
        <v>9</v>
      </c>
      <c r="T2" s="17"/>
      <c r="U2" s="17"/>
      <c r="V2" s="17"/>
      <c r="W2" s="17" t="s">
        <v>1</v>
      </c>
      <c r="X2" s="17"/>
      <c r="Y2" s="17"/>
      <c r="Z2" s="17"/>
      <c r="AA2" s="17"/>
      <c r="AB2" s="17"/>
      <c r="AC2" s="17"/>
      <c r="AD2" s="17"/>
      <c r="AE2" s="41" t="s">
        <v>0</v>
      </c>
      <c r="AF2" s="42"/>
      <c r="AG2" s="43"/>
      <c r="AH2" s="36" t="s">
        <v>2</v>
      </c>
      <c r="AI2" s="37"/>
      <c r="AJ2" s="38"/>
    </row>
    <row r="3" spans="2:36" s="1" customFormat="1" ht="30" customHeight="1" x14ac:dyDescent="0.25">
      <c r="B3" s="32" t="s">
        <v>29</v>
      </c>
      <c r="C3" s="33"/>
      <c r="D3" s="33"/>
      <c r="E3" s="33"/>
      <c r="F3" s="33"/>
      <c r="G3" s="33"/>
      <c r="H3" s="33"/>
      <c r="I3" s="33"/>
      <c r="J3" s="34"/>
      <c r="K3" s="18" t="str">
        <f>VLOOKUP(B3,Students[],3,0)</f>
        <v>SS54</v>
      </c>
      <c r="L3" s="18"/>
      <c r="M3" s="18"/>
      <c r="N3" s="18"/>
      <c r="O3" s="18"/>
      <c r="P3" s="18" t="str">
        <f>VLOOKUP(B3,Students[],2,0)</f>
        <v>Female</v>
      </c>
      <c r="Q3" s="18"/>
      <c r="R3" s="18"/>
      <c r="S3" s="40">
        <f>VLOOKUP(B3,Students[],4,0)</f>
        <v>37967</v>
      </c>
      <c r="T3" s="40"/>
      <c r="U3" s="40"/>
      <c r="V3" s="40"/>
      <c r="W3" s="18" t="s">
        <v>129</v>
      </c>
      <c r="X3" s="18"/>
      <c r="Y3" s="18"/>
      <c r="Z3" s="18"/>
      <c r="AA3" s="18"/>
      <c r="AB3" s="18"/>
      <c r="AC3" s="18"/>
      <c r="AD3" s="18"/>
      <c r="AE3" s="44">
        <f>VLOOKUP(B3,Students[],5,0)</f>
        <v>10</v>
      </c>
      <c r="AF3" s="45"/>
      <c r="AG3" s="45"/>
      <c r="AH3" s="39">
        <f>VLOOKUP(B3,Students[],6,0)</f>
        <v>2</v>
      </c>
      <c r="AI3" s="39"/>
      <c r="AJ3" s="39"/>
    </row>
    <row r="4" spans="2:36" s="1" customFormat="1" ht="30" customHeight="1" x14ac:dyDescent="0.25">
      <c r="B4" s="29" t="s">
        <v>70</v>
      </c>
      <c r="C4" s="30"/>
      <c r="D4" s="30"/>
      <c r="E4" s="30"/>
      <c r="F4" s="30"/>
      <c r="G4" s="30"/>
      <c r="H4" s="30"/>
      <c r="I4" s="30"/>
      <c r="J4" s="31"/>
      <c r="K4" s="17" t="s">
        <v>71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 t="s">
        <v>72</v>
      </c>
      <c r="X4" s="17"/>
      <c r="Y4" s="17"/>
      <c r="Z4" s="17"/>
      <c r="AA4" s="17"/>
      <c r="AB4" s="17"/>
      <c r="AC4" s="17"/>
      <c r="AD4" s="17"/>
      <c r="AE4" s="17" t="s">
        <v>73</v>
      </c>
      <c r="AF4" s="17"/>
      <c r="AG4" s="17"/>
      <c r="AH4" s="22"/>
      <c r="AI4" s="22"/>
      <c r="AJ4" s="22"/>
    </row>
    <row r="5" spans="2:36" s="1" customFormat="1" ht="30" customHeight="1" x14ac:dyDescent="0.25">
      <c r="B5" s="32" t="str">
        <f>VLOOKUP(B3,Students[],7,0)</f>
        <v>Jamal</v>
      </c>
      <c r="C5" s="33"/>
      <c r="D5" s="33"/>
      <c r="E5" s="33"/>
      <c r="F5" s="33"/>
      <c r="G5" s="33"/>
      <c r="H5" s="33"/>
      <c r="I5" s="33"/>
      <c r="J5" s="34"/>
      <c r="K5" s="18" t="str">
        <f>VLOOKUP(B3,Students[],8,0)</f>
        <v>Khadeeja</v>
      </c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9">
        <f>VLOOKUP(B3,Students[],9,0)</f>
        <v>5969303309</v>
      </c>
      <c r="X5" s="19"/>
      <c r="Y5" s="19"/>
      <c r="Z5" s="19"/>
      <c r="AA5" s="19"/>
      <c r="AB5" s="19"/>
      <c r="AC5" s="19"/>
      <c r="AD5" s="19"/>
      <c r="AE5" s="19" t="str">
        <f>VLOOKUP(B3,Students[],10,0)</f>
        <v>Kabbani Street</v>
      </c>
      <c r="AF5" s="19"/>
      <c r="AG5" s="19"/>
      <c r="AH5" s="19"/>
      <c r="AI5" s="19"/>
      <c r="AJ5" s="19"/>
    </row>
    <row r="6" spans="2:36" s="1" customFormat="1" ht="30" customHeight="1" x14ac:dyDescent="0.25">
      <c r="B6" s="23" t="s">
        <v>11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0" t="s">
        <v>3</v>
      </c>
      <c r="AH6" s="21"/>
      <c r="AI6" s="21"/>
      <c r="AJ6" s="21"/>
    </row>
    <row r="7" spans="2:36" s="1" customFormat="1" ht="30" customHeight="1" x14ac:dyDescent="0.25">
      <c r="B7" s="25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9" t="s">
        <v>4</v>
      </c>
      <c r="AH7" s="10" t="s">
        <v>5</v>
      </c>
      <c r="AI7" s="10" t="s">
        <v>6</v>
      </c>
      <c r="AJ7" s="10" t="s">
        <v>7</v>
      </c>
    </row>
    <row r="8" spans="2:36" s="1" customFormat="1" ht="30" customHeight="1" x14ac:dyDescent="0.25">
      <c r="B8" s="27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6">
        <f>COUNTIF($C9:$AF9,"T")</f>
        <v>0</v>
      </c>
      <c r="AH8" s="15">
        <f>COUNTIF($C9:$AF9,"U")</f>
        <v>1</v>
      </c>
      <c r="AI8" s="15">
        <f>COUNTIF($C9:$AF9,"E")</f>
        <v>0</v>
      </c>
      <c r="AJ8" s="15">
        <f>COUNTIF($C9:$AF9,"P")</f>
        <v>29</v>
      </c>
    </row>
    <row r="9" spans="2:36" s="1" customFormat="1" ht="30" customHeight="1" x14ac:dyDescent="0.25">
      <c r="B9" s="28"/>
      <c r="C9" s="12" t="str">
        <f>INDEX(Table2[[1]:[30]],MATCH('Hala Ahmadi'!$B$3,Attendance!$B$5:$B$22,0),MATCH('Hala Ahmadi'!C8,Attendance!$C$4:$AF$4,0))</f>
        <v>U</v>
      </c>
      <c r="D9" s="12" t="str">
        <f>INDEX(Table2[[1]:[30]],MATCH('Hala Ahmadi'!$B$3,Attendance!$B$5:$B$22,0),MATCH('Hala Ahmadi'!D8,Attendance!$C$4:$AF$4,0))</f>
        <v>P</v>
      </c>
      <c r="E9" s="12" t="str">
        <f>INDEX(Table2[[1]:[30]],MATCH('Hala Ahmadi'!$B$3,Attendance!$B$5:$B$22,0),MATCH('Hala Ahmadi'!E8,Attendance!$C$4:$AF$4,0))</f>
        <v>P</v>
      </c>
      <c r="F9" s="12" t="str">
        <f>INDEX(Table2[[1]:[30]],MATCH('Hala Ahmadi'!$B$3,Attendance!$B$5:$B$22,0),MATCH('Hala Ahmadi'!F8,Attendance!$C$4:$AF$4,0))</f>
        <v>P</v>
      </c>
      <c r="G9" s="12" t="str">
        <f>INDEX(Table2[[1]:[30]],MATCH('Hala Ahmadi'!$B$3,Attendance!$B$5:$B$22,0),MATCH('Hala Ahmadi'!G8,Attendance!$C$4:$AF$4,0))</f>
        <v>P</v>
      </c>
      <c r="H9" s="12" t="str">
        <f>INDEX(Table2[[1]:[30]],MATCH('Hala Ahmadi'!$B$3,Attendance!$B$5:$B$22,0),MATCH('Hala Ahmadi'!H8,Attendance!$C$4:$AF$4,0))</f>
        <v>P</v>
      </c>
      <c r="I9" s="12" t="str">
        <f>INDEX(Table2[[1]:[30]],MATCH('Hala Ahmadi'!$B$3,Attendance!$B$5:$B$22,0),MATCH('Hala Ahmadi'!I8,Attendance!$C$4:$AF$4,0))</f>
        <v>P</v>
      </c>
      <c r="J9" s="12" t="str">
        <f>INDEX(Table2[[1]:[30]],MATCH('Hala Ahmadi'!$B$3,Attendance!$B$5:$B$22,0),MATCH('Hala Ahmadi'!J8,Attendance!$C$4:$AF$4,0))</f>
        <v>P</v>
      </c>
      <c r="K9" s="12" t="str">
        <f>INDEX(Table2[[1]:[30]],MATCH('Hala Ahmadi'!$B$3,Attendance!$B$5:$B$22,0),MATCH('Hala Ahmadi'!K8,Attendance!$C$4:$AF$4,0))</f>
        <v>P</v>
      </c>
      <c r="L9" s="12" t="str">
        <f>INDEX(Table2[[1]:[30]],MATCH('Hala Ahmadi'!$B$3,Attendance!$B$5:$B$22,0),MATCH('Hala Ahmadi'!L8,Attendance!$C$4:$AF$4,0))</f>
        <v>P</v>
      </c>
      <c r="M9" s="12" t="str">
        <f>INDEX(Table2[[1]:[30]],MATCH('Hala Ahmadi'!$B$3,Attendance!$B$5:$B$22,0),MATCH('Hala Ahmadi'!M8,Attendance!$C$4:$AF$4,0))</f>
        <v>P</v>
      </c>
      <c r="N9" s="12" t="str">
        <f>INDEX(Table2[[1]:[30]],MATCH('Hala Ahmadi'!$B$3,Attendance!$B$5:$B$22,0),MATCH('Hala Ahmadi'!N8,Attendance!$C$4:$AF$4,0))</f>
        <v>P</v>
      </c>
      <c r="O9" s="12" t="str">
        <f>INDEX(Table2[[1]:[30]],MATCH('Hala Ahmadi'!$B$3,Attendance!$B$5:$B$22,0),MATCH('Hala Ahmadi'!O8,Attendance!$C$4:$AF$4,0))</f>
        <v>P</v>
      </c>
      <c r="P9" s="12" t="str">
        <f>INDEX(Table2[[1]:[30]],MATCH('Hala Ahmadi'!$B$3,Attendance!$B$5:$B$22,0),MATCH('Hala Ahmadi'!P8,Attendance!$C$4:$AF$4,0))</f>
        <v>P</v>
      </c>
      <c r="Q9" s="12" t="str">
        <f>INDEX(Table2[[1]:[30]],MATCH('Hala Ahmadi'!$B$3,Attendance!$B$5:$B$22,0),MATCH('Hala Ahmadi'!Q8,Attendance!$C$4:$AF$4,0))</f>
        <v>P</v>
      </c>
      <c r="R9" s="12" t="str">
        <f>INDEX(Table2[[1]:[30]],MATCH('Hala Ahmadi'!$B$3,Attendance!$B$5:$B$22,0),MATCH('Hala Ahmadi'!R8,Attendance!$C$4:$AF$4,0))</f>
        <v>P</v>
      </c>
      <c r="S9" s="12" t="str">
        <f>INDEX(Table2[[1]:[30]],MATCH('Hala Ahmadi'!$B$3,Attendance!$B$5:$B$22,0),MATCH('Hala Ahmadi'!S8,Attendance!$C$4:$AF$4,0))</f>
        <v>P</v>
      </c>
      <c r="T9" s="12" t="str">
        <f>INDEX(Table2[[1]:[30]],MATCH('Hala Ahmadi'!$B$3,Attendance!$B$5:$B$22,0),MATCH('Hala Ahmadi'!T8,Attendance!$C$4:$AF$4,0))</f>
        <v>P</v>
      </c>
      <c r="U9" s="12" t="str">
        <f>INDEX(Table2[[1]:[30]],MATCH('Hala Ahmadi'!$B$3,Attendance!$B$5:$B$22,0),MATCH('Hala Ahmadi'!U8,Attendance!$C$4:$AF$4,0))</f>
        <v>P</v>
      </c>
      <c r="V9" s="12" t="str">
        <f>INDEX(Table2[[1]:[30]],MATCH('Hala Ahmadi'!$B$3,Attendance!$B$5:$B$22,0),MATCH('Hala Ahmadi'!V8,Attendance!$C$4:$AF$4,0))</f>
        <v>P</v>
      </c>
      <c r="W9" s="12" t="str">
        <f>INDEX(Table2[[1]:[30]],MATCH('Hala Ahmadi'!$B$3,Attendance!$B$5:$B$22,0),MATCH('Hala Ahmadi'!W8,Attendance!$C$4:$AF$4,0))</f>
        <v>P</v>
      </c>
      <c r="X9" s="12" t="str">
        <f>INDEX(Table2[[1]:[30]],MATCH('Hala Ahmadi'!$B$3,Attendance!$B$5:$B$22,0),MATCH('Hala Ahmadi'!X8,Attendance!$C$4:$AF$4,0))</f>
        <v>P</v>
      </c>
      <c r="Y9" s="12" t="str">
        <f>INDEX(Table2[[1]:[30]],MATCH('Hala Ahmadi'!$B$3,Attendance!$B$5:$B$22,0),MATCH('Hala Ahmadi'!Y8,Attendance!$C$4:$AF$4,0))</f>
        <v>P</v>
      </c>
      <c r="Z9" s="12" t="str">
        <f>INDEX(Table2[[1]:[30]],MATCH('Hala Ahmadi'!$B$3,Attendance!$B$5:$B$22,0),MATCH('Hala Ahmadi'!Z8,Attendance!$C$4:$AF$4,0))</f>
        <v>P</v>
      </c>
      <c r="AA9" s="12" t="str">
        <f>INDEX(Table2[[1]:[30]],MATCH('Hala Ahmadi'!$B$3,Attendance!$B$5:$B$22,0),MATCH('Hala Ahmadi'!AA8,Attendance!$C$4:$AF$4,0))</f>
        <v>P</v>
      </c>
      <c r="AB9" s="12" t="str">
        <f>INDEX(Table2[[1]:[30]],MATCH('Hala Ahmadi'!$B$3,Attendance!$B$5:$B$22,0),MATCH('Hala Ahmadi'!AB8,Attendance!$C$4:$AF$4,0))</f>
        <v>P</v>
      </c>
      <c r="AC9" s="12" t="str">
        <f>INDEX(Table2[[1]:[30]],MATCH('Hala Ahmadi'!$B$3,Attendance!$B$5:$B$22,0),MATCH('Hala Ahmadi'!AC8,Attendance!$C$4:$AF$4,0))</f>
        <v>P</v>
      </c>
      <c r="AD9" s="12" t="str">
        <f>INDEX(Table2[[1]:[30]],MATCH('Hala Ahmadi'!$B$3,Attendance!$B$5:$B$22,0),MATCH('Hala Ahmadi'!AD8,Attendance!$C$4:$AF$4,0))</f>
        <v>P</v>
      </c>
      <c r="AE9" s="12" t="str">
        <f>INDEX(Table2[[1]:[30]],MATCH('Hala Ahmadi'!$B$3,Attendance!$B$5:$B$22,0),MATCH('Hala Ahmadi'!AE8,Attendance!$C$4:$AF$4,0))</f>
        <v>P</v>
      </c>
      <c r="AF9" s="12" t="str">
        <f>INDEX(Table2[[1]:[30]],MATCH('Hala Ahmadi'!$B$3,Attendance!$B$5:$B$22,0),MATCH('Hala Ahmadi'!AF8,Attendance!$C$4:$AF$4,0))</f>
        <v>P</v>
      </c>
      <c r="AG9" s="16"/>
      <c r="AH9" s="15"/>
      <c r="AI9" s="15"/>
      <c r="AJ9" s="15"/>
    </row>
    <row r="10" spans="2:36" ht="30" customHeight="1" x14ac:dyDescent="0.25">
      <c r="C10" t="e" cm="1">
        <f t="array" ref="C10:K10">INDEX(Table2[#All],MATCH('Hala Ahmadi'!$B$3:$J$3,Table2[#All],0))</f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B1:R1"/>
    <mergeCell ref="B2:J2"/>
    <mergeCell ref="K2:O2"/>
    <mergeCell ref="P2:R2"/>
    <mergeCell ref="S2:V2"/>
    <mergeCell ref="AE2:AG2"/>
    <mergeCell ref="AH2:AJ2"/>
    <mergeCell ref="B3:J3"/>
    <mergeCell ref="K3:O3"/>
    <mergeCell ref="P3:R3"/>
    <mergeCell ref="S3:V3"/>
    <mergeCell ref="W3:AD3"/>
    <mergeCell ref="AE3:AG3"/>
    <mergeCell ref="AH3:AJ3"/>
    <mergeCell ref="W2:AD2"/>
    <mergeCell ref="B4:J4"/>
    <mergeCell ref="K4:V4"/>
    <mergeCell ref="W4:AD4"/>
    <mergeCell ref="AE4:AJ4"/>
    <mergeCell ref="B5:J5"/>
    <mergeCell ref="K5:V5"/>
    <mergeCell ref="W5:AD5"/>
    <mergeCell ref="AE5:AJ5"/>
    <mergeCell ref="B6:AF7"/>
    <mergeCell ref="AG6:AJ6"/>
    <mergeCell ref="B8:B9"/>
    <mergeCell ref="AG8:AG9"/>
    <mergeCell ref="AH8:AH9"/>
    <mergeCell ref="AI8:AI9"/>
    <mergeCell ref="AJ8:AJ9"/>
  </mergeCells>
  <conditionalFormatting sqref="C9:AF9">
    <cfRule type="cellIs" dxfId="23" priority="1" operator="equal">
      <formula>"U"</formula>
    </cfRule>
    <cfRule type="cellIs" dxfId="22" priority="2" operator="equal">
      <formula>"E"</formula>
    </cfRule>
    <cfRule type="cellIs" dxfId="21" priority="3" operator="equal">
      <formula>"T"</formula>
    </cfRule>
    <cfRule type="cellIs" dxfId="20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6E69C-02DA-43CA-B155-ED11EC8790EE}">
  <sheetPr codeName="Sheet7">
    <tabColor indexed="41"/>
    <pageSetUpPr fitToPage="1"/>
  </sheetPr>
  <dimension ref="B1:AJ10"/>
  <sheetViews>
    <sheetView showGridLines="0" zoomScale="90" zoomScaleNormal="90" workbookViewId="0">
      <selection activeCell="P3" sqref="P3:R3"/>
    </sheetView>
  </sheetViews>
  <sheetFormatPr defaultColWidth="9" defaultRowHeight="30" customHeight="1" x14ac:dyDescent="0.25"/>
  <cols>
    <col min="1" max="1" width="2.625" style="2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style="2" customWidth="1"/>
    <col min="38" max="16384" width="9" style="2"/>
  </cols>
  <sheetData>
    <row r="1" spans="2:36" s="1" customFormat="1" ht="38.1" customHeight="1" x14ac:dyDescent="0.25">
      <c r="B1" s="35" t="s">
        <v>14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</row>
    <row r="2" spans="2:36" s="1" customFormat="1" ht="30" customHeight="1" x14ac:dyDescent="0.25">
      <c r="B2" s="29" t="s">
        <v>8</v>
      </c>
      <c r="C2" s="30"/>
      <c r="D2" s="30"/>
      <c r="E2" s="30"/>
      <c r="F2" s="30"/>
      <c r="G2" s="30"/>
      <c r="H2" s="30"/>
      <c r="I2" s="30"/>
      <c r="J2" s="31"/>
      <c r="K2" s="17" t="s">
        <v>10</v>
      </c>
      <c r="L2" s="17"/>
      <c r="M2" s="17"/>
      <c r="N2" s="17"/>
      <c r="O2" s="17"/>
      <c r="P2" s="17" t="s">
        <v>12</v>
      </c>
      <c r="Q2" s="17"/>
      <c r="R2" s="17"/>
      <c r="S2" s="17" t="s">
        <v>9</v>
      </c>
      <c r="T2" s="17"/>
      <c r="U2" s="17"/>
      <c r="V2" s="17"/>
      <c r="W2" s="17" t="s">
        <v>1</v>
      </c>
      <c r="X2" s="17"/>
      <c r="Y2" s="17"/>
      <c r="Z2" s="17"/>
      <c r="AA2" s="17"/>
      <c r="AB2" s="17"/>
      <c r="AC2" s="17"/>
      <c r="AD2" s="17"/>
      <c r="AE2" s="41" t="s">
        <v>0</v>
      </c>
      <c r="AF2" s="42"/>
      <c r="AG2" s="43"/>
      <c r="AH2" s="36" t="s">
        <v>2</v>
      </c>
      <c r="AI2" s="37"/>
      <c r="AJ2" s="38"/>
    </row>
    <row r="3" spans="2:36" s="1" customFormat="1" ht="30" customHeight="1" x14ac:dyDescent="0.25">
      <c r="B3" s="32" t="s">
        <v>26</v>
      </c>
      <c r="C3" s="33"/>
      <c r="D3" s="33"/>
      <c r="E3" s="33"/>
      <c r="F3" s="33"/>
      <c r="G3" s="33"/>
      <c r="H3" s="33"/>
      <c r="I3" s="33"/>
      <c r="J3" s="34"/>
      <c r="K3" s="18" t="str">
        <f>VLOOKUP(B3,Students[],3,0)</f>
        <v>FG68</v>
      </c>
      <c r="L3" s="18"/>
      <c r="M3" s="18"/>
      <c r="N3" s="18"/>
      <c r="O3" s="18"/>
      <c r="P3" s="18" t="str">
        <f>VLOOKUP(B3,Students[],2,0)</f>
        <v>Male</v>
      </c>
      <c r="Q3" s="18"/>
      <c r="R3" s="18"/>
      <c r="S3" s="40">
        <f>VLOOKUP(B3,Students[],4,0)</f>
        <v>37878</v>
      </c>
      <c r="T3" s="40"/>
      <c r="U3" s="40"/>
      <c r="V3" s="40"/>
      <c r="W3" s="18" t="s">
        <v>129</v>
      </c>
      <c r="X3" s="18"/>
      <c r="Y3" s="18"/>
      <c r="Z3" s="18"/>
      <c r="AA3" s="18"/>
      <c r="AB3" s="18"/>
      <c r="AC3" s="18"/>
      <c r="AD3" s="18"/>
      <c r="AE3" s="44">
        <f>VLOOKUP(B3,Students[],5,0)</f>
        <v>10</v>
      </c>
      <c r="AF3" s="45"/>
      <c r="AG3" s="45"/>
      <c r="AH3" s="39">
        <f>VLOOKUP(B3,Students[],6,0)</f>
        <v>1</v>
      </c>
      <c r="AI3" s="39"/>
      <c r="AJ3" s="39"/>
    </row>
    <row r="4" spans="2:36" s="1" customFormat="1" ht="30" customHeight="1" x14ac:dyDescent="0.25">
      <c r="B4" s="29" t="s">
        <v>70</v>
      </c>
      <c r="C4" s="30"/>
      <c r="D4" s="30"/>
      <c r="E4" s="30"/>
      <c r="F4" s="30"/>
      <c r="G4" s="30"/>
      <c r="H4" s="30"/>
      <c r="I4" s="30"/>
      <c r="J4" s="31"/>
      <c r="K4" s="17" t="s">
        <v>71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 t="s">
        <v>72</v>
      </c>
      <c r="X4" s="17"/>
      <c r="Y4" s="17"/>
      <c r="Z4" s="17"/>
      <c r="AA4" s="17"/>
      <c r="AB4" s="17"/>
      <c r="AC4" s="17"/>
      <c r="AD4" s="17"/>
      <c r="AE4" s="17" t="s">
        <v>73</v>
      </c>
      <c r="AF4" s="17"/>
      <c r="AG4" s="17"/>
      <c r="AH4" s="22"/>
      <c r="AI4" s="22"/>
      <c r="AJ4" s="22"/>
    </row>
    <row r="5" spans="2:36" s="1" customFormat="1" ht="30" customHeight="1" x14ac:dyDescent="0.25">
      <c r="B5" s="32" t="str">
        <f>VLOOKUP(B3,Students[],7,0)</f>
        <v>Sameer</v>
      </c>
      <c r="C5" s="33"/>
      <c r="D5" s="33"/>
      <c r="E5" s="33"/>
      <c r="F5" s="33"/>
      <c r="G5" s="33"/>
      <c r="H5" s="33"/>
      <c r="I5" s="33"/>
      <c r="J5" s="34"/>
      <c r="K5" s="18" t="str">
        <f>VLOOKUP(B3,Students[],8,0)</f>
        <v>Saly</v>
      </c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9">
        <f>VLOOKUP(B3,Students[],9,0)</f>
        <v>5928091361</v>
      </c>
      <c r="X5" s="19"/>
      <c r="Y5" s="19"/>
      <c r="Z5" s="19"/>
      <c r="AA5" s="19"/>
      <c r="AB5" s="19"/>
      <c r="AC5" s="19"/>
      <c r="AD5" s="19"/>
      <c r="AE5" s="19" t="str">
        <f>VLOOKUP(B3,Students[],10,0)</f>
        <v>Hods Street</v>
      </c>
      <c r="AF5" s="19"/>
      <c r="AG5" s="19"/>
      <c r="AH5" s="19"/>
      <c r="AI5" s="19"/>
      <c r="AJ5" s="19"/>
    </row>
    <row r="6" spans="2:36" s="1" customFormat="1" ht="30" customHeight="1" x14ac:dyDescent="0.25">
      <c r="B6" s="23" t="s">
        <v>11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0" t="s">
        <v>3</v>
      </c>
      <c r="AH6" s="21"/>
      <c r="AI6" s="21"/>
      <c r="AJ6" s="21"/>
    </row>
    <row r="7" spans="2:36" s="1" customFormat="1" ht="30" customHeight="1" x14ac:dyDescent="0.25">
      <c r="B7" s="25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9" t="s">
        <v>4</v>
      </c>
      <c r="AH7" s="10" t="s">
        <v>5</v>
      </c>
      <c r="AI7" s="10" t="s">
        <v>6</v>
      </c>
      <c r="AJ7" s="10" t="s">
        <v>7</v>
      </c>
    </row>
    <row r="8" spans="2:36" s="1" customFormat="1" ht="30" customHeight="1" x14ac:dyDescent="0.25">
      <c r="B8" s="27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6">
        <f>COUNTIF($C9:$AF9,"T")</f>
        <v>0</v>
      </c>
      <c r="AH8" s="15">
        <f>COUNTIF($C9:$AF9,"U")</f>
        <v>3</v>
      </c>
      <c r="AI8" s="15">
        <f>COUNTIF($C9:$AF9,"E")</f>
        <v>1</v>
      </c>
      <c r="AJ8" s="15">
        <f>COUNTIF($C9:$AF9,"P")</f>
        <v>26</v>
      </c>
    </row>
    <row r="9" spans="2:36" s="1" customFormat="1" ht="30" customHeight="1" x14ac:dyDescent="0.25">
      <c r="B9" s="28"/>
      <c r="C9" s="12" t="str">
        <f>INDEX(Table2[[1]:[30]],MATCH('Haitham Khald'!$B$3,Attendance!$B$5:$B$22,0),MATCH('Haitham Khald'!C8,Attendance!$C$4:$AF$4,0))</f>
        <v>P</v>
      </c>
      <c r="D9" s="12" t="str">
        <f>INDEX(Table2[[1]:[30]],MATCH('Haitham Khald'!$B$3,Attendance!$B$5:$B$22,0),MATCH('Haitham Khald'!D8,Attendance!$C$4:$AF$4,0))</f>
        <v>P</v>
      </c>
      <c r="E9" s="12" t="str">
        <f>INDEX(Table2[[1]:[30]],MATCH('Haitham Khald'!$B$3,Attendance!$B$5:$B$22,0),MATCH('Haitham Khald'!E8,Attendance!$C$4:$AF$4,0))</f>
        <v>P</v>
      </c>
      <c r="F9" s="12" t="str">
        <f>INDEX(Table2[[1]:[30]],MATCH('Haitham Khald'!$B$3,Attendance!$B$5:$B$22,0),MATCH('Haitham Khald'!F8,Attendance!$C$4:$AF$4,0))</f>
        <v>P</v>
      </c>
      <c r="G9" s="12" t="str">
        <f>INDEX(Table2[[1]:[30]],MATCH('Haitham Khald'!$B$3,Attendance!$B$5:$B$22,0),MATCH('Haitham Khald'!G8,Attendance!$C$4:$AF$4,0))</f>
        <v>U</v>
      </c>
      <c r="H9" s="12" t="str">
        <f>INDEX(Table2[[1]:[30]],MATCH('Haitham Khald'!$B$3,Attendance!$B$5:$B$22,0),MATCH('Haitham Khald'!H8,Attendance!$C$4:$AF$4,0))</f>
        <v>P</v>
      </c>
      <c r="I9" s="12" t="str">
        <f>INDEX(Table2[[1]:[30]],MATCH('Haitham Khald'!$B$3,Attendance!$B$5:$B$22,0),MATCH('Haitham Khald'!I8,Attendance!$C$4:$AF$4,0))</f>
        <v>P</v>
      </c>
      <c r="J9" s="12" t="str">
        <f>INDEX(Table2[[1]:[30]],MATCH('Haitham Khald'!$B$3,Attendance!$B$5:$B$22,0),MATCH('Haitham Khald'!J8,Attendance!$C$4:$AF$4,0))</f>
        <v>E</v>
      </c>
      <c r="K9" s="12" t="str">
        <f>INDEX(Table2[[1]:[30]],MATCH('Haitham Khald'!$B$3,Attendance!$B$5:$B$22,0),MATCH('Haitham Khald'!K8,Attendance!$C$4:$AF$4,0))</f>
        <v>P</v>
      </c>
      <c r="L9" s="12" t="str">
        <f>INDEX(Table2[[1]:[30]],MATCH('Haitham Khald'!$B$3,Attendance!$B$5:$B$22,0),MATCH('Haitham Khald'!L8,Attendance!$C$4:$AF$4,0))</f>
        <v>P</v>
      </c>
      <c r="M9" s="12" t="str">
        <f>INDEX(Table2[[1]:[30]],MATCH('Haitham Khald'!$B$3,Attendance!$B$5:$B$22,0),MATCH('Haitham Khald'!M8,Attendance!$C$4:$AF$4,0))</f>
        <v>P</v>
      </c>
      <c r="N9" s="12" t="str">
        <f>INDEX(Table2[[1]:[30]],MATCH('Haitham Khald'!$B$3,Attendance!$B$5:$B$22,0),MATCH('Haitham Khald'!N8,Attendance!$C$4:$AF$4,0))</f>
        <v>P</v>
      </c>
      <c r="O9" s="12" t="str">
        <f>INDEX(Table2[[1]:[30]],MATCH('Haitham Khald'!$B$3,Attendance!$B$5:$B$22,0),MATCH('Haitham Khald'!O8,Attendance!$C$4:$AF$4,0))</f>
        <v>P</v>
      </c>
      <c r="P9" s="12" t="str">
        <f>INDEX(Table2[[1]:[30]],MATCH('Haitham Khald'!$B$3,Attendance!$B$5:$B$22,0),MATCH('Haitham Khald'!P8,Attendance!$C$4:$AF$4,0))</f>
        <v>P</v>
      </c>
      <c r="Q9" s="12" t="str">
        <f>INDEX(Table2[[1]:[30]],MATCH('Haitham Khald'!$B$3,Attendance!$B$5:$B$22,0),MATCH('Haitham Khald'!Q8,Attendance!$C$4:$AF$4,0))</f>
        <v>P</v>
      </c>
      <c r="R9" s="12" t="str">
        <f>INDEX(Table2[[1]:[30]],MATCH('Haitham Khald'!$B$3,Attendance!$B$5:$B$22,0),MATCH('Haitham Khald'!R8,Attendance!$C$4:$AF$4,0))</f>
        <v>P</v>
      </c>
      <c r="S9" s="12" t="str">
        <f>INDEX(Table2[[1]:[30]],MATCH('Haitham Khald'!$B$3,Attendance!$B$5:$B$22,0),MATCH('Haitham Khald'!S8,Attendance!$C$4:$AF$4,0))</f>
        <v>P</v>
      </c>
      <c r="T9" s="12" t="str">
        <f>INDEX(Table2[[1]:[30]],MATCH('Haitham Khald'!$B$3,Attendance!$B$5:$B$22,0),MATCH('Haitham Khald'!T8,Attendance!$C$4:$AF$4,0))</f>
        <v>P</v>
      </c>
      <c r="U9" s="12" t="str">
        <f>INDEX(Table2[[1]:[30]],MATCH('Haitham Khald'!$B$3,Attendance!$B$5:$B$22,0),MATCH('Haitham Khald'!U8,Attendance!$C$4:$AF$4,0))</f>
        <v>U</v>
      </c>
      <c r="V9" s="12" t="str">
        <f>INDEX(Table2[[1]:[30]],MATCH('Haitham Khald'!$B$3,Attendance!$B$5:$B$22,0),MATCH('Haitham Khald'!V8,Attendance!$C$4:$AF$4,0))</f>
        <v>P</v>
      </c>
      <c r="W9" s="12" t="str">
        <f>INDEX(Table2[[1]:[30]],MATCH('Haitham Khald'!$B$3,Attendance!$B$5:$B$22,0),MATCH('Haitham Khald'!W8,Attendance!$C$4:$AF$4,0))</f>
        <v>U</v>
      </c>
      <c r="X9" s="12" t="str">
        <f>INDEX(Table2[[1]:[30]],MATCH('Haitham Khald'!$B$3,Attendance!$B$5:$B$22,0),MATCH('Haitham Khald'!X8,Attendance!$C$4:$AF$4,0))</f>
        <v>P</v>
      </c>
      <c r="Y9" s="12" t="str">
        <f>INDEX(Table2[[1]:[30]],MATCH('Haitham Khald'!$B$3,Attendance!$B$5:$B$22,0),MATCH('Haitham Khald'!Y8,Attendance!$C$4:$AF$4,0))</f>
        <v>P</v>
      </c>
      <c r="Z9" s="12" t="str">
        <f>INDEX(Table2[[1]:[30]],MATCH('Haitham Khald'!$B$3,Attendance!$B$5:$B$22,0),MATCH('Haitham Khald'!Z8,Attendance!$C$4:$AF$4,0))</f>
        <v>P</v>
      </c>
      <c r="AA9" s="12" t="str">
        <f>INDEX(Table2[[1]:[30]],MATCH('Haitham Khald'!$B$3,Attendance!$B$5:$B$22,0),MATCH('Haitham Khald'!AA8,Attendance!$C$4:$AF$4,0))</f>
        <v>P</v>
      </c>
      <c r="AB9" s="12" t="str">
        <f>INDEX(Table2[[1]:[30]],MATCH('Haitham Khald'!$B$3,Attendance!$B$5:$B$22,0),MATCH('Haitham Khald'!AB8,Attendance!$C$4:$AF$4,0))</f>
        <v>P</v>
      </c>
      <c r="AC9" s="12" t="str">
        <f>INDEX(Table2[[1]:[30]],MATCH('Haitham Khald'!$B$3,Attendance!$B$5:$B$22,0),MATCH('Haitham Khald'!AC8,Attendance!$C$4:$AF$4,0))</f>
        <v>P</v>
      </c>
      <c r="AD9" s="12" t="str">
        <f>INDEX(Table2[[1]:[30]],MATCH('Haitham Khald'!$B$3,Attendance!$B$5:$B$22,0),MATCH('Haitham Khald'!AD8,Attendance!$C$4:$AF$4,0))</f>
        <v>P</v>
      </c>
      <c r="AE9" s="12" t="str">
        <f>INDEX(Table2[[1]:[30]],MATCH('Haitham Khald'!$B$3,Attendance!$B$5:$B$22,0),MATCH('Haitham Khald'!AE8,Attendance!$C$4:$AF$4,0))</f>
        <v>P</v>
      </c>
      <c r="AF9" s="12" t="str">
        <f>INDEX(Table2[[1]:[30]],MATCH('Haitham Khald'!$B$3,Attendance!$B$5:$B$22,0),MATCH('Haitham Khald'!AF8,Attendance!$C$4:$AF$4,0))</f>
        <v>P</v>
      </c>
      <c r="AG9" s="16"/>
      <c r="AH9" s="15"/>
      <c r="AI9" s="15"/>
      <c r="AJ9" s="15"/>
    </row>
    <row r="10" spans="2:36" ht="30" customHeight="1" x14ac:dyDescent="0.25">
      <c r="C10" t="e" cm="1">
        <f t="array" ref="C10:K10">INDEX(Table2[#All],MATCH('Haitham Khald'!$B$3:$J$3,Table2[#All],0))</f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B1:R1"/>
    <mergeCell ref="B2:J2"/>
    <mergeCell ref="K2:O2"/>
    <mergeCell ref="P2:R2"/>
    <mergeCell ref="S2:V2"/>
    <mergeCell ref="AE2:AG2"/>
    <mergeCell ref="AH2:AJ2"/>
    <mergeCell ref="B3:J3"/>
    <mergeCell ref="K3:O3"/>
    <mergeCell ref="P3:R3"/>
    <mergeCell ref="S3:V3"/>
    <mergeCell ref="W3:AD3"/>
    <mergeCell ref="AE3:AG3"/>
    <mergeCell ref="AH3:AJ3"/>
    <mergeCell ref="W2:AD2"/>
    <mergeCell ref="B4:J4"/>
    <mergeCell ref="K4:V4"/>
    <mergeCell ref="W4:AD4"/>
    <mergeCell ref="AE4:AJ4"/>
    <mergeCell ref="B5:J5"/>
    <mergeCell ref="K5:V5"/>
    <mergeCell ref="W5:AD5"/>
    <mergeCell ref="AE5:AJ5"/>
    <mergeCell ref="B6:AF7"/>
    <mergeCell ref="AG6:AJ6"/>
    <mergeCell ref="B8:B9"/>
    <mergeCell ref="AG8:AG9"/>
    <mergeCell ref="AH8:AH9"/>
    <mergeCell ref="AI8:AI9"/>
    <mergeCell ref="AJ8:AJ9"/>
  </mergeCells>
  <conditionalFormatting sqref="C9:AF9">
    <cfRule type="cellIs" dxfId="19" priority="1" operator="equal">
      <formula>"U"</formula>
    </cfRule>
    <cfRule type="cellIs" dxfId="18" priority="2" operator="equal">
      <formula>"E"</formula>
    </cfRule>
    <cfRule type="cellIs" dxfId="17" priority="3" operator="equal">
      <formula>"T"</formula>
    </cfRule>
    <cfRule type="cellIs" dxfId="16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1773A-8670-4F1F-9053-FF2446C4BD98}">
  <sheetPr codeName="Sheet6">
    <tabColor indexed="41"/>
    <pageSetUpPr fitToPage="1"/>
  </sheetPr>
  <dimension ref="B1:AJ10"/>
  <sheetViews>
    <sheetView showGridLines="0" zoomScale="90" zoomScaleNormal="90" workbookViewId="0">
      <selection activeCell="P3" sqref="P3:R3"/>
    </sheetView>
  </sheetViews>
  <sheetFormatPr defaultColWidth="9" defaultRowHeight="30" customHeight="1" x14ac:dyDescent="0.25"/>
  <cols>
    <col min="1" max="1" width="2.625" style="2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style="2" customWidth="1"/>
    <col min="38" max="16384" width="9" style="2"/>
  </cols>
  <sheetData>
    <row r="1" spans="2:36" s="1" customFormat="1" ht="38.1" customHeight="1" x14ac:dyDescent="0.25">
      <c r="B1" s="35" t="s">
        <v>14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</row>
    <row r="2" spans="2:36" s="1" customFormat="1" ht="30" customHeight="1" x14ac:dyDescent="0.25">
      <c r="B2" s="29" t="s">
        <v>8</v>
      </c>
      <c r="C2" s="30"/>
      <c r="D2" s="30"/>
      <c r="E2" s="30"/>
      <c r="F2" s="30"/>
      <c r="G2" s="30"/>
      <c r="H2" s="30"/>
      <c r="I2" s="30"/>
      <c r="J2" s="31"/>
      <c r="K2" s="17" t="s">
        <v>10</v>
      </c>
      <c r="L2" s="17"/>
      <c r="M2" s="17"/>
      <c r="N2" s="17"/>
      <c r="O2" s="17"/>
      <c r="P2" s="17" t="s">
        <v>12</v>
      </c>
      <c r="Q2" s="17"/>
      <c r="R2" s="17"/>
      <c r="S2" s="17" t="s">
        <v>9</v>
      </c>
      <c r="T2" s="17"/>
      <c r="U2" s="17"/>
      <c r="V2" s="17"/>
      <c r="W2" s="17" t="s">
        <v>1</v>
      </c>
      <c r="X2" s="17"/>
      <c r="Y2" s="17"/>
      <c r="Z2" s="17"/>
      <c r="AA2" s="17"/>
      <c r="AB2" s="17"/>
      <c r="AC2" s="17"/>
      <c r="AD2" s="17"/>
      <c r="AE2" s="41" t="s">
        <v>0</v>
      </c>
      <c r="AF2" s="42"/>
      <c r="AG2" s="43"/>
      <c r="AH2" s="36" t="s">
        <v>2</v>
      </c>
      <c r="AI2" s="37"/>
      <c r="AJ2" s="38"/>
    </row>
    <row r="3" spans="2:36" s="1" customFormat="1" ht="30" customHeight="1" x14ac:dyDescent="0.25">
      <c r="B3" s="32" t="s">
        <v>27</v>
      </c>
      <c r="C3" s="33"/>
      <c r="D3" s="33"/>
      <c r="E3" s="33"/>
      <c r="F3" s="33"/>
      <c r="G3" s="33"/>
      <c r="H3" s="33"/>
      <c r="I3" s="33"/>
      <c r="J3" s="34"/>
      <c r="K3" s="18" t="str">
        <f>VLOOKUP(B3,Students[],3,0)</f>
        <v>WE65</v>
      </c>
      <c r="L3" s="18"/>
      <c r="M3" s="18"/>
      <c r="N3" s="18"/>
      <c r="O3" s="18"/>
      <c r="P3" s="18" t="str">
        <f>VLOOKUP(B3,Students[],2,0)</f>
        <v>Male</v>
      </c>
      <c r="Q3" s="18"/>
      <c r="R3" s="18"/>
      <c r="S3" s="40">
        <f>VLOOKUP(B3,Students[],4,0)</f>
        <v>38075</v>
      </c>
      <c r="T3" s="40"/>
      <c r="U3" s="40"/>
      <c r="V3" s="40"/>
      <c r="W3" s="18" t="s">
        <v>129</v>
      </c>
      <c r="X3" s="18"/>
      <c r="Y3" s="18"/>
      <c r="Z3" s="18"/>
      <c r="AA3" s="18"/>
      <c r="AB3" s="18"/>
      <c r="AC3" s="18"/>
      <c r="AD3" s="18"/>
      <c r="AE3" s="44">
        <f>VLOOKUP(B3,Students[],5,0)</f>
        <v>9</v>
      </c>
      <c r="AF3" s="45"/>
      <c r="AG3" s="45"/>
      <c r="AH3" s="39">
        <f>VLOOKUP(B3,Students[],6,0)</f>
        <v>1</v>
      </c>
      <c r="AI3" s="39"/>
      <c r="AJ3" s="39"/>
    </row>
    <row r="4" spans="2:36" s="1" customFormat="1" ht="30" customHeight="1" x14ac:dyDescent="0.25">
      <c r="B4" s="29" t="s">
        <v>70</v>
      </c>
      <c r="C4" s="30"/>
      <c r="D4" s="30"/>
      <c r="E4" s="30"/>
      <c r="F4" s="30"/>
      <c r="G4" s="30"/>
      <c r="H4" s="30"/>
      <c r="I4" s="30"/>
      <c r="J4" s="31"/>
      <c r="K4" s="17" t="s">
        <v>71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 t="s">
        <v>72</v>
      </c>
      <c r="X4" s="17"/>
      <c r="Y4" s="17"/>
      <c r="Z4" s="17"/>
      <c r="AA4" s="17"/>
      <c r="AB4" s="17"/>
      <c r="AC4" s="17"/>
      <c r="AD4" s="17"/>
      <c r="AE4" s="17" t="s">
        <v>73</v>
      </c>
      <c r="AF4" s="17"/>
      <c r="AG4" s="17"/>
      <c r="AH4" s="22"/>
      <c r="AI4" s="22"/>
      <c r="AJ4" s="22"/>
    </row>
    <row r="5" spans="2:36" s="1" customFormat="1" ht="30" customHeight="1" x14ac:dyDescent="0.25">
      <c r="B5" s="32" t="str">
        <f>VLOOKUP(B3,Students[],7,0)</f>
        <v>Qutayba</v>
      </c>
      <c r="C5" s="33"/>
      <c r="D5" s="33"/>
      <c r="E5" s="33"/>
      <c r="F5" s="33"/>
      <c r="G5" s="33"/>
      <c r="H5" s="33"/>
      <c r="I5" s="33"/>
      <c r="J5" s="34"/>
      <c r="K5" s="18" t="str">
        <f>VLOOKUP(B3,Students[],8,0)</f>
        <v>Suad</v>
      </c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9">
        <f>VLOOKUP(B3,Students[],9,0)</f>
        <v>5318782056</v>
      </c>
      <c r="X5" s="19"/>
      <c r="Y5" s="19"/>
      <c r="Z5" s="19"/>
      <c r="AA5" s="19"/>
      <c r="AB5" s="19"/>
      <c r="AC5" s="19"/>
      <c r="AD5" s="19"/>
      <c r="AE5" s="19" t="str">
        <f>VLOOKUP(B3,Students[],10,0)</f>
        <v>Harat Street</v>
      </c>
      <c r="AF5" s="19"/>
      <c r="AG5" s="19"/>
      <c r="AH5" s="19"/>
      <c r="AI5" s="19"/>
      <c r="AJ5" s="19"/>
    </row>
    <row r="6" spans="2:36" s="1" customFormat="1" ht="30" customHeight="1" x14ac:dyDescent="0.25">
      <c r="B6" s="23" t="s">
        <v>11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0" t="s">
        <v>3</v>
      </c>
      <c r="AH6" s="21"/>
      <c r="AI6" s="21"/>
      <c r="AJ6" s="21"/>
    </row>
    <row r="7" spans="2:36" s="1" customFormat="1" ht="30" customHeight="1" x14ac:dyDescent="0.25">
      <c r="B7" s="25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9" t="s">
        <v>4</v>
      </c>
      <c r="AH7" s="10" t="s">
        <v>5</v>
      </c>
      <c r="AI7" s="10" t="s">
        <v>6</v>
      </c>
      <c r="AJ7" s="10" t="s">
        <v>7</v>
      </c>
    </row>
    <row r="8" spans="2:36" s="1" customFormat="1" ht="30" customHeight="1" x14ac:dyDescent="0.25">
      <c r="B8" s="27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6">
        <f>COUNTIF($C9:$AF9,"T")</f>
        <v>1</v>
      </c>
      <c r="AH8" s="15">
        <f>COUNTIF($C9:$AF9,"U")</f>
        <v>1</v>
      </c>
      <c r="AI8" s="15">
        <f>COUNTIF($C9:$AF9,"E")</f>
        <v>0</v>
      </c>
      <c r="AJ8" s="15">
        <f>COUNTIF($C9:$AF9,"P")</f>
        <v>28</v>
      </c>
    </row>
    <row r="9" spans="2:36" s="1" customFormat="1" ht="30" customHeight="1" x14ac:dyDescent="0.25">
      <c r="B9" s="28"/>
      <c r="C9" s="12" t="str">
        <f>INDEX(Table2[[1]:[30]],MATCH('Ameen Ahmad'!$B$3,Attendance!$B$5:$B$22,0),MATCH('Ameen Ahmad'!C8,Attendance!$C$4:$AF$4,0))</f>
        <v>P</v>
      </c>
      <c r="D9" s="12" t="str">
        <f>INDEX(Table2[[1]:[30]],MATCH('Ameen Ahmad'!$B$3,Attendance!$B$5:$B$22,0),MATCH('Ameen Ahmad'!D8,Attendance!$C$4:$AF$4,0))</f>
        <v>P</v>
      </c>
      <c r="E9" s="12" t="str">
        <f>INDEX(Table2[[1]:[30]],MATCH('Ameen Ahmad'!$B$3,Attendance!$B$5:$B$22,0),MATCH('Ameen Ahmad'!E8,Attendance!$C$4:$AF$4,0))</f>
        <v>P</v>
      </c>
      <c r="F9" s="12" t="str">
        <f>INDEX(Table2[[1]:[30]],MATCH('Ameen Ahmad'!$B$3,Attendance!$B$5:$B$22,0),MATCH('Ameen Ahmad'!F8,Attendance!$C$4:$AF$4,0))</f>
        <v>P</v>
      </c>
      <c r="G9" s="12" t="str">
        <f>INDEX(Table2[[1]:[30]],MATCH('Ameen Ahmad'!$B$3,Attendance!$B$5:$B$22,0),MATCH('Ameen Ahmad'!G8,Attendance!$C$4:$AF$4,0))</f>
        <v>P</v>
      </c>
      <c r="H9" s="12" t="str">
        <f>INDEX(Table2[[1]:[30]],MATCH('Ameen Ahmad'!$B$3,Attendance!$B$5:$B$22,0),MATCH('Ameen Ahmad'!H8,Attendance!$C$4:$AF$4,0))</f>
        <v>P</v>
      </c>
      <c r="I9" s="12" t="str">
        <f>INDEX(Table2[[1]:[30]],MATCH('Ameen Ahmad'!$B$3,Attendance!$B$5:$B$22,0),MATCH('Ameen Ahmad'!I8,Attendance!$C$4:$AF$4,0))</f>
        <v>P</v>
      </c>
      <c r="J9" s="12" t="str">
        <f>INDEX(Table2[[1]:[30]],MATCH('Ameen Ahmad'!$B$3,Attendance!$B$5:$B$22,0),MATCH('Ameen Ahmad'!J8,Attendance!$C$4:$AF$4,0))</f>
        <v>P</v>
      </c>
      <c r="K9" s="12" t="str">
        <f>INDEX(Table2[[1]:[30]],MATCH('Ameen Ahmad'!$B$3,Attendance!$B$5:$B$22,0),MATCH('Ameen Ahmad'!K8,Attendance!$C$4:$AF$4,0))</f>
        <v>P</v>
      </c>
      <c r="L9" s="12" t="str">
        <f>INDEX(Table2[[1]:[30]],MATCH('Ameen Ahmad'!$B$3,Attendance!$B$5:$B$22,0),MATCH('Ameen Ahmad'!L8,Attendance!$C$4:$AF$4,0))</f>
        <v>P</v>
      </c>
      <c r="M9" s="12" t="str">
        <f>INDEX(Table2[[1]:[30]],MATCH('Ameen Ahmad'!$B$3,Attendance!$B$5:$B$22,0),MATCH('Ameen Ahmad'!M8,Attendance!$C$4:$AF$4,0))</f>
        <v>P</v>
      </c>
      <c r="N9" s="12" t="str">
        <f>INDEX(Table2[[1]:[30]],MATCH('Ameen Ahmad'!$B$3,Attendance!$B$5:$B$22,0),MATCH('Ameen Ahmad'!N8,Attendance!$C$4:$AF$4,0))</f>
        <v>P</v>
      </c>
      <c r="O9" s="12" t="str">
        <f>INDEX(Table2[[1]:[30]],MATCH('Ameen Ahmad'!$B$3,Attendance!$B$5:$B$22,0),MATCH('Ameen Ahmad'!O8,Attendance!$C$4:$AF$4,0))</f>
        <v>P</v>
      </c>
      <c r="P9" s="12" t="str">
        <f>INDEX(Table2[[1]:[30]],MATCH('Ameen Ahmad'!$B$3,Attendance!$B$5:$B$22,0),MATCH('Ameen Ahmad'!P8,Attendance!$C$4:$AF$4,0))</f>
        <v>P</v>
      </c>
      <c r="Q9" s="12" t="str">
        <f>INDEX(Table2[[1]:[30]],MATCH('Ameen Ahmad'!$B$3,Attendance!$B$5:$B$22,0),MATCH('Ameen Ahmad'!Q8,Attendance!$C$4:$AF$4,0))</f>
        <v>P</v>
      </c>
      <c r="R9" s="12" t="str">
        <f>INDEX(Table2[[1]:[30]],MATCH('Ameen Ahmad'!$B$3,Attendance!$B$5:$B$22,0),MATCH('Ameen Ahmad'!R8,Attendance!$C$4:$AF$4,0))</f>
        <v>P</v>
      </c>
      <c r="S9" s="12" t="str">
        <f>INDEX(Table2[[1]:[30]],MATCH('Ameen Ahmad'!$B$3,Attendance!$B$5:$B$22,0),MATCH('Ameen Ahmad'!S8,Attendance!$C$4:$AF$4,0))</f>
        <v>P</v>
      </c>
      <c r="T9" s="12" t="str">
        <f>INDEX(Table2[[1]:[30]],MATCH('Ameen Ahmad'!$B$3,Attendance!$B$5:$B$22,0),MATCH('Ameen Ahmad'!T8,Attendance!$C$4:$AF$4,0))</f>
        <v>P</v>
      </c>
      <c r="U9" s="12" t="str">
        <f>INDEX(Table2[[1]:[30]],MATCH('Ameen Ahmad'!$B$3,Attendance!$B$5:$B$22,0),MATCH('Ameen Ahmad'!U8,Attendance!$C$4:$AF$4,0))</f>
        <v>P</v>
      </c>
      <c r="V9" s="12" t="str">
        <f>INDEX(Table2[[1]:[30]],MATCH('Ameen Ahmad'!$B$3,Attendance!$B$5:$B$22,0),MATCH('Ameen Ahmad'!V8,Attendance!$C$4:$AF$4,0))</f>
        <v>P</v>
      </c>
      <c r="W9" s="12" t="str">
        <f>INDEX(Table2[[1]:[30]],MATCH('Ameen Ahmad'!$B$3,Attendance!$B$5:$B$22,0),MATCH('Ameen Ahmad'!W8,Attendance!$C$4:$AF$4,0))</f>
        <v>P</v>
      </c>
      <c r="X9" s="12" t="str">
        <f>INDEX(Table2[[1]:[30]],MATCH('Ameen Ahmad'!$B$3,Attendance!$B$5:$B$22,0),MATCH('Ameen Ahmad'!X8,Attendance!$C$4:$AF$4,0))</f>
        <v>P</v>
      </c>
      <c r="Y9" s="12" t="str">
        <f>INDEX(Table2[[1]:[30]],MATCH('Ameen Ahmad'!$B$3,Attendance!$B$5:$B$22,0),MATCH('Ameen Ahmad'!Y8,Attendance!$C$4:$AF$4,0))</f>
        <v>P</v>
      </c>
      <c r="Z9" s="12" t="str">
        <f>INDEX(Table2[[1]:[30]],MATCH('Ameen Ahmad'!$B$3,Attendance!$B$5:$B$22,0),MATCH('Ameen Ahmad'!Z8,Attendance!$C$4:$AF$4,0))</f>
        <v>P</v>
      </c>
      <c r="AA9" s="12" t="str">
        <f>INDEX(Table2[[1]:[30]],MATCH('Ameen Ahmad'!$B$3,Attendance!$B$5:$B$22,0),MATCH('Ameen Ahmad'!AA8,Attendance!$C$4:$AF$4,0))</f>
        <v>T</v>
      </c>
      <c r="AB9" s="12" t="str">
        <f>INDEX(Table2[[1]:[30]],MATCH('Ameen Ahmad'!$B$3,Attendance!$B$5:$B$22,0),MATCH('Ameen Ahmad'!AB8,Attendance!$C$4:$AF$4,0))</f>
        <v>P</v>
      </c>
      <c r="AC9" s="12" t="str">
        <f>INDEX(Table2[[1]:[30]],MATCH('Ameen Ahmad'!$B$3,Attendance!$B$5:$B$22,0),MATCH('Ameen Ahmad'!AC8,Attendance!$C$4:$AF$4,0))</f>
        <v>P</v>
      </c>
      <c r="AD9" s="12" t="str">
        <f>INDEX(Table2[[1]:[30]],MATCH('Ameen Ahmad'!$B$3,Attendance!$B$5:$B$22,0),MATCH('Ameen Ahmad'!AD8,Attendance!$C$4:$AF$4,0))</f>
        <v>P</v>
      </c>
      <c r="AE9" s="12" t="str">
        <f>INDEX(Table2[[1]:[30]],MATCH('Ameen Ahmad'!$B$3,Attendance!$B$5:$B$22,0),MATCH('Ameen Ahmad'!AE8,Attendance!$C$4:$AF$4,0))</f>
        <v>P</v>
      </c>
      <c r="AF9" s="12" t="str">
        <f>INDEX(Table2[[1]:[30]],MATCH('Ameen Ahmad'!$B$3,Attendance!$B$5:$B$22,0),MATCH('Ameen Ahmad'!AF8,Attendance!$C$4:$AF$4,0))</f>
        <v>U</v>
      </c>
      <c r="AG9" s="16"/>
      <c r="AH9" s="15"/>
      <c r="AI9" s="15"/>
      <c r="AJ9" s="15"/>
    </row>
    <row r="10" spans="2:36" ht="30" customHeight="1" x14ac:dyDescent="0.25">
      <c r="C10" t="e" cm="1">
        <f t="array" ref="C10:K10">INDEX(Table2[#All],MATCH('Ameen Ahmad'!$B$3:$J$3,Table2[#All],0))</f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B1:R1"/>
    <mergeCell ref="B2:J2"/>
    <mergeCell ref="K2:O2"/>
    <mergeCell ref="P2:R2"/>
    <mergeCell ref="S2:V2"/>
    <mergeCell ref="AE2:AG2"/>
    <mergeCell ref="AH2:AJ2"/>
    <mergeCell ref="B3:J3"/>
    <mergeCell ref="K3:O3"/>
    <mergeCell ref="P3:R3"/>
    <mergeCell ref="S3:V3"/>
    <mergeCell ref="W3:AD3"/>
    <mergeCell ref="AE3:AG3"/>
    <mergeCell ref="AH3:AJ3"/>
    <mergeCell ref="W2:AD2"/>
    <mergeCell ref="B4:J4"/>
    <mergeCell ref="K4:V4"/>
    <mergeCell ref="W4:AD4"/>
    <mergeCell ref="AE4:AJ4"/>
    <mergeCell ref="B5:J5"/>
    <mergeCell ref="K5:V5"/>
    <mergeCell ref="W5:AD5"/>
    <mergeCell ref="AE5:AJ5"/>
    <mergeCell ref="B6:AF7"/>
    <mergeCell ref="AG6:AJ6"/>
    <mergeCell ref="B8:B9"/>
    <mergeCell ref="AG8:AG9"/>
    <mergeCell ref="AH8:AH9"/>
    <mergeCell ref="AI8:AI9"/>
    <mergeCell ref="AJ8:AJ9"/>
  </mergeCells>
  <conditionalFormatting sqref="C9:AF9">
    <cfRule type="cellIs" dxfId="15" priority="1" operator="equal">
      <formula>"U"</formula>
    </cfRule>
    <cfRule type="cellIs" dxfId="14" priority="2" operator="equal">
      <formula>"E"</formula>
    </cfRule>
    <cfRule type="cellIs" dxfId="13" priority="3" operator="equal">
      <formula>"T"</formula>
    </cfRule>
    <cfRule type="cellIs" dxfId="12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8F773-6D46-48A0-8356-7CBE09F85F21}">
  <sheetPr codeName="Sheet5">
    <tabColor indexed="41"/>
    <pageSetUpPr fitToPage="1"/>
  </sheetPr>
  <dimension ref="B1:AJ10"/>
  <sheetViews>
    <sheetView showGridLines="0" zoomScale="90" zoomScaleNormal="90" workbookViewId="0">
      <selection activeCell="P3" sqref="P3:R3"/>
    </sheetView>
  </sheetViews>
  <sheetFormatPr defaultColWidth="9" defaultRowHeight="30" customHeight="1" x14ac:dyDescent="0.25"/>
  <cols>
    <col min="1" max="1" width="2.625" style="2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style="2" customWidth="1"/>
    <col min="38" max="16384" width="9" style="2"/>
  </cols>
  <sheetData>
    <row r="1" spans="2:36" s="1" customFormat="1" ht="38.1" customHeight="1" x14ac:dyDescent="0.25">
      <c r="B1" s="35" t="s">
        <v>14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</row>
    <row r="2" spans="2:36" s="1" customFormat="1" ht="30" customHeight="1" x14ac:dyDescent="0.25">
      <c r="B2" s="29" t="s">
        <v>8</v>
      </c>
      <c r="C2" s="30"/>
      <c r="D2" s="30"/>
      <c r="E2" s="30"/>
      <c r="F2" s="30"/>
      <c r="G2" s="30"/>
      <c r="H2" s="30"/>
      <c r="I2" s="30"/>
      <c r="J2" s="31"/>
      <c r="K2" s="17" t="s">
        <v>10</v>
      </c>
      <c r="L2" s="17"/>
      <c r="M2" s="17"/>
      <c r="N2" s="17"/>
      <c r="O2" s="17"/>
      <c r="P2" s="17" t="s">
        <v>12</v>
      </c>
      <c r="Q2" s="17"/>
      <c r="R2" s="17"/>
      <c r="S2" s="17" t="s">
        <v>9</v>
      </c>
      <c r="T2" s="17"/>
      <c r="U2" s="17"/>
      <c r="V2" s="17"/>
      <c r="W2" s="17" t="s">
        <v>1</v>
      </c>
      <c r="X2" s="17"/>
      <c r="Y2" s="17"/>
      <c r="Z2" s="17"/>
      <c r="AA2" s="17"/>
      <c r="AB2" s="17"/>
      <c r="AC2" s="17"/>
      <c r="AD2" s="17"/>
      <c r="AE2" s="41" t="s">
        <v>0</v>
      </c>
      <c r="AF2" s="42"/>
      <c r="AG2" s="43"/>
      <c r="AH2" s="36" t="s">
        <v>2</v>
      </c>
      <c r="AI2" s="37"/>
      <c r="AJ2" s="38"/>
    </row>
    <row r="3" spans="2:36" s="1" customFormat="1" ht="30" customHeight="1" x14ac:dyDescent="0.25">
      <c r="B3" s="32" t="s">
        <v>19</v>
      </c>
      <c r="C3" s="33"/>
      <c r="D3" s="33"/>
      <c r="E3" s="33"/>
      <c r="F3" s="33"/>
      <c r="G3" s="33"/>
      <c r="H3" s="33"/>
      <c r="I3" s="33"/>
      <c r="J3" s="34"/>
      <c r="K3" s="18" t="str">
        <f>VLOOKUP(B3,Students[],3,0)</f>
        <v>FD56</v>
      </c>
      <c r="L3" s="18"/>
      <c r="M3" s="18"/>
      <c r="N3" s="18"/>
      <c r="O3" s="18"/>
      <c r="P3" s="18" t="str">
        <f>VLOOKUP(B3,Students[],2,0)</f>
        <v>Male</v>
      </c>
      <c r="Q3" s="18"/>
      <c r="R3" s="18"/>
      <c r="S3" s="40">
        <f>VLOOKUP(B3,Students[],4,0)</f>
        <v>38038</v>
      </c>
      <c r="T3" s="40"/>
      <c r="U3" s="40"/>
      <c r="V3" s="40"/>
      <c r="W3" s="18" t="s">
        <v>129</v>
      </c>
      <c r="X3" s="18"/>
      <c r="Y3" s="18"/>
      <c r="Z3" s="18"/>
      <c r="AA3" s="18"/>
      <c r="AB3" s="18"/>
      <c r="AC3" s="18"/>
      <c r="AD3" s="18"/>
      <c r="AE3" s="44">
        <f>VLOOKUP(B3,Students[],5,0)</f>
        <v>9</v>
      </c>
      <c r="AF3" s="45"/>
      <c r="AG3" s="45"/>
      <c r="AH3" s="39">
        <f>VLOOKUP(B3,Students[],6,0)</f>
        <v>1</v>
      </c>
      <c r="AI3" s="39"/>
      <c r="AJ3" s="39"/>
    </row>
    <row r="4" spans="2:36" s="1" customFormat="1" ht="30" customHeight="1" x14ac:dyDescent="0.25">
      <c r="B4" s="29" t="s">
        <v>70</v>
      </c>
      <c r="C4" s="30"/>
      <c r="D4" s="30"/>
      <c r="E4" s="30"/>
      <c r="F4" s="30"/>
      <c r="G4" s="30"/>
      <c r="H4" s="30"/>
      <c r="I4" s="30"/>
      <c r="J4" s="31"/>
      <c r="K4" s="17" t="s">
        <v>71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 t="s">
        <v>72</v>
      </c>
      <c r="X4" s="17"/>
      <c r="Y4" s="17"/>
      <c r="Z4" s="17"/>
      <c r="AA4" s="17"/>
      <c r="AB4" s="17"/>
      <c r="AC4" s="17"/>
      <c r="AD4" s="17"/>
      <c r="AE4" s="17" t="s">
        <v>73</v>
      </c>
      <c r="AF4" s="17"/>
      <c r="AG4" s="17"/>
      <c r="AH4" s="22"/>
      <c r="AI4" s="22"/>
      <c r="AJ4" s="22"/>
    </row>
    <row r="5" spans="2:36" s="1" customFormat="1" ht="30" customHeight="1" x14ac:dyDescent="0.25">
      <c r="B5" s="32" t="str">
        <f>VLOOKUP(B3,Students[],7,0)</f>
        <v>Fysal</v>
      </c>
      <c r="C5" s="33"/>
      <c r="D5" s="33"/>
      <c r="E5" s="33"/>
      <c r="F5" s="33"/>
      <c r="G5" s="33"/>
      <c r="H5" s="33"/>
      <c r="I5" s="33"/>
      <c r="J5" s="34"/>
      <c r="K5" s="18" t="str">
        <f>VLOOKUP(B3,Students[],8,0)</f>
        <v>Sara</v>
      </c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9">
        <f>VLOOKUP(B3,Students[],9,0)</f>
        <v>5578067678</v>
      </c>
      <c r="X5" s="19"/>
      <c r="Y5" s="19"/>
      <c r="Z5" s="19"/>
      <c r="AA5" s="19"/>
      <c r="AB5" s="19"/>
      <c r="AC5" s="19"/>
      <c r="AD5" s="19"/>
      <c r="AE5" s="19" t="str">
        <f>VLOOKUP(B3,Students[],10,0)</f>
        <v>Aman Street</v>
      </c>
      <c r="AF5" s="19"/>
      <c r="AG5" s="19"/>
      <c r="AH5" s="19"/>
      <c r="AI5" s="19"/>
      <c r="AJ5" s="19"/>
    </row>
    <row r="6" spans="2:36" s="1" customFormat="1" ht="30" customHeight="1" x14ac:dyDescent="0.25">
      <c r="B6" s="23" t="s">
        <v>11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0" t="s">
        <v>3</v>
      </c>
      <c r="AH6" s="21"/>
      <c r="AI6" s="21"/>
      <c r="AJ6" s="21"/>
    </row>
    <row r="7" spans="2:36" s="1" customFormat="1" ht="30" customHeight="1" x14ac:dyDescent="0.25">
      <c r="B7" s="25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9" t="s">
        <v>4</v>
      </c>
      <c r="AH7" s="10" t="s">
        <v>5</v>
      </c>
      <c r="AI7" s="10" t="s">
        <v>6</v>
      </c>
      <c r="AJ7" s="10" t="s">
        <v>7</v>
      </c>
    </row>
    <row r="8" spans="2:36" s="1" customFormat="1" ht="30" customHeight="1" x14ac:dyDescent="0.25">
      <c r="B8" s="27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6">
        <f>COUNTIF($C9:$AF9,"T")</f>
        <v>1</v>
      </c>
      <c r="AH8" s="15">
        <f>COUNTIF($C9:$AF9,"U")</f>
        <v>0</v>
      </c>
      <c r="AI8" s="15">
        <f>COUNTIF($C9:$AF9,"E")</f>
        <v>1</v>
      </c>
      <c r="AJ8" s="15">
        <f>COUNTIF($C9:$AF9,"P")</f>
        <v>28</v>
      </c>
    </row>
    <row r="9" spans="2:36" s="1" customFormat="1" ht="30" customHeight="1" x14ac:dyDescent="0.25">
      <c r="B9" s="28"/>
      <c r="C9" s="12" t="str">
        <f>INDEX(Table2[[1]:[30]],MATCH('Ali Omar'!$B$3,Attendance!$B$5:$B$22,0),MATCH('Ali Omar'!C8,Attendance!$C$4:$AF$4,0))</f>
        <v>P</v>
      </c>
      <c r="D9" s="12" t="str">
        <f>INDEX(Table2[[1]:[30]],MATCH('Ali Omar'!$B$3,Attendance!$B$5:$B$22,0),MATCH('Ali Omar'!D8,Attendance!$C$4:$AF$4,0))</f>
        <v>P</v>
      </c>
      <c r="E9" s="12" t="str">
        <f>INDEX(Table2[[1]:[30]],MATCH('Ali Omar'!$B$3,Attendance!$B$5:$B$22,0),MATCH('Ali Omar'!E8,Attendance!$C$4:$AF$4,0))</f>
        <v>P</v>
      </c>
      <c r="F9" s="12" t="str">
        <f>INDEX(Table2[[1]:[30]],MATCH('Ali Omar'!$B$3,Attendance!$B$5:$B$22,0),MATCH('Ali Omar'!F8,Attendance!$C$4:$AF$4,0))</f>
        <v>P</v>
      </c>
      <c r="G9" s="12" t="str">
        <f>INDEX(Table2[[1]:[30]],MATCH('Ali Omar'!$B$3,Attendance!$B$5:$B$22,0),MATCH('Ali Omar'!G8,Attendance!$C$4:$AF$4,0))</f>
        <v>T</v>
      </c>
      <c r="H9" s="12" t="str">
        <f>INDEX(Table2[[1]:[30]],MATCH('Ali Omar'!$B$3,Attendance!$B$5:$B$22,0),MATCH('Ali Omar'!H8,Attendance!$C$4:$AF$4,0))</f>
        <v>P</v>
      </c>
      <c r="I9" s="12" t="str">
        <f>INDEX(Table2[[1]:[30]],MATCH('Ali Omar'!$B$3,Attendance!$B$5:$B$22,0),MATCH('Ali Omar'!I8,Attendance!$C$4:$AF$4,0))</f>
        <v>P</v>
      </c>
      <c r="J9" s="12" t="str">
        <f>INDEX(Table2[[1]:[30]],MATCH('Ali Omar'!$B$3,Attendance!$B$5:$B$22,0),MATCH('Ali Omar'!J8,Attendance!$C$4:$AF$4,0))</f>
        <v>P</v>
      </c>
      <c r="K9" s="12" t="str">
        <f>INDEX(Table2[[1]:[30]],MATCH('Ali Omar'!$B$3,Attendance!$B$5:$B$22,0),MATCH('Ali Omar'!K8,Attendance!$C$4:$AF$4,0))</f>
        <v>P</v>
      </c>
      <c r="L9" s="12" t="str">
        <f>INDEX(Table2[[1]:[30]],MATCH('Ali Omar'!$B$3,Attendance!$B$5:$B$22,0),MATCH('Ali Omar'!L8,Attendance!$C$4:$AF$4,0))</f>
        <v>P</v>
      </c>
      <c r="M9" s="12" t="str">
        <f>INDEX(Table2[[1]:[30]],MATCH('Ali Omar'!$B$3,Attendance!$B$5:$B$22,0),MATCH('Ali Omar'!M8,Attendance!$C$4:$AF$4,0))</f>
        <v>P</v>
      </c>
      <c r="N9" s="12" t="str">
        <f>INDEX(Table2[[1]:[30]],MATCH('Ali Omar'!$B$3,Attendance!$B$5:$B$22,0),MATCH('Ali Omar'!N8,Attendance!$C$4:$AF$4,0))</f>
        <v>P</v>
      </c>
      <c r="O9" s="12" t="str">
        <f>INDEX(Table2[[1]:[30]],MATCH('Ali Omar'!$B$3,Attendance!$B$5:$B$22,0),MATCH('Ali Omar'!O8,Attendance!$C$4:$AF$4,0))</f>
        <v>P</v>
      </c>
      <c r="P9" s="12" t="str">
        <f>INDEX(Table2[[1]:[30]],MATCH('Ali Omar'!$B$3,Attendance!$B$5:$B$22,0),MATCH('Ali Omar'!P8,Attendance!$C$4:$AF$4,0))</f>
        <v>P</v>
      </c>
      <c r="Q9" s="12" t="str">
        <f>INDEX(Table2[[1]:[30]],MATCH('Ali Omar'!$B$3,Attendance!$B$5:$B$22,0),MATCH('Ali Omar'!Q8,Attendance!$C$4:$AF$4,0))</f>
        <v>P</v>
      </c>
      <c r="R9" s="12" t="str">
        <f>INDEX(Table2[[1]:[30]],MATCH('Ali Omar'!$B$3,Attendance!$B$5:$B$22,0),MATCH('Ali Omar'!R8,Attendance!$C$4:$AF$4,0))</f>
        <v>P</v>
      </c>
      <c r="S9" s="12" t="str">
        <f>INDEX(Table2[[1]:[30]],MATCH('Ali Omar'!$B$3,Attendance!$B$5:$B$22,0),MATCH('Ali Omar'!S8,Attendance!$C$4:$AF$4,0))</f>
        <v>P</v>
      </c>
      <c r="T9" s="12" t="str">
        <f>INDEX(Table2[[1]:[30]],MATCH('Ali Omar'!$B$3,Attendance!$B$5:$B$22,0),MATCH('Ali Omar'!T8,Attendance!$C$4:$AF$4,0))</f>
        <v>P</v>
      </c>
      <c r="U9" s="12" t="str">
        <f>INDEX(Table2[[1]:[30]],MATCH('Ali Omar'!$B$3,Attendance!$B$5:$B$22,0),MATCH('Ali Omar'!U8,Attendance!$C$4:$AF$4,0))</f>
        <v>P</v>
      </c>
      <c r="V9" s="12" t="str">
        <f>INDEX(Table2[[1]:[30]],MATCH('Ali Omar'!$B$3,Attendance!$B$5:$B$22,0),MATCH('Ali Omar'!V8,Attendance!$C$4:$AF$4,0))</f>
        <v>P</v>
      </c>
      <c r="W9" s="12" t="str">
        <f>INDEX(Table2[[1]:[30]],MATCH('Ali Omar'!$B$3,Attendance!$B$5:$B$22,0),MATCH('Ali Omar'!W8,Attendance!$C$4:$AF$4,0))</f>
        <v>P</v>
      </c>
      <c r="X9" s="12" t="str">
        <f>INDEX(Table2[[1]:[30]],MATCH('Ali Omar'!$B$3,Attendance!$B$5:$B$22,0),MATCH('Ali Omar'!X8,Attendance!$C$4:$AF$4,0))</f>
        <v>P</v>
      </c>
      <c r="Y9" s="12" t="str">
        <f>INDEX(Table2[[1]:[30]],MATCH('Ali Omar'!$B$3,Attendance!$B$5:$B$22,0),MATCH('Ali Omar'!Y8,Attendance!$C$4:$AF$4,0))</f>
        <v>P</v>
      </c>
      <c r="Z9" s="12" t="str">
        <f>INDEX(Table2[[1]:[30]],MATCH('Ali Omar'!$B$3,Attendance!$B$5:$B$22,0),MATCH('Ali Omar'!Z8,Attendance!$C$4:$AF$4,0))</f>
        <v>P</v>
      </c>
      <c r="AA9" s="12" t="str">
        <f>INDEX(Table2[[1]:[30]],MATCH('Ali Omar'!$B$3,Attendance!$B$5:$B$22,0),MATCH('Ali Omar'!AA8,Attendance!$C$4:$AF$4,0))</f>
        <v>E</v>
      </c>
      <c r="AB9" s="12" t="str">
        <f>INDEX(Table2[[1]:[30]],MATCH('Ali Omar'!$B$3,Attendance!$B$5:$B$22,0),MATCH('Ali Omar'!AB8,Attendance!$C$4:$AF$4,0))</f>
        <v>P</v>
      </c>
      <c r="AC9" s="12" t="str">
        <f>INDEX(Table2[[1]:[30]],MATCH('Ali Omar'!$B$3,Attendance!$B$5:$B$22,0),MATCH('Ali Omar'!AC8,Attendance!$C$4:$AF$4,0))</f>
        <v>P</v>
      </c>
      <c r="AD9" s="12" t="str">
        <f>INDEX(Table2[[1]:[30]],MATCH('Ali Omar'!$B$3,Attendance!$B$5:$B$22,0),MATCH('Ali Omar'!AD8,Attendance!$C$4:$AF$4,0))</f>
        <v>P</v>
      </c>
      <c r="AE9" s="12" t="str">
        <f>INDEX(Table2[[1]:[30]],MATCH('Ali Omar'!$B$3,Attendance!$B$5:$B$22,0),MATCH('Ali Omar'!AE8,Attendance!$C$4:$AF$4,0))</f>
        <v>P</v>
      </c>
      <c r="AF9" s="12" t="str">
        <f>INDEX(Table2[[1]:[30]],MATCH('Ali Omar'!$B$3,Attendance!$B$5:$B$22,0),MATCH('Ali Omar'!AF8,Attendance!$C$4:$AF$4,0))</f>
        <v>P</v>
      </c>
      <c r="AG9" s="16"/>
      <c r="AH9" s="15"/>
      <c r="AI9" s="15"/>
      <c r="AJ9" s="15"/>
    </row>
    <row r="10" spans="2:36" ht="30" customHeight="1" x14ac:dyDescent="0.25">
      <c r="C10" t="e" cm="1">
        <f t="array" ref="C10:K10">INDEX(Table2[#All],MATCH('Ali Omar'!$B$3:$J$3,Table2[#All],0))</f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B1:R1"/>
    <mergeCell ref="B2:J2"/>
    <mergeCell ref="K2:O2"/>
    <mergeCell ref="P2:R2"/>
    <mergeCell ref="S2:V2"/>
    <mergeCell ref="AE2:AG2"/>
    <mergeCell ref="AH2:AJ2"/>
    <mergeCell ref="B3:J3"/>
    <mergeCell ref="K3:O3"/>
    <mergeCell ref="P3:R3"/>
    <mergeCell ref="S3:V3"/>
    <mergeCell ref="W3:AD3"/>
    <mergeCell ref="AE3:AG3"/>
    <mergeCell ref="AH3:AJ3"/>
    <mergeCell ref="W2:AD2"/>
    <mergeCell ref="B4:J4"/>
    <mergeCell ref="K4:V4"/>
    <mergeCell ref="W4:AD4"/>
    <mergeCell ref="AE4:AJ4"/>
    <mergeCell ref="B5:J5"/>
    <mergeCell ref="K5:V5"/>
    <mergeCell ref="W5:AD5"/>
    <mergeCell ref="AE5:AJ5"/>
    <mergeCell ref="B6:AF7"/>
    <mergeCell ref="AG6:AJ6"/>
    <mergeCell ref="B8:B9"/>
    <mergeCell ref="AG8:AG9"/>
    <mergeCell ref="AH8:AH9"/>
    <mergeCell ref="AI8:AI9"/>
    <mergeCell ref="AJ8:AJ9"/>
  </mergeCells>
  <conditionalFormatting sqref="C9:AF9">
    <cfRule type="cellIs" dxfId="11" priority="1" operator="equal">
      <formula>"U"</formula>
    </cfRule>
    <cfRule type="cellIs" dxfId="10" priority="2" operator="equal">
      <formula>"E"</formula>
    </cfRule>
    <cfRule type="cellIs" dxfId="9" priority="3" operator="equal">
      <formula>"T"</formula>
    </cfRule>
    <cfRule type="cellIs" dxfId="8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3B659-5443-4C24-8473-D305F2BFA03A}">
  <sheetPr codeName="Sheet4">
    <tabColor indexed="41"/>
    <pageSetUpPr fitToPage="1"/>
  </sheetPr>
  <dimension ref="B1:AJ9"/>
  <sheetViews>
    <sheetView showGridLines="0" zoomScale="90" zoomScaleNormal="90" workbookViewId="0">
      <selection activeCell="W10" sqref="W10"/>
    </sheetView>
  </sheetViews>
  <sheetFormatPr defaultColWidth="9" defaultRowHeight="30" customHeight="1" x14ac:dyDescent="0.25"/>
  <cols>
    <col min="1" max="1" width="2.625" style="2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style="2" customWidth="1"/>
    <col min="38" max="16384" width="9" style="2"/>
  </cols>
  <sheetData>
    <row r="1" spans="2:36" s="1" customFormat="1" ht="38.1" customHeight="1" x14ac:dyDescent="0.25">
      <c r="B1" s="35" t="s">
        <v>14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</row>
    <row r="2" spans="2:36" s="1" customFormat="1" ht="30" customHeight="1" x14ac:dyDescent="0.25">
      <c r="B2" s="29" t="s">
        <v>8</v>
      </c>
      <c r="C2" s="30"/>
      <c r="D2" s="30"/>
      <c r="E2" s="30"/>
      <c r="F2" s="30"/>
      <c r="G2" s="30"/>
      <c r="H2" s="30"/>
      <c r="I2" s="30"/>
      <c r="J2" s="31"/>
      <c r="K2" s="17" t="s">
        <v>10</v>
      </c>
      <c r="L2" s="17"/>
      <c r="M2" s="17"/>
      <c r="N2" s="17"/>
      <c r="O2" s="17"/>
      <c r="P2" s="17" t="s">
        <v>12</v>
      </c>
      <c r="Q2" s="17"/>
      <c r="R2" s="17"/>
      <c r="S2" s="17" t="s">
        <v>9</v>
      </c>
      <c r="T2" s="17"/>
      <c r="U2" s="17"/>
      <c r="V2" s="17"/>
      <c r="W2" s="17" t="s">
        <v>1</v>
      </c>
      <c r="X2" s="17"/>
      <c r="Y2" s="17"/>
      <c r="Z2" s="17"/>
      <c r="AA2" s="17"/>
      <c r="AB2" s="17"/>
      <c r="AC2" s="17"/>
      <c r="AD2" s="17"/>
      <c r="AE2" s="41" t="s">
        <v>0</v>
      </c>
      <c r="AF2" s="42"/>
      <c r="AG2" s="43"/>
      <c r="AH2" s="36" t="s">
        <v>2</v>
      </c>
      <c r="AI2" s="37"/>
      <c r="AJ2" s="38"/>
    </row>
    <row r="3" spans="2:36" s="1" customFormat="1" ht="30" customHeight="1" x14ac:dyDescent="0.25">
      <c r="B3" s="32" t="s">
        <v>16</v>
      </c>
      <c r="C3" s="33"/>
      <c r="D3" s="33"/>
      <c r="E3" s="33"/>
      <c r="F3" s="33"/>
      <c r="G3" s="33"/>
      <c r="H3" s="33"/>
      <c r="I3" s="33"/>
      <c r="J3" s="34"/>
      <c r="K3" s="18" t="str">
        <f>VLOOKUP(B3,Students[],3,0)</f>
        <v>ED15</v>
      </c>
      <c r="L3" s="18"/>
      <c r="M3" s="18"/>
      <c r="N3" s="18"/>
      <c r="O3" s="18"/>
      <c r="P3" s="18" t="str">
        <f>VLOOKUP(B3,Students[],2,0)</f>
        <v>Male</v>
      </c>
      <c r="Q3" s="18"/>
      <c r="R3" s="18"/>
      <c r="S3" s="40">
        <f>VLOOKUP(B3,Students[],4,0)</f>
        <v>38275</v>
      </c>
      <c r="T3" s="40"/>
      <c r="U3" s="40"/>
      <c r="V3" s="40"/>
      <c r="W3" s="18" t="s">
        <v>129</v>
      </c>
      <c r="X3" s="18"/>
      <c r="Y3" s="18"/>
      <c r="Z3" s="18"/>
      <c r="AA3" s="18"/>
      <c r="AB3" s="18"/>
      <c r="AC3" s="18"/>
      <c r="AD3" s="18"/>
      <c r="AE3" s="44">
        <f>VLOOKUP(B3,Students[],5,0)</f>
        <v>9</v>
      </c>
      <c r="AF3" s="45"/>
      <c r="AG3" s="45"/>
      <c r="AH3" s="39">
        <f>VLOOKUP(B3,Students[],6,0)</f>
        <v>4</v>
      </c>
      <c r="AI3" s="39"/>
      <c r="AJ3" s="39"/>
    </row>
    <row r="4" spans="2:36" s="1" customFormat="1" ht="30" customHeight="1" x14ac:dyDescent="0.25">
      <c r="B4" s="29" t="s">
        <v>70</v>
      </c>
      <c r="C4" s="30"/>
      <c r="D4" s="30"/>
      <c r="E4" s="30"/>
      <c r="F4" s="30"/>
      <c r="G4" s="30"/>
      <c r="H4" s="30"/>
      <c r="I4" s="30"/>
      <c r="J4" s="31"/>
      <c r="K4" s="17" t="s">
        <v>71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 t="s">
        <v>72</v>
      </c>
      <c r="X4" s="17"/>
      <c r="Y4" s="17"/>
      <c r="Z4" s="17"/>
      <c r="AA4" s="17"/>
      <c r="AB4" s="17"/>
      <c r="AC4" s="17"/>
      <c r="AD4" s="17"/>
      <c r="AE4" s="17" t="s">
        <v>73</v>
      </c>
      <c r="AF4" s="17"/>
      <c r="AG4" s="17"/>
      <c r="AH4" s="22"/>
      <c r="AI4" s="22"/>
      <c r="AJ4" s="22"/>
    </row>
    <row r="5" spans="2:36" s="1" customFormat="1" ht="30" customHeight="1" x14ac:dyDescent="0.25">
      <c r="B5" s="32" t="str">
        <f>VLOOKUP(B3,Students[],7,0)</f>
        <v>Mohammad</v>
      </c>
      <c r="C5" s="33"/>
      <c r="D5" s="33"/>
      <c r="E5" s="33"/>
      <c r="F5" s="33"/>
      <c r="G5" s="33"/>
      <c r="H5" s="33"/>
      <c r="I5" s="33"/>
      <c r="J5" s="34"/>
      <c r="K5" s="18" t="str">
        <f>VLOOKUP(B3,Students[],8,0)</f>
        <v>Fathya</v>
      </c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9">
        <f>VLOOKUP(B3,Students[],9,0)</f>
        <v>5586944362</v>
      </c>
      <c r="X5" s="19"/>
      <c r="Y5" s="19"/>
      <c r="Z5" s="19"/>
      <c r="AA5" s="19"/>
      <c r="AB5" s="19"/>
      <c r="AC5" s="19"/>
      <c r="AD5" s="19"/>
      <c r="AE5" s="19" t="str">
        <f>VLOOKUP(B3,Students[],10,0)</f>
        <v>Isteklal Street</v>
      </c>
      <c r="AF5" s="19"/>
      <c r="AG5" s="19"/>
      <c r="AH5" s="19"/>
      <c r="AI5" s="19"/>
      <c r="AJ5" s="19"/>
    </row>
    <row r="6" spans="2:36" s="1" customFormat="1" ht="30" customHeight="1" x14ac:dyDescent="0.25">
      <c r="B6" s="23" t="s">
        <v>11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0" t="s">
        <v>3</v>
      </c>
      <c r="AH6" s="21"/>
      <c r="AI6" s="21"/>
      <c r="AJ6" s="21"/>
    </row>
    <row r="7" spans="2:36" s="1" customFormat="1" ht="30" customHeight="1" x14ac:dyDescent="0.25">
      <c r="B7" s="25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9" t="s">
        <v>4</v>
      </c>
      <c r="AH7" s="10" t="s">
        <v>5</v>
      </c>
      <c r="AI7" s="10" t="s">
        <v>6</v>
      </c>
      <c r="AJ7" s="10" t="s">
        <v>7</v>
      </c>
    </row>
    <row r="8" spans="2:36" s="1" customFormat="1" ht="30" customHeight="1" x14ac:dyDescent="0.25">
      <c r="B8" s="27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6">
        <f>COUNTIF($C9:$AF9,"T")</f>
        <v>0</v>
      </c>
      <c r="AH8" s="15">
        <f>COUNTIF($C9:$AF9,"U")</f>
        <v>0</v>
      </c>
      <c r="AI8" s="15">
        <f>COUNTIF($C9:$AF9,"E")</f>
        <v>1</v>
      </c>
      <c r="AJ8" s="15">
        <f>COUNTIF($C9:$AF9,"P")</f>
        <v>29</v>
      </c>
    </row>
    <row r="9" spans="2:36" s="1" customFormat="1" ht="30" customHeight="1" x14ac:dyDescent="0.25">
      <c r="B9" s="28"/>
      <c r="C9" s="12" t="str">
        <f>INDEX(Table2[[1]:[30]],MATCH('Ahmad Omran'!$B$3,Attendance!$B$5:$B$22,0),MATCH('Ahmad Omran'!C8,Attendance!$C$4:$AF$4,0))</f>
        <v>P</v>
      </c>
      <c r="D9" s="12" t="str">
        <f>INDEX(Table2[[1]:[30]],MATCH('Ahmad Omran'!$B$3,Attendance!$B$5:$B$22,0),MATCH('Ahmad Omran'!D8,Attendance!$C$4:$AF$4,0))</f>
        <v>P</v>
      </c>
      <c r="E9" s="12" t="str">
        <f>INDEX(Table2[[1]:[30]],MATCH('Ahmad Omran'!$B$3,Attendance!$B$5:$B$22,0),MATCH('Ahmad Omran'!E8,Attendance!$C$4:$AF$4,0))</f>
        <v>P</v>
      </c>
      <c r="F9" s="12" t="str">
        <f>INDEX(Table2[[1]:[30]],MATCH('Ahmad Omran'!$B$3,Attendance!$B$5:$B$22,0),MATCH('Ahmad Omran'!F8,Attendance!$C$4:$AF$4,0))</f>
        <v>P</v>
      </c>
      <c r="G9" s="12" t="str">
        <f>INDEX(Table2[[1]:[30]],MATCH('Ahmad Omran'!$B$3,Attendance!$B$5:$B$22,0),MATCH('Ahmad Omran'!G8,Attendance!$C$4:$AF$4,0))</f>
        <v>P</v>
      </c>
      <c r="H9" s="12" t="str">
        <f>INDEX(Table2[[1]:[30]],MATCH('Ahmad Omran'!$B$3,Attendance!$B$5:$B$22,0),MATCH('Ahmad Omran'!H8,Attendance!$C$4:$AF$4,0))</f>
        <v>P</v>
      </c>
      <c r="I9" s="12" t="str">
        <f>INDEX(Table2[[1]:[30]],MATCH('Ahmad Omran'!$B$3,Attendance!$B$5:$B$22,0),MATCH('Ahmad Omran'!I8,Attendance!$C$4:$AF$4,0))</f>
        <v>P</v>
      </c>
      <c r="J9" s="12" t="str">
        <f>INDEX(Table2[[1]:[30]],MATCH('Ahmad Omran'!$B$3,Attendance!$B$5:$B$22,0),MATCH('Ahmad Omran'!J8,Attendance!$C$4:$AF$4,0))</f>
        <v>P</v>
      </c>
      <c r="K9" s="12" t="str">
        <f>INDEX(Table2[[1]:[30]],MATCH('Ahmad Omran'!$B$3,Attendance!$B$5:$B$22,0),MATCH('Ahmad Omran'!K8,Attendance!$C$4:$AF$4,0))</f>
        <v>P</v>
      </c>
      <c r="L9" s="12" t="str">
        <f>INDEX(Table2[[1]:[30]],MATCH('Ahmad Omran'!$B$3,Attendance!$B$5:$B$22,0),MATCH('Ahmad Omran'!L8,Attendance!$C$4:$AF$4,0))</f>
        <v>P</v>
      </c>
      <c r="M9" s="12" t="str">
        <f>INDEX(Table2[[1]:[30]],MATCH('Ahmad Omran'!$B$3,Attendance!$B$5:$B$22,0),MATCH('Ahmad Omran'!M8,Attendance!$C$4:$AF$4,0))</f>
        <v>P</v>
      </c>
      <c r="N9" s="12" t="str">
        <f>INDEX(Table2[[1]:[30]],MATCH('Ahmad Omran'!$B$3,Attendance!$B$5:$B$22,0),MATCH('Ahmad Omran'!N8,Attendance!$C$4:$AF$4,0))</f>
        <v>P</v>
      </c>
      <c r="O9" s="12" t="str">
        <f>INDEX(Table2[[1]:[30]],MATCH('Ahmad Omran'!$B$3,Attendance!$B$5:$B$22,0),MATCH('Ahmad Omran'!O8,Attendance!$C$4:$AF$4,0))</f>
        <v>P</v>
      </c>
      <c r="P9" s="12" t="str">
        <f>INDEX(Table2[[1]:[30]],MATCH('Ahmad Omran'!$B$3,Attendance!$B$5:$B$22,0),MATCH('Ahmad Omran'!P8,Attendance!$C$4:$AF$4,0))</f>
        <v>P</v>
      </c>
      <c r="Q9" s="12" t="str">
        <f>INDEX(Table2[[1]:[30]],MATCH('Ahmad Omran'!$B$3,Attendance!$B$5:$B$22,0),MATCH('Ahmad Omran'!Q8,Attendance!$C$4:$AF$4,0))</f>
        <v>P</v>
      </c>
      <c r="R9" s="12" t="str">
        <f>INDEX(Table2[[1]:[30]],MATCH('Ahmad Omran'!$B$3,Attendance!$B$5:$B$22,0),MATCH('Ahmad Omran'!R8,Attendance!$C$4:$AF$4,0))</f>
        <v>P</v>
      </c>
      <c r="S9" s="12" t="str">
        <f>INDEX(Table2[[1]:[30]],MATCH('Ahmad Omran'!$B$3,Attendance!$B$5:$B$22,0),MATCH('Ahmad Omran'!S8,Attendance!$C$4:$AF$4,0))</f>
        <v>P</v>
      </c>
      <c r="T9" s="12" t="str">
        <f>INDEX(Table2[[1]:[30]],MATCH('Ahmad Omran'!$B$3,Attendance!$B$5:$B$22,0),MATCH('Ahmad Omran'!T8,Attendance!$C$4:$AF$4,0))</f>
        <v>P</v>
      </c>
      <c r="U9" s="12" t="str">
        <f>INDEX(Table2[[1]:[30]],MATCH('Ahmad Omran'!$B$3,Attendance!$B$5:$B$22,0),MATCH('Ahmad Omran'!U8,Attendance!$C$4:$AF$4,0))</f>
        <v>P</v>
      </c>
      <c r="V9" s="12" t="str">
        <f>INDEX(Table2[[1]:[30]],MATCH('Ahmad Omran'!$B$3,Attendance!$B$5:$B$22,0),MATCH('Ahmad Omran'!V8,Attendance!$C$4:$AF$4,0))</f>
        <v>P</v>
      </c>
      <c r="W9" s="12" t="str">
        <f>INDEX(Table2[[1]:[30]],MATCH('Ahmad Omran'!$B$3,Attendance!$B$5:$B$22,0),MATCH('Ahmad Omran'!W8,Attendance!$C$4:$AF$4,0))</f>
        <v>P</v>
      </c>
      <c r="X9" s="12" t="str">
        <f>INDEX(Table2[[1]:[30]],MATCH('Ahmad Omran'!$B$3,Attendance!$B$5:$B$22,0),MATCH('Ahmad Omran'!X8,Attendance!$C$4:$AF$4,0))</f>
        <v>P</v>
      </c>
      <c r="Y9" s="12" t="str">
        <f>INDEX(Table2[[1]:[30]],MATCH('Ahmad Omran'!$B$3,Attendance!$B$5:$B$22,0),MATCH('Ahmad Omran'!Y8,Attendance!$C$4:$AF$4,0))</f>
        <v>P</v>
      </c>
      <c r="Z9" s="12" t="str">
        <f>INDEX(Table2[[1]:[30]],MATCH('Ahmad Omran'!$B$3,Attendance!$B$5:$B$22,0),MATCH('Ahmad Omran'!Z8,Attendance!$C$4:$AF$4,0))</f>
        <v>P</v>
      </c>
      <c r="AA9" s="12" t="str">
        <f>INDEX(Table2[[1]:[30]],MATCH('Ahmad Omran'!$B$3,Attendance!$B$5:$B$22,0),MATCH('Ahmad Omran'!AA8,Attendance!$C$4:$AF$4,0))</f>
        <v>P</v>
      </c>
      <c r="AB9" s="12" t="str">
        <f>INDEX(Table2[[1]:[30]],MATCH('Ahmad Omran'!$B$3,Attendance!$B$5:$B$22,0),MATCH('Ahmad Omran'!AB8,Attendance!$C$4:$AF$4,0))</f>
        <v>E</v>
      </c>
      <c r="AC9" s="12" t="str">
        <f>INDEX(Table2[[1]:[30]],MATCH('Ahmad Omran'!$B$3,Attendance!$B$5:$B$22,0),MATCH('Ahmad Omran'!AC8,Attendance!$C$4:$AF$4,0))</f>
        <v>P</v>
      </c>
      <c r="AD9" s="12" t="str">
        <f>INDEX(Table2[[1]:[30]],MATCH('Ahmad Omran'!$B$3,Attendance!$B$5:$B$22,0),MATCH('Ahmad Omran'!AD8,Attendance!$C$4:$AF$4,0))</f>
        <v>P</v>
      </c>
      <c r="AE9" s="12" t="str">
        <f>INDEX(Table2[[1]:[30]],MATCH('Ahmad Omran'!$B$3,Attendance!$B$5:$B$22,0),MATCH('Ahmad Omran'!AE8,Attendance!$C$4:$AF$4,0))</f>
        <v>P</v>
      </c>
      <c r="AF9" s="12" t="str">
        <f>INDEX(Table2[[1]:[30]],MATCH('Ahmad Omran'!$B$3,Attendance!$B$5:$B$22,0),MATCH('Ahmad Omran'!AF8,Attendance!$C$4:$AF$4,0))</f>
        <v>P</v>
      </c>
      <c r="AG9" s="16"/>
      <c r="AH9" s="15"/>
      <c r="AI9" s="15"/>
      <c r="AJ9" s="15"/>
    </row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B1:R1"/>
    <mergeCell ref="B2:J2"/>
    <mergeCell ref="K2:O2"/>
    <mergeCell ref="P2:R2"/>
    <mergeCell ref="S2:V2"/>
    <mergeCell ref="AE2:AG2"/>
    <mergeCell ref="AH2:AJ2"/>
    <mergeCell ref="B3:J3"/>
    <mergeCell ref="K3:O3"/>
    <mergeCell ref="P3:R3"/>
    <mergeCell ref="S3:V3"/>
    <mergeCell ref="W3:AD3"/>
    <mergeCell ref="AE3:AG3"/>
    <mergeCell ref="AH3:AJ3"/>
    <mergeCell ref="W2:AD2"/>
    <mergeCell ref="B4:J4"/>
    <mergeCell ref="K4:V4"/>
    <mergeCell ref="W4:AD4"/>
    <mergeCell ref="AE4:AJ4"/>
    <mergeCell ref="B5:J5"/>
    <mergeCell ref="K5:V5"/>
    <mergeCell ref="W5:AD5"/>
    <mergeCell ref="AE5:AJ5"/>
    <mergeCell ref="B6:AF7"/>
    <mergeCell ref="AG6:AJ6"/>
    <mergeCell ref="B8:B9"/>
    <mergeCell ref="AG8:AG9"/>
    <mergeCell ref="AH8:AH9"/>
    <mergeCell ref="AI8:AI9"/>
    <mergeCell ref="AJ8:AJ9"/>
  </mergeCells>
  <conditionalFormatting sqref="C9:AF9">
    <cfRule type="cellIs" dxfId="7" priority="1" operator="equal">
      <formula>"U"</formula>
    </cfRule>
    <cfRule type="cellIs" dxfId="6" priority="2" operator="equal">
      <formula>"E"</formula>
    </cfRule>
    <cfRule type="cellIs" dxfId="5" priority="3" operator="equal">
      <formula>"T"</formula>
    </cfRule>
    <cfRule type="cellIs" dxfId="4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Students</vt:lpstr>
      <vt:lpstr>Attendance</vt:lpstr>
      <vt:lpstr>Monthly Student Attendance</vt:lpstr>
      <vt:lpstr>Monthly Student Attendance (2)</vt:lpstr>
      <vt:lpstr>Tabasheer Ayman</vt:lpstr>
      <vt:lpstr>Sawsam Ahmad</vt:lpstr>
      <vt:lpstr>Sara Habib</vt:lpstr>
      <vt:lpstr>Sameera Okal</vt:lpstr>
      <vt:lpstr>Salwam Tahab</vt:lpstr>
      <vt:lpstr>Saleem Halem</vt:lpstr>
      <vt:lpstr>Saeed Qays</vt:lpstr>
      <vt:lpstr>Najeeb Qanbar</vt:lpstr>
      <vt:lpstr>Mohammad Ali</vt:lpstr>
      <vt:lpstr>Kwther Ameen</vt:lpstr>
      <vt:lpstr>Khaled Katem</vt:lpstr>
      <vt:lpstr>Kareem Ahmad</vt:lpstr>
      <vt:lpstr>Ismael Othaman</vt:lpstr>
      <vt:lpstr>Hala Ahmadi</vt:lpstr>
      <vt:lpstr>Haitham Khald</vt:lpstr>
      <vt:lpstr>Ameen Ahmad</vt:lpstr>
      <vt:lpstr>Ali Omar</vt:lpstr>
      <vt:lpstr>Ahmad Omran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Al Munthir Saffan</dc:creator>
  <cp:lastModifiedBy>Laptop</cp:lastModifiedBy>
  <cp:lastPrinted>2022-12-30T15:02:16Z</cp:lastPrinted>
  <dcterms:created xsi:type="dcterms:W3CDTF">2018-02-27T05:39:29Z</dcterms:created>
  <dcterms:modified xsi:type="dcterms:W3CDTF">2022-12-30T15:26:56Z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v-audrs@microsoft.com</vt:lpwstr>
  </property>
  <property fmtid="{D5CDD505-2E9C-101B-9397-08002B2CF9AE}" pid="5" name="MSIP_Label_f42aa342-8706-4288-bd11-ebb85995028c_SetDate">
    <vt:lpwstr>2018-02-27T05:39:34.6060735Z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